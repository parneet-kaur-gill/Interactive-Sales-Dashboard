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arneet Kaur\Desktop\"/>
    </mc:Choice>
  </mc:AlternateContent>
  <xr:revisionPtr revIDLastSave="0" documentId="13_ncr:1_{381085C2-FB7C-467D-B194-1895B28DD2D2}" xr6:coauthVersionLast="47" xr6:coauthVersionMax="47" xr10:uidLastSave="{00000000-0000-0000-0000-000000000000}"/>
  <bookViews>
    <workbookView xWindow="-108" yWindow="-108" windowWidth="23256" windowHeight="12456" activeTab="1" xr2:uid="{00000000-000D-0000-FFFF-FFFF00000000}"/>
  </bookViews>
  <sheets>
    <sheet name="Regional Sales" sheetId="5" r:id="rId1"/>
    <sheet name="Monthly Revenue" sheetId="9" r:id="rId2"/>
    <sheet name="Salesperson's revenue " sheetId="10" r:id="rId3"/>
    <sheet name="Dashboard" sheetId="8" r:id="rId4"/>
    <sheet name="Data Practice" sheetId="1" r:id="rId5"/>
  </sheets>
  <definedNames>
    <definedName name="_xlnm._FilterDatabase" localSheetId="4" hidden="1">'Data Practice'!$A$1:$J$2340</definedName>
    <definedName name="_xlcn.WorksheetConnection_DataPracticeA1J23401" hidden="1">'Data Practice'!$A$1:$J$2340</definedName>
    <definedName name="_xlcn.WorksheetConnection_DataPracticeA1M23401" hidden="1">'Data Practice'!$A$1:$M$2340</definedName>
    <definedName name="Slicer_Item">#N/A</definedName>
    <definedName name="Slicer_Item1">#N/A</definedName>
    <definedName name="Slicer_Item2">#N/A</definedName>
    <definedName name="Slicer_Region">#N/A</definedName>
    <definedName name="Slicer_Region1">#N/A</definedName>
    <definedName name="Slicer_Region2">#N/A</definedName>
    <definedName name="Slicer_Store">#N/A</definedName>
    <definedName name="Slicer_Store1">#N/A</definedName>
    <definedName name="Slicer_Store2">#N/A</definedName>
  </definedNames>
  <calcPr calcId="191028"/>
  <extLst>
    <ext xmlns:x14="http://schemas.microsoft.com/office/spreadsheetml/2009/9/main" uri="{876F7934-8845-4945-9796-88D515C7AA90}">
      <x14:pivotCaches>
        <pivotCache cacheId="0" r:id="rId6"/>
      </x14:pivotCaches>
    </ex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841E416B-1EF1-43b6-AB56-02D37102CBD5}">
      <x15:pivotCaches>
        <pivotCache cacheId="2" r:id="rId16"/>
        <pivotCache cacheId="5" r:id="rId17"/>
      </x15:pivotCaches>
    </ext>
    <ext xmlns:x15="http://schemas.microsoft.com/office/spreadsheetml/2010/11/main" uri="{983426D0-5260-488c-9760-48F4B6AC55F4}">
      <x15:pivotTableReferences>
        <x15:pivotTableReference r:id="rId18"/>
        <x15:pivotTableReference r:id="rId1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Data Practice!$A$1:$M$2340"/>
          <x15:modelTable id="Range" name="Range" connection="WorksheetConnection_Data Practice!$A$1:$J$2340"/>
        </x15:modelTables>
      </x15:dataModel>
    </ext>
  </extLst>
</workbook>
</file>

<file path=xl/calcChain.xml><?xml version="1.0" encoding="utf-8"?>
<calcChain xmlns="http://schemas.openxmlformats.org/spreadsheetml/2006/main">
  <c r="M2340" i="1" l="1"/>
  <c r="L2340" i="1"/>
  <c r="K2340" i="1"/>
  <c r="M2339" i="1"/>
  <c r="L2339" i="1"/>
  <c r="K2339" i="1"/>
  <c r="M2338" i="1"/>
  <c r="L2338" i="1"/>
  <c r="K2338" i="1"/>
  <c r="M2337" i="1"/>
  <c r="L2337" i="1"/>
  <c r="K2337" i="1"/>
  <c r="M2336" i="1"/>
  <c r="L2336" i="1"/>
  <c r="K2336" i="1"/>
  <c r="M2335" i="1"/>
  <c r="L2335" i="1"/>
  <c r="K2335" i="1"/>
  <c r="M2334" i="1"/>
  <c r="L2334" i="1"/>
  <c r="K2334" i="1"/>
  <c r="M2333" i="1"/>
  <c r="L2333" i="1"/>
  <c r="K2333" i="1"/>
  <c r="M2332" i="1"/>
  <c r="L2332" i="1"/>
  <c r="K2332" i="1"/>
  <c r="M2331" i="1"/>
  <c r="L2331" i="1"/>
  <c r="K2331" i="1"/>
  <c r="M2330" i="1"/>
  <c r="L2330" i="1"/>
  <c r="K2330" i="1"/>
  <c r="M2329" i="1"/>
  <c r="L2329" i="1"/>
  <c r="K2329" i="1"/>
  <c r="M2328" i="1"/>
  <c r="L2328" i="1"/>
  <c r="K2328" i="1"/>
  <c r="M2327" i="1"/>
  <c r="L2327" i="1"/>
  <c r="K2327" i="1"/>
  <c r="M2326" i="1"/>
  <c r="L2326" i="1"/>
  <c r="K2326" i="1"/>
  <c r="M2325" i="1"/>
  <c r="L2325" i="1"/>
  <c r="K2325" i="1"/>
  <c r="M2324" i="1"/>
  <c r="L2324" i="1"/>
  <c r="K2324" i="1"/>
  <c r="M2323" i="1"/>
  <c r="L2323" i="1"/>
  <c r="K2323" i="1"/>
  <c r="M2322" i="1"/>
  <c r="L2322" i="1"/>
  <c r="K2322" i="1"/>
  <c r="M2321" i="1"/>
  <c r="L2321" i="1"/>
  <c r="K2321" i="1"/>
  <c r="M2320" i="1"/>
  <c r="L2320" i="1"/>
  <c r="K2320" i="1"/>
  <c r="M2319" i="1"/>
  <c r="L2319" i="1"/>
  <c r="K2319" i="1"/>
  <c r="M2318" i="1"/>
  <c r="L2318" i="1"/>
  <c r="K2318" i="1"/>
  <c r="M2317" i="1"/>
  <c r="L2317" i="1"/>
  <c r="K2317" i="1"/>
  <c r="M2316" i="1"/>
  <c r="L2316" i="1"/>
  <c r="K2316" i="1"/>
  <c r="M2315" i="1"/>
  <c r="L2315" i="1"/>
  <c r="K2315" i="1"/>
  <c r="M2314" i="1"/>
  <c r="L2314" i="1"/>
  <c r="K2314" i="1"/>
  <c r="M2313" i="1"/>
  <c r="L2313" i="1"/>
  <c r="K2313" i="1"/>
  <c r="M2312" i="1"/>
  <c r="L2312" i="1"/>
  <c r="K2312" i="1"/>
  <c r="M2311" i="1"/>
  <c r="L2311" i="1"/>
  <c r="K2311" i="1"/>
  <c r="M2310" i="1"/>
  <c r="L2310" i="1"/>
  <c r="K2310" i="1"/>
  <c r="M2309" i="1"/>
  <c r="L2309" i="1"/>
  <c r="K2309" i="1"/>
  <c r="M2308" i="1"/>
  <c r="L2308" i="1"/>
  <c r="K2308" i="1"/>
  <c r="M2307" i="1"/>
  <c r="L2307" i="1"/>
  <c r="K2307" i="1"/>
  <c r="M2306" i="1"/>
  <c r="L2306" i="1"/>
  <c r="K2306" i="1"/>
  <c r="M2305" i="1"/>
  <c r="L2305" i="1"/>
  <c r="K2305" i="1"/>
  <c r="M2304" i="1"/>
  <c r="L2304" i="1"/>
  <c r="K2304" i="1"/>
  <c r="M2303" i="1"/>
  <c r="L2303" i="1"/>
  <c r="K2303" i="1"/>
  <c r="M2302" i="1"/>
  <c r="L2302" i="1"/>
  <c r="K2302" i="1"/>
  <c r="M2301" i="1"/>
  <c r="L2301" i="1"/>
  <c r="K2301" i="1"/>
  <c r="M2300" i="1"/>
  <c r="L2300" i="1"/>
  <c r="K2300" i="1"/>
  <c r="M2299" i="1"/>
  <c r="L2299" i="1"/>
  <c r="K2299" i="1"/>
  <c r="M2298" i="1"/>
  <c r="L2298" i="1"/>
  <c r="K2298" i="1"/>
  <c r="M2297" i="1"/>
  <c r="L2297" i="1"/>
  <c r="K2297" i="1"/>
  <c r="M2296" i="1"/>
  <c r="L2296" i="1"/>
  <c r="K2296" i="1"/>
  <c r="M2295" i="1"/>
  <c r="L2295" i="1"/>
  <c r="K2295" i="1"/>
  <c r="M2294" i="1"/>
  <c r="L2294" i="1"/>
  <c r="K2294" i="1"/>
  <c r="M2293" i="1"/>
  <c r="L2293" i="1"/>
  <c r="K2293" i="1"/>
  <c r="M2292" i="1"/>
  <c r="L2292" i="1"/>
  <c r="K2292" i="1"/>
  <c r="M2291" i="1"/>
  <c r="L2291" i="1"/>
  <c r="K2291" i="1"/>
  <c r="M2290" i="1"/>
  <c r="L2290" i="1"/>
  <c r="K2290" i="1"/>
  <c r="M2289" i="1"/>
  <c r="L2289" i="1"/>
  <c r="K2289" i="1"/>
  <c r="M2288" i="1"/>
  <c r="L2288" i="1"/>
  <c r="K2288" i="1"/>
  <c r="M2287" i="1"/>
  <c r="L2287" i="1"/>
  <c r="K2287" i="1"/>
  <c r="M2286" i="1"/>
  <c r="L2286" i="1"/>
  <c r="K2286" i="1"/>
  <c r="M2285" i="1"/>
  <c r="L2285" i="1"/>
  <c r="K2285" i="1"/>
  <c r="M2284" i="1"/>
  <c r="L2284" i="1"/>
  <c r="K2284" i="1"/>
  <c r="M2283" i="1"/>
  <c r="L2283" i="1"/>
  <c r="K2283" i="1"/>
  <c r="M2282" i="1"/>
  <c r="L2282" i="1"/>
  <c r="K2282" i="1"/>
  <c r="M2281" i="1"/>
  <c r="L2281" i="1"/>
  <c r="K2281" i="1"/>
  <c r="M2280" i="1"/>
  <c r="L2280" i="1"/>
  <c r="K2280" i="1"/>
  <c r="M2279" i="1"/>
  <c r="L2279" i="1"/>
  <c r="K2279" i="1"/>
  <c r="M2278" i="1"/>
  <c r="L2278" i="1"/>
  <c r="K2278" i="1"/>
  <c r="M2277" i="1"/>
  <c r="L2277" i="1"/>
  <c r="K2277" i="1"/>
  <c r="M2276" i="1"/>
  <c r="L2276" i="1"/>
  <c r="K2276" i="1"/>
  <c r="M2275" i="1"/>
  <c r="L2275" i="1"/>
  <c r="K2275" i="1"/>
  <c r="M2274" i="1"/>
  <c r="L2274" i="1"/>
  <c r="K2274" i="1"/>
  <c r="M2273" i="1"/>
  <c r="L2273" i="1"/>
  <c r="K2273" i="1"/>
  <c r="M2272" i="1"/>
  <c r="L2272" i="1"/>
  <c r="K2272" i="1"/>
  <c r="M2271" i="1"/>
  <c r="L2271" i="1"/>
  <c r="K2271" i="1"/>
  <c r="M2270" i="1"/>
  <c r="L2270" i="1"/>
  <c r="K2270" i="1"/>
  <c r="M2269" i="1"/>
  <c r="L2269" i="1"/>
  <c r="K2269" i="1"/>
  <c r="M2268" i="1"/>
  <c r="L2268" i="1"/>
  <c r="K2268" i="1"/>
  <c r="M2267" i="1"/>
  <c r="L2267" i="1"/>
  <c r="K2267" i="1"/>
  <c r="M2266" i="1"/>
  <c r="L2266" i="1"/>
  <c r="K2266" i="1"/>
  <c r="M2265" i="1"/>
  <c r="L2265" i="1"/>
  <c r="K2265" i="1"/>
  <c r="M2264" i="1"/>
  <c r="L2264" i="1"/>
  <c r="K2264" i="1"/>
  <c r="M2263" i="1"/>
  <c r="L2263" i="1"/>
  <c r="K2263" i="1"/>
  <c r="M2262" i="1"/>
  <c r="L2262" i="1"/>
  <c r="K2262" i="1"/>
  <c r="M2261" i="1"/>
  <c r="L2261" i="1"/>
  <c r="K2261" i="1"/>
  <c r="M2260" i="1"/>
  <c r="L2260" i="1"/>
  <c r="K2260" i="1"/>
  <c r="M2259" i="1"/>
  <c r="L2259" i="1"/>
  <c r="K2259" i="1"/>
  <c r="M2258" i="1"/>
  <c r="L2258" i="1"/>
  <c r="K2258" i="1"/>
  <c r="M2257" i="1"/>
  <c r="L2257" i="1"/>
  <c r="K2257" i="1"/>
  <c r="M2256" i="1"/>
  <c r="L2256" i="1"/>
  <c r="K2256" i="1"/>
  <c r="M2255" i="1"/>
  <c r="L2255" i="1"/>
  <c r="K2255" i="1"/>
  <c r="M2254" i="1"/>
  <c r="L2254" i="1"/>
  <c r="K2254" i="1"/>
  <c r="M2253" i="1"/>
  <c r="L2253" i="1"/>
  <c r="K2253" i="1"/>
  <c r="M2252" i="1"/>
  <c r="L2252" i="1"/>
  <c r="K2252" i="1"/>
  <c r="M2251" i="1"/>
  <c r="L2251" i="1"/>
  <c r="K2251" i="1"/>
  <c r="M2250" i="1"/>
  <c r="L2250" i="1"/>
  <c r="K2250" i="1"/>
  <c r="M2249" i="1"/>
  <c r="L2249" i="1"/>
  <c r="K2249" i="1"/>
  <c r="M2248" i="1"/>
  <c r="L2248" i="1"/>
  <c r="K2248" i="1"/>
  <c r="M2247" i="1"/>
  <c r="L2247" i="1"/>
  <c r="K2247" i="1"/>
  <c r="M2246" i="1"/>
  <c r="L2246" i="1"/>
  <c r="K2246" i="1"/>
  <c r="M2245" i="1"/>
  <c r="L2245" i="1"/>
  <c r="K2245" i="1"/>
  <c r="M2244" i="1"/>
  <c r="L2244" i="1"/>
  <c r="K2244" i="1"/>
  <c r="M2243" i="1"/>
  <c r="L2243" i="1"/>
  <c r="K2243" i="1"/>
  <c r="M2242" i="1"/>
  <c r="L2242" i="1"/>
  <c r="K2242" i="1"/>
  <c r="M2241" i="1"/>
  <c r="L2241" i="1"/>
  <c r="K2241" i="1"/>
  <c r="M2240" i="1"/>
  <c r="L2240" i="1"/>
  <c r="K2240" i="1"/>
  <c r="M2239" i="1"/>
  <c r="L2239" i="1"/>
  <c r="K2239" i="1"/>
  <c r="M2238" i="1"/>
  <c r="L2238" i="1"/>
  <c r="K2238" i="1"/>
  <c r="M2237" i="1"/>
  <c r="L2237" i="1"/>
  <c r="K2237" i="1"/>
  <c r="M2236" i="1"/>
  <c r="L2236" i="1"/>
  <c r="K2236" i="1"/>
  <c r="M2235" i="1"/>
  <c r="L2235" i="1"/>
  <c r="K2235" i="1"/>
  <c r="M2234" i="1"/>
  <c r="L2234" i="1"/>
  <c r="K2234" i="1"/>
  <c r="M2233" i="1"/>
  <c r="L2233" i="1"/>
  <c r="K2233" i="1"/>
  <c r="M2232" i="1"/>
  <c r="L2232" i="1"/>
  <c r="K2232" i="1"/>
  <c r="M2231" i="1"/>
  <c r="L2231" i="1"/>
  <c r="K2231" i="1"/>
  <c r="M2230" i="1"/>
  <c r="L2230" i="1"/>
  <c r="K2230" i="1"/>
  <c r="M2229" i="1"/>
  <c r="L2229" i="1"/>
  <c r="K2229" i="1"/>
  <c r="M2228" i="1"/>
  <c r="L2228" i="1"/>
  <c r="K2228" i="1"/>
  <c r="M2227" i="1"/>
  <c r="L2227" i="1"/>
  <c r="K2227" i="1"/>
  <c r="M2226" i="1"/>
  <c r="L2226" i="1"/>
  <c r="K2226" i="1"/>
  <c r="M2225" i="1"/>
  <c r="L2225" i="1"/>
  <c r="K2225" i="1"/>
  <c r="M2224" i="1"/>
  <c r="L2224" i="1"/>
  <c r="K2224" i="1"/>
  <c r="M2223" i="1"/>
  <c r="L2223" i="1"/>
  <c r="K2223" i="1"/>
  <c r="M2222" i="1"/>
  <c r="L2222" i="1"/>
  <c r="K2222" i="1"/>
  <c r="M2221" i="1"/>
  <c r="L2221" i="1"/>
  <c r="K2221" i="1"/>
  <c r="M2220" i="1"/>
  <c r="L2220" i="1"/>
  <c r="K2220" i="1"/>
  <c r="M2219" i="1"/>
  <c r="L2219" i="1"/>
  <c r="K2219" i="1"/>
  <c r="M2218" i="1"/>
  <c r="L2218" i="1"/>
  <c r="K2218" i="1"/>
  <c r="M2217" i="1"/>
  <c r="L2217" i="1"/>
  <c r="K2217" i="1"/>
  <c r="M2216" i="1"/>
  <c r="L2216" i="1"/>
  <c r="K2216" i="1"/>
  <c r="M2215" i="1"/>
  <c r="L2215" i="1"/>
  <c r="K2215" i="1"/>
  <c r="M2214" i="1"/>
  <c r="L2214" i="1"/>
  <c r="K2214" i="1"/>
  <c r="M2213" i="1"/>
  <c r="L2213" i="1"/>
  <c r="K2213" i="1"/>
  <c r="M2212" i="1"/>
  <c r="L2212" i="1"/>
  <c r="K2212" i="1"/>
  <c r="M2211" i="1"/>
  <c r="L2211" i="1"/>
  <c r="K2211" i="1"/>
  <c r="M2210" i="1"/>
  <c r="L2210" i="1"/>
  <c r="K2210" i="1"/>
  <c r="M2209" i="1"/>
  <c r="L2209" i="1"/>
  <c r="K2209" i="1"/>
  <c r="M2208" i="1"/>
  <c r="L2208" i="1"/>
  <c r="K2208" i="1"/>
  <c r="M2207" i="1"/>
  <c r="L2207" i="1"/>
  <c r="K2207" i="1"/>
  <c r="M2206" i="1"/>
  <c r="L2206" i="1"/>
  <c r="K2206" i="1"/>
  <c r="M2205" i="1"/>
  <c r="L2205" i="1"/>
  <c r="K2205" i="1"/>
  <c r="M2204" i="1"/>
  <c r="L2204" i="1"/>
  <c r="K2204" i="1"/>
  <c r="M2203" i="1"/>
  <c r="L2203" i="1"/>
  <c r="K2203" i="1"/>
  <c r="M2202" i="1"/>
  <c r="L2202" i="1"/>
  <c r="K2202" i="1"/>
  <c r="M2201" i="1"/>
  <c r="L2201" i="1"/>
  <c r="K2201" i="1"/>
  <c r="M2200" i="1"/>
  <c r="L2200" i="1"/>
  <c r="K2200" i="1"/>
  <c r="M2199" i="1"/>
  <c r="L2199" i="1"/>
  <c r="K2199" i="1"/>
  <c r="M2198" i="1"/>
  <c r="L2198" i="1"/>
  <c r="K2198" i="1"/>
  <c r="M2197" i="1"/>
  <c r="L2197" i="1"/>
  <c r="K2197" i="1"/>
  <c r="M2196" i="1"/>
  <c r="L2196" i="1"/>
  <c r="K2196" i="1"/>
  <c r="M2195" i="1"/>
  <c r="L2195" i="1"/>
  <c r="K2195" i="1"/>
  <c r="M2194" i="1"/>
  <c r="L2194" i="1"/>
  <c r="K2194" i="1"/>
  <c r="M2193" i="1"/>
  <c r="L2193" i="1"/>
  <c r="K2193" i="1"/>
  <c r="M2192" i="1"/>
  <c r="L2192" i="1"/>
  <c r="K2192" i="1"/>
  <c r="M2191" i="1"/>
  <c r="L2191" i="1"/>
  <c r="K2191" i="1"/>
  <c r="M2190" i="1"/>
  <c r="L2190" i="1"/>
  <c r="K2190" i="1"/>
  <c r="M2189" i="1"/>
  <c r="L2189" i="1"/>
  <c r="K2189" i="1"/>
  <c r="M2188" i="1"/>
  <c r="L2188" i="1"/>
  <c r="K2188" i="1"/>
  <c r="M2187" i="1"/>
  <c r="L2187" i="1"/>
  <c r="K2187" i="1"/>
  <c r="M2186" i="1"/>
  <c r="L2186" i="1"/>
  <c r="K2186" i="1"/>
  <c r="M2185" i="1"/>
  <c r="L2185" i="1"/>
  <c r="K2185" i="1"/>
  <c r="M2184" i="1"/>
  <c r="L2184" i="1"/>
  <c r="K2184" i="1"/>
  <c r="M2183" i="1"/>
  <c r="L2183" i="1"/>
  <c r="K2183" i="1"/>
  <c r="M2182" i="1"/>
  <c r="L2182" i="1"/>
  <c r="K2182" i="1"/>
  <c r="M2181" i="1"/>
  <c r="L2181" i="1"/>
  <c r="K2181" i="1"/>
  <c r="M2180" i="1"/>
  <c r="L2180" i="1"/>
  <c r="K2180" i="1"/>
  <c r="M2179" i="1"/>
  <c r="L2179" i="1"/>
  <c r="K2179" i="1"/>
  <c r="M2178" i="1"/>
  <c r="L2178" i="1"/>
  <c r="K2178" i="1"/>
  <c r="M2177" i="1"/>
  <c r="L2177" i="1"/>
  <c r="K2177" i="1"/>
  <c r="M2176" i="1"/>
  <c r="L2176" i="1"/>
  <c r="K2176" i="1"/>
  <c r="M2175" i="1"/>
  <c r="L2175" i="1"/>
  <c r="K2175" i="1"/>
  <c r="M2174" i="1"/>
  <c r="L2174" i="1"/>
  <c r="K2174" i="1"/>
  <c r="M2173" i="1"/>
  <c r="L2173" i="1"/>
  <c r="K2173" i="1"/>
  <c r="M2172" i="1"/>
  <c r="L2172" i="1"/>
  <c r="K2172" i="1"/>
  <c r="M2171" i="1"/>
  <c r="L2171" i="1"/>
  <c r="K2171" i="1"/>
  <c r="M2170" i="1"/>
  <c r="L2170" i="1"/>
  <c r="K2170" i="1"/>
  <c r="M2169" i="1"/>
  <c r="L2169" i="1"/>
  <c r="K2169" i="1"/>
  <c r="M2168" i="1"/>
  <c r="L2168" i="1"/>
  <c r="K2168" i="1"/>
  <c r="M2167" i="1"/>
  <c r="L2167" i="1"/>
  <c r="K2167" i="1"/>
  <c r="M2166" i="1"/>
  <c r="L2166" i="1"/>
  <c r="K2166" i="1"/>
  <c r="M2165" i="1"/>
  <c r="L2165" i="1"/>
  <c r="K2165" i="1"/>
  <c r="M2164" i="1"/>
  <c r="L2164" i="1"/>
  <c r="K2164" i="1"/>
  <c r="M2163" i="1"/>
  <c r="L2163" i="1"/>
  <c r="K2163" i="1"/>
  <c r="M2162" i="1"/>
  <c r="L2162" i="1"/>
  <c r="K2162" i="1"/>
  <c r="M2161" i="1"/>
  <c r="L2161" i="1"/>
  <c r="K2161" i="1"/>
  <c r="M2160" i="1"/>
  <c r="L2160" i="1"/>
  <c r="K2160" i="1"/>
  <c r="M2159" i="1"/>
  <c r="L2159" i="1"/>
  <c r="K2159" i="1"/>
  <c r="M2158" i="1"/>
  <c r="L2158" i="1"/>
  <c r="K2158" i="1"/>
  <c r="M2157" i="1"/>
  <c r="L2157" i="1"/>
  <c r="K2157" i="1"/>
  <c r="M2156" i="1"/>
  <c r="L2156" i="1"/>
  <c r="K2156" i="1"/>
  <c r="M2155" i="1"/>
  <c r="L2155" i="1"/>
  <c r="K2155" i="1"/>
  <c r="M2154" i="1"/>
  <c r="L2154" i="1"/>
  <c r="K2154" i="1"/>
  <c r="M2153" i="1"/>
  <c r="L2153" i="1"/>
  <c r="K2153" i="1"/>
  <c r="M2152" i="1"/>
  <c r="L2152" i="1"/>
  <c r="K2152" i="1"/>
  <c r="M2151" i="1"/>
  <c r="L2151" i="1"/>
  <c r="K2151" i="1"/>
  <c r="M2150" i="1"/>
  <c r="L2150" i="1"/>
  <c r="K2150" i="1"/>
  <c r="M2149" i="1"/>
  <c r="L2149" i="1"/>
  <c r="K2149" i="1"/>
  <c r="M2148" i="1"/>
  <c r="L2148" i="1"/>
  <c r="K2148" i="1"/>
  <c r="M2147" i="1"/>
  <c r="L2147" i="1"/>
  <c r="K2147" i="1"/>
  <c r="M2146" i="1"/>
  <c r="L2146" i="1"/>
  <c r="K2146" i="1"/>
  <c r="M2145" i="1"/>
  <c r="L2145" i="1"/>
  <c r="K2145" i="1"/>
  <c r="M2144" i="1"/>
  <c r="L2144" i="1"/>
  <c r="K2144" i="1"/>
  <c r="M2143" i="1"/>
  <c r="L2143" i="1"/>
  <c r="K2143" i="1"/>
  <c r="M2142" i="1"/>
  <c r="L2142" i="1"/>
  <c r="K2142" i="1"/>
  <c r="M2141" i="1"/>
  <c r="L2141" i="1"/>
  <c r="K2141" i="1"/>
  <c r="M2140" i="1"/>
  <c r="L2140" i="1"/>
  <c r="K2140" i="1"/>
  <c r="M2139" i="1"/>
  <c r="L2139" i="1"/>
  <c r="K2139" i="1"/>
  <c r="M2138" i="1"/>
  <c r="L2138" i="1"/>
  <c r="K2138" i="1"/>
  <c r="M2137" i="1"/>
  <c r="L2137" i="1"/>
  <c r="K2137" i="1"/>
  <c r="M2136" i="1"/>
  <c r="L2136" i="1"/>
  <c r="K2136" i="1"/>
  <c r="M2135" i="1"/>
  <c r="L2135" i="1"/>
  <c r="K2135" i="1"/>
  <c r="M2134" i="1"/>
  <c r="L2134" i="1"/>
  <c r="K2134" i="1"/>
  <c r="M2133" i="1"/>
  <c r="L2133" i="1"/>
  <c r="K2133" i="1"/>
  <c r="M2132" i="1"/>
  <c r="L2132" i="1"/>
  <c r="K2132" i="1"/>
  <c r="M2131" i="1"/>
  <c r="L2131" i="1"/>
  <c r="K2131" i="1"/>
  <c r="M2130" i="1"/>
  <c r="L2130" i="1"/>
  <c r="K2130" i="1"/>
  <c r="M2129" i="1"/>
  <c r="L2129" i="1"/>
  <c r="K2129" i="1"/>
  <c r="M2128" i="1"/>
  <c r="L2128" i="1"/>
  <c r="K2128" i="1"/>
  <c r="M2127" i="1"/>
  <c r="L2127" i="1"/>
  <c r="K2127" i="1"/>
  <c r="M2126" i="1"/>
  <c r="L2126" i="1"/>
  <c r="K2126" i="1"/>
  <c r="M2125" i="1"/>
  <c r="L2125" i="1"/>
  <c r="K2125" i="1"/>
  <c r="M2124" i="1"/>
  <c r="L2124" i="1"/>
  <c r="K2124" i="1"/>
  <c r="M2123" i="1"/>
  <c r="L2123" i="1"/>
  <c r="K2123" i="1"/>
  <c r="M2122" i="1"/>
  <c r="L2122" i="1"/>
  <c r="K2122" i="1"/>
  <c r="M2121" i="1"/>
  <c r="L2121" i="1"/>
  <c r="K2121" i="1"/>
  <c r="M2120" i="1"/>
  <c r="L2120" i="1"/>
  <c r="K2120" i="1"/>
  <c r="M2119" i="1"/>
  <c r="L2119" i="1"/>
  <c r="K2119" i="1"/>
  <c r="M2118" i="1"/>
  <c r="L2118" i="1"/>
  <c r="K2118" i="1"/>
  <c r="M2117" i="1"/>
  <c r="L2117" i="1"/>
  <c r="K2117" i="1"/>
  <c r="M2116" i="1"/>
  <c r="L2116" i="1"/>
  <c r="K2116" i="1"/>
  <c r="M2115" i="1"/>
  <c r="L2115" i="1"/>
  <c r="K2115" i="1"/>
  <c r="M2114" i="1"/>
  <c r="L2114" i="1"/>
  <c r="K2114" i="1"/>
  <c r="M2113" i="1"/>
  <c r="L2113" i="1"/>
  <c r="K2113" i="1"/>
  <c r="M2112" i="1"/>
  <c r="L2112" i="1"/>
  <c r="K2112" i="1"/>
  <c r="M2111" i="1"/>
  <c r="L2111" i="1"/>
  <c r="K2111" i="1"/>
  <c r="M2110" i="1"/>
  <c r="L2110" i="1"/>
  <c r="K2110" i="1"/>
  <c r="M2109" i="1"/>
  <c r="L2109" i="1"/>
  <c r="K2109" i="1"/>
  <c r="M2108" i="1"/>
  <c r="L2108" i="1"/>
  <c r="K2108" i="1"/>
  <c r="M2107" i="1"/>
  <c r="L2107" i="1"/>
  <c r="K2107" i="1"/>
  <c r="M2106" i="1"/>
  <c r="L2106" i="1"/>
  <c r="K2106" i="1"/>
  <c r="M2105" i="1"/>
  <c r="L2105" i="1"/>
  <c r="K2105" i="1"/>
  <c r="M2104" i="1"/>
  <c r="L2104" i="1"/>
  <c r="K2104" i="1"/>
  <c r="M2103" i="1"/>
  <c r="L2103" i="1"/>
  <c r="K2103" i="1"/>
  <c r="M2102" i="1"/>
  <c r="L2102" i="1"/>
  <c r="K2102" i="1"/>
  <c r="M2101" i="1"/>
  <c r="L2101" i="1"/>
  <c r="K2101" i="1"/>
  <c r="M2100" i="1"/>
  <c r="L2100" i="1"/>
  <c r="K2100" i="1"/>
  <c r="M2099" i="1"/>
  <c r="L2099" i="1"/>
  <c r="K2099" i="1"/>
  <c r="M2098" i="1"/>
  <c r="L2098" i="1"/>
  <c r="K2098" i="1"/>
  <c r="M2097" i="1"/>
  <c r="L2097" i="1"/>
  <c r="K2097" i="1"/>
  <c r="M2096" i="1"/>
  <c r="L2096" i="1"/>
  <c r="K2096" i="1"/>
  <c r="M2095" i="1"/>
  <c r="L2095" i="1"/>
  <c r="K2095" i="1"/>
  <c r="M2094" i="1"/>
  <c r="L2094" i="1"/>
  <c r="K2094" i="1"/>
  <c r="M2093" i="1"/>
  <c r="L2093" i="1"/>
  <c r="K2093" i="1"/>
  <c r="M2092" i="1"/>
  <c r="L2092" i="1"/>
  <c r="K2092" i="1"/>
  <c r="M2091" i="1"/>
  <c r="L2091" i="1"/>
  <c r="K2091" i="1"/>
  <c r="M2090" i="1"/>
  <c r="L2090" i="1"/>
  <c r="K2090" i="1"/>
  <c r="M2089" i="1"/>
  <c r="L2089" i="1"/>
  <c r="K2089" i="1"/>
  <c r="M2088" i="1"/>
  <c r="L2088" i="1"/>
  <c r="K2088" i="1"/>
  <c r="M2087" i="1"/>
  <c r="L2087" i="1"/>
  <c r="K2087" i="1"/>
  <c r="M2086" i="1"/>
  <c r="L2086" i="1"/>
  <c r="K2086" i="1"/>
  <c r="M2085" i="1"/>
  <c r="L2085" i="1"/>
  <c r="K2085" i="1"/>
  <c r="M2084" i="1"/>
  <c r="L2084" i="1"/>
  <c r="K2084" i="1"/>
  <c r="M2083" i="1"/>
  <c r="L2083" i="1"/>
  <c r="K2083" i="1"/>
  <c r="M2082" i="1"/>
  <c r="L2082" i="1"/>
  <c r="K2082" i="1"/>
  <c r="M2081" i="1"/>
  <c r="L2081" i="1"/>
  <c r="K2081" i="1"/>
  <c r="M2080" i="1"/>
  <c r="L2080" i="1"/>
  <c r="K2080" i="1"/>
  <c r="M2079" i="1"/>
  <c r="L2079" i="1"/>
  <c r="K2079" i="1"/>
  <c r="M2078" i="1"/>
  <c r="L2078" i="1"/>
  <c r="K2078" i="1"/>
  <c r="M2077" i="1"/>
  <c r="L2077" i="1"/>
  <c r="K2077" i="1"/>
  <c r="M2076" i="1"/>
  <c r="L2076" i="1"/>
  <c r="K2076" i="1"/>
  <c r="M2075" i="1"/>
  <c r="L2075" i="1"/>
  <c r="K2075" i="1"/>
  <c r="M2074" i="1"/>
  <c r="L2074" i="1"/>
  <c r="K2074" i="1"/>
  <c r="M2073" i="1"/>
  <c r="L2073" i="1"/>
  <c r="K2073" i="1"/>
  <c r="M2072" i="1"/>
  <c r="L2072" i="1"/>
  <c r="K2072" i="1"/>
  <c r="M2071" i="1"/>
  <c r="L2071" i="1"/>
  <c r="K2071" i="1"/>
  <c r="M2070" i="1"/>
  <c r="L2070" i="1"/>
  <c r="K2070" i="1"/>
  <c r="M2069" i="1"/>
  <c r="L2069" i="1"/>
  <c r="K2069" i="1"/>
  <c r="M2068" i="1"/>
  <c r="L2068" i="1"/>
  <c r="K2068" i="1"/>
  <c r="M2067" i="1"/>
  <c r="L2067" i="1"/>
  <c r="K2067" i="1"/>
  <c r="M2066" i="1"/>
  <c r="L2066" i="1"/>
  <c r="K2066" i="1"/>
  <c r="M2065" i="1"/>
  <c r="L2065" i="1"/>
  <c r="K2065" i="1"/>
  <c r="M2064" i="1"/>
  <c r="L2064" i="1"/>
  <c r="K2064" i="1"/>
  <c r="M2063" i="1"/>
  <c r="L2063" i="1"/>
  <c r="K2063" i="1"/>
  <c r="M2062" i="1"/>
  <c r="L2062" i="1"/>
  <c r="K2062" i="1"/>
  <c r="M2061" i="1"/>
  <c r="L2061" i="1"/>
  <c r="K2061" i="1"/>
  <c r="M2060" i="1"/>
  <c r="L2060" i="1"/>
  <c r="K2060" i="1"/>
  <c r="M2059" i="1"/>
  <c r="L2059" i="1"/>
  <c r="K2059" i="1"/>
  <c r="M2058" i="1"/>
  <c r="L2058" i="1"/>
  <c r="K2058" i="1"/>
  <c r="M2057" i="1"/>
  <c r="L2057" i="1"/>
  <c r="K2057" i="1"/>
  <c r="M2056" i="1"/>
  <c r="L2056" i="1"/>
  <c r="K2056" i="1"/>
  <c r="M2055" i="1"/>
  <c r="L2055" i="1"/>
  <c r="K2055" i="1"/>
  <c r="M2054" i="1"/>
  <c r="L2054" i="1"/>
  <c r="K2054" i="1"/>
  <c r="M2053" i="1"/>
  <c r="L2053" i="1"/>
  <c r="K2053" i="1"/>
  <c r="M2052" i="1"/>
  <c r="L2052" i="1"/>
  <c r="K2052" i="1"/>
  <c r="M2051" i="1"/>
  <c r="L2051" i="1"/>
  <c r="K2051" i="1"/>
  <c r="M2050" i="1"/>
  <c r="L2050" i="1"/>
  <c r="K2050" i="1"/>
  <c r="M2049" i="1"/>
  <c r="L2049" i="1"/>
  <c r="K2049" i="1"/>
  <c r="M2048" i="1"/>
  <c r="L2048" i="1"/>
  <c r="K2048" i="1"/>
  <c r="M2047" i="1"/>
  <c r="L2047" i="1"/>
  <c r="K2047" i="1"/>
  <c r="M2046" i="1"/>
  <c r="L2046" i="1"/>
  <c r="K2046" i="1"/>
  <c r="M2045" i="1"/>
  <c r="L2045" i="1"/>
  <c r="K2045" i="1"/>
  <c r="M2044" i="1"/>
  <c r="L2044" i="1"/>
  <c r="K2044" i="1"/>
  <c r="M2043" i="1"/>
  <c r="L2043" i="1"/>
  <c r="K2043" i="1"/>
  <c r="M2042" i="1"/>
  <c r="L2042" i="1"/>
  <c r="K2042" i="1"/>
  <c r="M2041" i="1"/>
  <c r="L2041" i="1"/>
  <c r="K2041" i="1"/>
  <c r="M2040" i="1"/>
  <c r="L2040" i="1"/>
  <c r="K2040" i="1"/>
  <c r="M2039" i="1"/>
  <c r="L2039" i="1"/>
  <c r="K2039" i="1"/>
  <c r="M2038" i="1"/>
  <c r="L2038" i="1"/>
  <c r="K2038" i="1"/>
  <c r="M2037" i="1"/>
  <c r="L2037" i="1"/>
  <c r="K2037" i="1"/>
  <c r="M2036" i="1"/>
  <c r="L2036" i="1"/>
  <c r="K2036" i="1"/>
  <c r="M2035" i="1"/>
  <c r="L2035" i="1"/>
  <c r="K2035" i="1"/>
  <c r="M2034" i="1"/>
  <c r="L2034" i="1"/>
  <c r="K2034" i="1"/>
  <c r="M2033" i="1"/>
  <c r="L2033" i="1"/>
  <c r="K2033" i="1"/>
  <c r="M2032" i="1"/>
  <c r="L2032" i="1"/>
  <c r="K2032" i="1"/>
  <c r="M2031" i="1"/>
  <c r="L2031" i="1"/>
  <c r="K2031" i="1"/>
  <c r="M2030" i="1"/>
  <c r="L2030" i="1"/>
  <c r="K2030" i="1"/>
  <c r="M2029" i="1"/>
  <c r="L2029" i="1"/>
  <c r="K2029" i="1"/>
  <c r="M2028" i="1"/>
  <c r="L2028" i="1"/>
  <c r="K2028" i="1"/>
  <c r="M2027" i="1"/>
  <c r="L2027" i="1"/>
  <c r="K2027" i="1"/>
  <c r="M2026" i="1"/>
  <c r="L2026" i="1"/>
  <c r="K2026" i="1"/>
  <c r="M2025" i="1"/>
  <c r="L2025" i="1"/>
  <c r="K2025" i="1"/>
  <c r="M2024" i="1"/>
  <c r="L2024" i="1"/>
  <c r="K2024" i="1"/>
  <c r="M2023" i="1"/>
  <c r="L2023" i="1"/>
  <c r="K2023" i="1"/>
  <c r="M2022" i="1"/>
  <c r="L2022" i="1"/>
  <c r="K2022" i="1"/>
  <c r="M2021" i="1"/>
  <c r="L2021" i="1"/>
  <c r="K2021" i="1"/>
  <c r="M2020" i="1"/>
  <c r="L2020" i="1"/>
  <c r="K2020" i="1"/>
  <c r="M2019" i="1"/>
  <c r="L2019" i="1"/>
  <c r="K2019" i="1"/>
  <c r="M2018" i="1"/>
  <c r="L2018" i="1"/>
  <c r="K2018" i="1"/>
  <c r="M2017" i="1"/>
  <c r="L2017" i="1"/>
  <c r="K2017" i="1"/>
  <c r="M2016" i="1"/>
  <c r="L2016" i="1"/>
  <c r="K2016" i="1"/>
  <c r="M2015" i="1"/>
  <c r="L2015" i="1"/>
  <c r="K2015" i="1"/>
  <c r="M2014" i="1"/>
  <c r="L2014" i="1"/>
  <c r="K2014" i="1"/>
  <c r="M2013" i="1"/>
  <c r="L2013" i="1"/>
  <c r="K2013" i="1"/>
  <c r="M2012" i="1"/>
  <c r="L2012" i="1"/>
  <c r="K2012" i="1"/>
  <c r="M2011" i="1"/>
  <c r="L2011" i="1"/>
  <c r="K2011" i="1"/>
  <c r="M2010" i="1"/>
  <c r="L2010" i="1"/>
  <c r="K2010" i="1"/>
  <c r="M2009" i="1"/>
  <c r="L2009" i="1"/>
  <c r="K2009" i="1"/>
  <c r="M2008" i="1"/>
  <c r="L2008" i="1"/>
  <c r="K2008" i="1"/>
  <c r="M2007" i="1"/>
  <c r="L2007" i="1"/>
  <c r="K2007" i="1"/>
  <c r="M2006" i="1"/>
  <c r="L2006" i="1"/>
  <c r="K2006" i="1"/>
  <c r="M2005" i="1"/>
  <c r="L2005" i="1"/>
  <c r="K2005" i="1"/>
  <c r="M2004" i="1"/>
  <c r="L2004" i="1"/>
  <c r="K2004" i="1"/>
  <c r="M2003" i="1"/>
  <c r="L2003" i="1"/>
  <c r="K2003" i="1"/>
  <c r="M2002" i="1"/>
  <c r="L2002" i="1"/>
  <c r="K2002" i="1"/>
  <c r="M2001" i="1"/>
  <c r="L2001" i="1"/>
  <c r="K2001" i="1"/>
  <c r="M2000" i="1"/>
  <c r="L2000" i="1"/>
  <c r="K2000" i="1"/>
  <c r="M1999" i="1"/>
  <c r="L1999" i="1"/>
  <c r="K1999" i="1"/>
  <c r="M1998" i="1"/>
  <c r="L1998" i="1"/>
  <c r="K1998" i="1"/>
  <c r="M1997" i="1"/>
  <c r="L1997" i="1"/>
  <c r="K1997" i="1"/>
  <c r="M1996" i="1"/>
  <c r="L1996" i="1"/>
  <c r="K1996" i="1"/>
  <c r="M1995" i="1"/>
  <c r="L1995" i="1"/>
  <c r="K1995" i="1"/>
  <c r="M1994" i="1"/>
  <c r="L1994" i="1"/>
  <c r="K1994" i="1"/>
  <c r="M1993" i="1"/>
  <c r="L1993" i="1"/>
  <c r="K1993" i="1"/>
  <c r="M1992" i="1"/>
  <c r="L1992" i="1"/>
  <c r="K1992" i="1"/>
  <c r="M1991" i="1"/>
  <c r="L1991" i="1"/>
  <c r="K1991" i="1"/>
  <c r="M1990" i="1"/>
  <c r="L1990" i="1"/>
  <c r="K1990" i="1"/>
  <c r="M1989" i="1"/>
  <c r="L1989" i="1"/>
  <c r="K1989" i="1"/>
  <c r="M1988" i="1"/>
  <c r="L1988" i="1"/>
  <c r="K1988" i="1"/>
  <c r="M1987" i="1"/>
  <c r="L1987" i="1"/>
  <c r="K1987" i="1"/>
  <c r="M1986" i="1"/>
  <c r="L1986" i="1"/>
  <c r="K1986" i="1"/>
  <c r="M1985" i="1"/>
  <c r="L1985" i="1"/>
  <c r="K1985" i="1"/>
  <c r="M1984" i="1"/>
  <c r="L1984" i="1"/>
  <c r="K1984" i="1"/>
  <c r="M1983" i="1"/>
  <c r="L1983" i="1"/>
  <c r="K1983" i="1"/>
  <c r="M1982" i="1"/>
  <c r="L1982" i="1"/>
  <c r="K1982" i="1"/>
  <c r="M1981" i="1"/>
  <c r="L1981" i="1"/>
  <c r="K1981" i="1"/>
  <c r="M1980" i="1"/>
  <c r="L1980" i="1"/>
  <c r="K1980" i="1"/>
  <c r="M1979" i="1"/>
  <c r="L1979" i="1"/>
  <c r="K1979" i="1"/>
  <c r="M1978" i="1"/>
  <c r="L1978" i="1"/>
  <c r="K1978" i="1"/>
  <c r="M1977" i="1"/>
  <c r="L1977" i="1"/>
  <c r="K1977" i="1"/>
  <c r="M1976" i="1"/>
  <c r="L1976" i="1"/>
  <c r="K1976" i="1"/>
  <c r="M1975" i="1"/>
  <c r="L1975" i="1"/>
  <c r="K1975" i="1"/>
  <c r="M1974" i="1"/>
  <c r="L1974" i="1"/>
  <c r="K1974" i="1"/>
  <c r="M1973" i="1"/>
  <c r="L1973" i="1"/>
  <c r="K1973" i="1"/>
  <c r="M1972" i="1"/>
  <c r="L1972" i="1"/>
  <c r="K1972" i="1"/>
  <c r="M1971" i="1"/>
  <c r="L1971" i="1"/>
  <c r="K1971" i="1"/>
  <c r="M1970" i="1"/>
  <c r="L1970" i="1"/>
  <c r="K1970" i="1"/>
  <c r="M1969" i="1"/>
  <c r="L1969" i="1"/>
  <c r="K1969" i="1"/>
  <c r="M1968" i="1"/>
  <c r="L1968" i="1"/>
  <c r="K1968" i="1"/>
  <c r="M1967" i="1"/>
  <c r="L1967" i="1"/>
  <c r="K1967" i="1"/>
  <c r="M1966" i="1"/>
  <c r="L1966" i="1"/>
  <c r="K1966" i="1"/>
  <c r="M1965" i="1"/>
  <c r="L1965" i="1"/>
  <c r="K1965" i="1"/>
  <c r="M1964" i="1"/>
  <c r="L1964" i="1"/>
  <c r="K1964" i="1"/>
  <c r="M1963" i="1"/>
  <c r="L1963" i="1"/>
  <c r="K1963" i="1"/>
  <c r="M1962" i="1"/>
  <c r="L1962" i="1"/>
  <c r="K1962" i="1"/>
  <c r="M1961" i="1"/>
  <c r="L1961" i="1"/>
  <c r="K1961" i="1"/>
  <c r="M1960" i="1"/>
  <c r="L1960" i="1"/>
  <c r="K1960" i="1"/>
  <c r="M1959" i="1"/>
  <c r="L1959" i="1"/>
  <c r="K1959" i="1"/>
  <c r="M1958" i="1"/>
  <c r="L1958" i="1"/>
  <c r="K1958" i="1"/>
  <c r="M1957" i="1"/>
  <c r="L1957" i="1"/>
  <c r="K1957" i="1"/>
  <c r="M1956" i="1"/>
  <c r="L1956" i="1"/>
  <c r="K1956" i="1"/>
  <c r="M1955" i="1"/>
  <c r="L1955" i="1"/>
  <c r="K1955" i="1"/>
  <c r="M1954" i="1"/>
  <c r="L1954" i="1"/>
  <c r="K1954" i="1"/>
  <c r="M1953" i="1"/>
  <c r="L1953" i="1"/>
  <c r="K1953" i="1"/>
  <c r="M1952" i="1"/>
  <c r="L1952" i="1"/>
  <c r="K1952" i="1"/>
  <c r="M1951" i="1"/>
  <c r="L1951" i="1"/>
  <c r="K1951" i="1"/>
  <c r="M1950" i="1"/>
  <c r="L1950" i="1"/>
  <c r="K1950" i="1"/>
  <c r="M1949" i="1"/>
  <c r="L1949" i="1"/>
  <c r="K1949" i="1"/>
  <c r="M1948" i="1"/>
  <c r="L1948" i="1"/>
  <c r="K1948" i="1"/>
  <c r="M1947" i="1"/>
  <c r="L1947" i="1"/>
  <c r="K1947" i="1"/>
  <c r="M1946" i="1"/>
  <c r="L1946" i="1"/>
  <c r="K1946" i="1"/>
  <c r="M1945" i="1"/>
  <c r="L1945" i="1"/>
  <c r="K1945" i="1"/>
  <c r="M1944" i="1"/>
  <c r="L1944" i="1"/>
  <c r="K1944" i="1"/>
  <c r="M1943" i="1"/>
  <c r="L1943" i="1"/>
  <c r="K1943" i="1"/>
  <c r="M1942" i="1"/>
  <c r="L1942" i="1"/>
  <c r="K1942" i="1"/>
  <c r="M1941" i="1"/>
  <c r="L1941" i="1"/>
  <c r="K1941" i="1"/>
  <c r="M1940" i="1"/>
  <c r="L1940" i="1"/>
  <c r="K1940" i="1"/>
  <c r="M1939" i="1"/>
  <c r="L1939" i="1"/>
  <c r="K1939" i="1"/>
  <c r="M1938" i="1"/>
  <c r="L1938" i="1"/>
  <c r="K1938" i="1"/>
  <c r="M1937" i="1"/>
  <c r="L1937" i="1"/>
  <c r="K1937" i="1"/>
  <c r="M1936" i="1"/>
  <c r="L1936" i="1"/>
  <c r="K1936" i="1"/>
  <c r="M1935" i="1"/>
  <c r="L1935" i="1"/>
  <c r="K1935" i="1"/>
  <c r="M1934" i="1"/>
  <c r="L1934" i="1"/>
  <c r="K1934" i="1"/>
  <c r="M1933" i="1"/>
  <c r="L1933" i="1"/>
  <c r="K1933" i="1"/>
  <c r="M1932" i="1"/>
  <c r="L1932" i="1"/>
  <c r="K1932" i="1"/>
  <c r="M1931" i="1"/>
  <c r="L1931" i="1"/>
  <c r="K1931" i="1"/>
  <c r="M1930" i="1"/>
  <c r="L1930" i="1"/>
  <c r="K1930" i="1"/>
  <c r="M1929" i="1"/>
  <c r="L1929" i="1"/>
  <c r="K1929" i="1"/>
  <c r="M1928" i="1"/>
  <c r="L1928" i="1"/>
  <c r="K1928" i="1"/>
  <c r="M1927" i="1"/>
  <c r="L1927" i="1"/>
  <c r="K1927" i="1"/>
  <c r="M1926" i="1"/>
  <c r="L1926" i="1"/>
  <c r="K1926" i="1"/>
  <c r="M1925" i="1"/>
  <c r="L1925" i="1"/>
  <c r="K1925" i="1"/>
  <c r="M1924" i="1"/>
  <c r="L1924" i="1"/>
  <c r="K1924" i="1"/>
  <c r="M1923" i="1"/>
  <c r="L1923" i="1"/>
  <c r="K1923" i="1"/>
  <c r="M1922" i="1"/>
  <c r="L1922" i="1"/>
  <c r="K1922" i="1"/>
  <c r="M1921" i="1"/>
  <c r="L1921" i="1"/>
  <c r="K1921" i="1"/>
  <c r="M1920" i="1"/>
  <c r="L1920" i="1"/>
  <c r="K1920" i="1"/>
  <c r="M1919" i="1"/>
  <c r="L1919" i="1"/>
  <c r="K1919" i="1"/>
  <c r="M1918" i="1"/>
  <c r="L1918" i="1"/>
  <c r="K1918" i="1"/>
  <c r="M1917" i="1"/>
  <c r="L1917" i="1"/>
  <c r="K1917" i="1"/>
  <c r="M1916" i="1"/>
  <c r="L1916" i="1"/>
  <c r="K1916" i="1"/>
  <c r="M1915" i="1"/>
  <c r="L1915" i="1"/>
  <c r="K1915" i="1"/>
  <c r="M1914" i="1"/>
  <c r="L1914" i="1"/>
  <c r="K1914" i="1"/>
  <c r="M1913" i="1"/>
  <c r="L1913" i="1"/>
  <c r="K1913" i="1"/>
  <c r="M1912" i="1"/>
  <c r="L1912" i="1"/>
  <c r="K1912" i="1"/>
  <c r="M1911" i="1"/>
  <c r="L1911" i="1"/>
  <c r="K1911" i="1"/>
  <c r="M1910" i="1"/>
  <c r="L1910" i="1"/>
  <c r="K1910" i="1"/>
  <c r="M1909" i="1"/>
  <c r="L1909" i="1"/>
  <c r="K1909" i="1"/>
  <c r="M1908" i="1"/>
  <c r="L1908" i="1"/>
  <c r="K1908" i="1"/>
  <c r="M1907" i="1"/>
  <c r="L1907" i="1"/>
  <c r="K1907" i="1"/>
  <c r="M1906" i="1"/>
  <c r="L1906" i="1"/>
  <c r="K1906" i="1"/>
  <c r="M1905" i="1"/>
  <c r="L1905" i="1"/>
  <c r="K1905" i="1"/>
  <c r="M1904" i="1"/>
  <c r="L1904" i="1"/>
  <c r="K1904" i="1"/>
  <c r="M1903" i="1"/>
  <c r="L1903" i="1"/>
  <c r="K1903" i="1"/>
  <c r="M1902" i="1"/>
  <c r="L1902" i="1"/>
  <c r="K1902" i="1"/>
  <c r="M1901" i="1"/>
  <c r="L1901" i="1"/>
  <c r="K1901" i="1"/>
  <c r="M1900" i="1"/>
  <c r="L1900" i="1"/>
  <c r="K1900" i="1"/>
  <c r="M1899" i="1"/>
  <c r="L1899" i="1"/>
  <c r="K1899" i="1"/>
  <c r="M1898" i="1"/>
  <c r="L1898" i="1"/>
  <c r="K1898" i="1"/>
  <c r="M1897" i="1"/>
  <c r="L1897" i="1"/>
  <c r="K1897" i="1"/>
  <c r="M1896" i="1"/>
  <c r="L1896" i="1"/>
  <c r="K1896" i="1"/>
  <c r="M1895" i="1"/>
  <c r="L1895" i="1"/>
  <c r="K1895" i="1"/>
  <c r="M1894" i="1"/>
  <c r="L1894" i="1"/>
  <c r="K1894" i="1"/>
  <c r="M1893" i="1"/>
  <c r="L1893" i="1"/>
  <c r="K1893" i="1"/>
  <c r="M1892" i="1"/>
  <c r="L1892" i="1"/>
  <c r="K1892" i="1"/>
  <c r="M1891" i="1"/>
  <c r="L1891" i="1"/>
  <c r="K1891" i="1"/>
  <c r="M1890" i="1"/>
  <c r="L1890" i="1"/>
  <c r="K1890" i="1"/>
  <c r="M1889" i="1"/>
  <c r="L1889" i="1"/>
  <c r="K1889" i="1"/>
  <c r="M1888" i="1"/>
  <c r="L1888" i="1"/>
  <c r="K1888" i="1"/>
  <c r="M1887" i="1"/>
  <c r="L1887" i="1"/>
  <c r="K1887" i="1"/>
  <c r="M1886" i="1"/>
  <c r="L1886" i="1"/>
  <c r="K1886" i="1"/>
  <c r="M1885" i="1"/>
  <c r="L1885" i="1"/>
  <c r="K1885" i="1"/>
  <c r="M1884" i="1"/>
  <c r="L1884" i="1"/>
  <c r="K1884" i="1"/>
  <c r="M1883" i="1"/>
  <c r="L1883" i="1"/>
  <c r="K1883" i="1"/>
  <c r="M1882" i="1"/>
  <c r="L1882" i="1"/>
  <c r="K1882" i="1"/>
  <c r="M1881" i="1"/>
  <c r="L1881" i="1"/>
  <c r="K1881" i="1"/>
  <c r="M1880" i="1"/>
  <c r="L1880" i="1"/>
  <c r="K1880" i="1"/>
  <c r="M1879" i="1"/>
  <c r="L1879" i="1"/>
  <c r="K1879" i="1"/>
  <c r="M1878" i="1"/>
  <c r="L1878" i="1"/>
  <c r="K1878" i="1"/>
  <c r="M1877" i="1"/>
  <c r="L1877" i="1"/>
  <c r="K1877" i="1"/>
  <c r="M1876" i="1"/>
  <c r="L1876" i="1"/>
  <c r="K1876" i="1"/>
  <c r="M1875" i="1"/>
  <c r="L1875" i="1"/>
  <c r="K1875" i="1"/>
  <c r="M1874" i="1"/>
  <c r="L1874" i="1"/>
  <c r="K1874" i="1"/>
  <c r="M1873" i="1"/>
  <c r="L1873" i="1"/>
  <c r="K1873" i="1"/>
  <c r="M1872" i="1"/>
  <c r="L1872" i="1"/>
  <c r="K1872" i="1"/>
  <c r="M1871" i="1"/>
  <c r="L1871" i="1"/>
  <c r="K1871" i="1"/>
  <c r="M1870" i="1"/>
  <c r="L1870" i="1"/>
  <c r="K1870" i="1"/>
  <c r="M1869" i="1"/>
  <c r="L1869" i="1"/>
  <c r="K1869" i="1"/>
  <c r="M1868" i="1"/>
  <c r="L1868" i="1"/>
  <c r="K1868" i="1"/>
  <c r="M1867" i="1"/>
  <c r="L1867" i="1"/>
  <c r="K1867" i="1"/>
  <c r="M1866" i="1"/>
  <c r="L1866" i="1"/>
  <c r="K1866" i="1"/>
  <c r="M1865" i="1"/>
  <c r="L1865" i="1"/>
  <c r="K1865" i="1"/>
  <c r="M1864" i="1"/>
  <c r="L1864" i="1"/>
  <c r="K1864" i="1"/>
  <c r="M1863" i="1"/>
  <c r="L1863" i="1"/>
  <c r="K1863" i="1"/>
  <c r="M1862" i="1"/>
  <c r="L1862" i="1"/>
  <c r="K1862" i="1"/>
  <c r="M1861" i="1"/>
  <c r="L1861" i="1"/>
  <c r="K1861" i="1"/>
  <c r="M1860" i="1"/>
  <c r="L1860" i="1"/>
  <c r="K1860" i="1"/>
  <c r="M1859" i="1"/>
  <c r="L1859" i="1"/>
  <c r="K1859" i="1"/>
  <c r="M1858" i="1"/>
  <c r="L1858" i="1"/>
  <c r="K1858" i="1"/>
  <c r="M1857" i="1"/>
  <c r="L1857" i="1"/>
  <c r="K1857" i="1"/>
  <c r="M1856" i="1"/>
  <c r="L1856" i="1"/>
  <c r="K1856" i="1"/>
  <c r="M1855" i="1"/>
  <c r="L1855" i="1"/>
  <c r="K1855" i="1"/>
  <c r="M1854" i="1"/>
  <c r="L1854" i="1"/>
  <c r="K1854" i="1"/>
  <c r="M1853" i="1"/>
  <c r="L1853" i="1"/>
  <c r="K1853" i="1"/>
  <c r="M1852" i="1"/>
  <c r="L1852" i="1"/>
  <c r="K1852" i="1"/>
  <c r="M1851" i="1"/>
  <c r="L1851" i="1"/>
  <c r="K1851" i="1"/>
  <c r="M1850" i="1"/>
  <c r="L1850" i="1"/>
  <c r="K1850" i="1"/>
  <c r="M1849" i="1"/>
  <c r="L1849" i="1"/>
  <c r="K1849" i="1"/>
  <c r="M1848" i="1"/>
  <c r="L1848" i="1"/>
  <c r="K1848" i="1"/>
  <c r="M1847" i="1"/>
  <c r="L1847" i="1"/>
  <c r="K1847" i="1"/>
  <c r="M1846" i="1"/>
  <c r="L1846" i="1"/>
  <c r="K1846" i="1"/>
  <c r="M1845" i="1"/>
  <c r="L1845" i="1"/>
  <c r="K1845" i="1"/>
  <c r="M1844" i="1"/>
  <c r="L1844" i="1"/>
  <c r="K1844" i="1"/>
  <c r="M1843" i="1"/>
  <c r="L1843" i="1"/>
  <c r="K1843" i="1"/>
  <c r="M1842" i="1"/>
  <c r="L1842" i="1"/>
  <c r="K1842" i="1"/>
  <c r="M1841" i="1"/>
  <c r="L1841" i="1"/>
  <c r="K1841" i="1"/>
  <c r="M1840" i="1"/>
  <c r="L1840" i="1"/>
  <c r="K1840" i="1"/>
  <c r="M1839" i="1"/>
  <c r="L1839" i="1"/>
  <c r="K1839" i="1"/>
  <c r="M1838" i="1"/>
  <c r="L1838" i="1"/>
  <c r="K1838" i="1"/>
  <c r="M1837" i="1"/>
  <c r="L1837" i="1"/>
  <c r="K1837" i="1"/>
  <c r="M1836" i="1"/>
  <c r="L1836" i="1"/>
  <c r="K1836" i="1"/>
  <c r="M1835" i="1"/>
  <c r="L1835" i="1"/>
  <c r="K1835" i="1"/>
  <c r="M1834" i="1"/>
  <c r="L1834" i="1"/>
  <c r="K1834" i="1"/>
  <c r="M1833" i="1"/>
  <c r="L1833" i="1"/>
  <c r="K1833" i="1"/>
  <c r="M1832" i="1"/>
  <c r="L1832" i="1"/>
  <c r="K1832" i="1"/>
  <c r="M1831" i="1"/>
  <c r="L1831" i="1"/>
  <c r="K1831" i="1"/>
  <c r="M1830" i="1"/>
  <c r="L1830" i="1"/>
  <c r="K1830" i="1"/>
  <c r="M1829" i="1"/>
  <c r="L1829" i="1"/>
  <c r="K1829" i="1"/>
  <c r="M1828" i="1"/>
  <c r="L1828" i="1"/>
  <c r="K1828" i="1"/>
  <c r="M1827" i="1"/>
  <c r="L1827" i="1"/>
  <c r="K1827" i="1"/>
  <c r="M1826" i="1"/>
  <c r="L1826" i="1"/>
  <c r="K1826" i="1"/>
  <c r="M1825" i="1"/>
  <c r="L1825" i="1"/>
  <c r="K1825" i="1"/>
  <c r="M1824" i="1"/>
  <c r="L1824" i="1"/>
  <c r="K1824" i="1"/>
  <c r="M1823" i="1"/>
  <c r="L1823" i="1"/>
  <c r="K1823" i="1"/>
  <c r="M1822" i="1"/>
  <c r="L1822" i="1"/>
  <c r="K1822" i="1"/>
  <c r="M1821" i="1"/>
  <c r="L1821" i="1"/>
  <c r="K1821" i="1"/>
  <c r="M1820" i="1"/>
  <c r="L1820" i="1"/>
  <c r="K1820" i="1"/>
  <c r="M1819" i="1"/>
  <c r="L1819" i="1"/>
  <c r="K1819" i="1"/>
  <c r="M1818" i="1"/>
  <c r="L1818" i="1"/>
  <c r="K1818" i="1"/>
  <c r="M1817" i="1"/>
  <c r="L1817" i="1"/>
  <c r="K1817" i="1"/>
  <c r="M1816" i="1"/>
  <c r="L1816" i="1"/>
  <c r="K1816" i="1"/>
  <c r="M1815" i="1"/>
  <c r="L1815" i="1"/>
  <c r="K1815" i="1"/>
  <c r="M1814" i="1"/>
  <c r="L1814" i="1"/>
  <c r="K1814" i="1"/>
  <c r="M1813" i="1"/>
  <c r="L1813" i="1"/>
  <c r="K1813" i="1"/>
  <c r="M1812" i="1"/>
  <c r="L1812" i="1"/>
  <c r="K1812" i="1"/>
  <c r="M1811" i="1"/>
  <c r="L1811" i="1"/>
  <c r="K1811" i="1"/>
  <c r="M1810" i="1"/>
  <c r="L1810" i="1"/>
  <c r="K1810" i="1"/>
  <c r="M1809" i="1"/>
  <c r="L1809" i="1"/>
  <c r="K1809" i="1"/>
  <c r="M1808" i="1"/>
  <c r="L1808" i="1"/>
  <c r="K1808" i="1"/>
  <c r="M1807" i="1"/>
  <c r="L1807" i="1"/>
  <c r="K1807" i="1"/>
  <c r="M1806" i="1"/>
  <c r="L1806" i="1"/>
  <c r="K1806" i="1"/>
  <c r="M1805" i="1"/>
  <c r="L1805" i="1"/>
  <c r="K1805" i="1"/>
  <c r="M1804" i="1"/>
  <c r="L1804" i="1"/>
  <c r="K1804" i="1"/>
  <c r="M1803" i="1"/>
  <c r="L1803" i="1"/>
  <c r="K1803" i="1"/>
  <c r="M1802" i="1"/>
  <c r="L1802" i="1"/>
  <c r="K1802" i="1"/>
  <c r="M1801" i="1"/>
  <c r="L1801" i="1"/>
  <c r="K1801" i="1"/>
  <c r="M1800" i="1"/>
  <c r="L1800" i="1"/>
  <c r="K1800" i="1"/>
  <c r="M1799" i="1"/>
  <c r="L1799" i="1"/>
  <c r="K1799" i="1"/>
  <c r="M1798" i="1"/>
  <c r="L1798" i="1"/>
  <c r="K1798" i="1"/>
  <c r="M1797" i="1"/>
  <c r="L1797" i="1"/>
  <c r="K1797" i="1"/>
  <c r="M1796" i="1"/>
  <c r="L1796" i="1"/>
  <c r="K1796" i="1"/>
  <c r="M1795" i="1"/>
  <c r="L1795" i="1"/>
  <c r="K1795" i="1"/>
  <c r="M1794" i="1"/>
  <c r="L1794" i="1"/>
  <c r="K1794" i="1"/>
  <c r="M1793" i="1"/>
  <c r="L1793" i="1"/>
  <c r="K1793" i="1"/>
  <c r="M1792" i="1"/>
  <c r="L1792" i="1"/>
  <c r="K1792" i="1"/>
  <c r="M1791" i="1"/>
  <c r="L1791" i="1"/>
  <c r="K1791" i="1"/>
  <c r="M1790" i="1"/>
  <c r="L1790" i="1"/>
  <c r="K1790" i="1"/>
  <c r="M1789" i="1"/>
  <c r="L1789" i="1"/>
  <c r="K1789" i="1"/>
  <c r="M1788" i="1"/>
  <c r="L1788" i="1"/>
  <c r="K1788" i="1"/>
  <c r="M1787" i="1"/>
  <c r="L1787" i="1"/>
  <c r="K1787" i="1"/>
  <c r="M1786" i="1"/>
  <c r="L1786" i="1"/>
  <c r="K1786" i="1"/>
  <c r="M1785" i="1"/>
  <c r="L1785" i="1"/>
  <c r="K1785" i="1"/>
  <c r="M1784" i="1"/>
  <c r="L1784" i="1"/>
  <c r="K1784" i="1"/>
  <c r="M1783" i="1"/>
  <c r="L1783" i="1"/>
  <c r="K1783" i="1"/>
  <c r="M1782" i="1"/>
  <c r="L1782" i="1"/>
  <c r="K1782" i="1"/>
  <c r="M1781" i="1"/>
  <c r="L1781" i="1"/>
  <c r="K1781" i="1"/>
  <c r="M1780" i="1"/>
  <c r="L1780" i="1"/>
  <c r="K1780" i="1"/>
  <c r="M1779" i="1"/>
  <c r="L1779" i="1"/>
  <c r="K1779" i="1"/>
  <c r="M1778" i="1"/>
  <c r="L1778" i="1"/>
  <c r="K1778" i="1"/>
  <c r="M1777" i="1"/>
  <c r="L1777" i="1"/>
  <c r="K1777" i="1"/>
  <c r="M1776" i="1"/>
  <c r="L1776" i="1"/>
  <c r="K1776" i="1"/>
  <c r="M1775" i="1"/>
  <c r="L1775" i="1"/>
  <c r="K1775" i="1"/>
  <c r="M1774" i="1"/>
  <c r="L1774" i="1"/>
  <c r="K1774" i="1"/>
  <c r="M1773" i="1"/>
  <c r="L1773" i="1"/>
  <c r="K1773" i="1"/>
  <c r="M1772" i="1"/>
  <c r="L1772" i="1"/>
  <c r="K1772" i="1"/>
  <c r="M1771" i="1"/>
  <c r="L1771" i="1"/>
  <c r="K1771" i="1"/>
  <c r="M1770" i="1"/>
  <c r="L1770" i="1"/>
  <c r="K1770" i="1"/>
  <c r="M1769" i="1"/>
  <c r="L1769" i="1"/>
  <c r="K1769" i="1"/>
  <c r="M1768" i="1"/>
  <c r="L1768" i="1"/>
  <c r="K1768" i="1"/>
  <c r="M1767" i="1"/>
  <c r="L1767" i="1"/>
  <c r="K1767" i="1"/>
  <c r="M1766" i="1"/>
  <c r="L1766" i="1"/>
  <c r="K1766" i="1"/>
  <c r="M1765" i="1"/>
  <c r="L1765" i="1"/>
  <c r="K1765" i="1"/>
  <c r="M1764" i="1"/>
  <c r="L1764" i="1"/>
  <c r="K1764" i="1"/>
  <c r="M1763" i="1"/>
  <c r="L1763" i="1"/>
  <c r="K1763" i="1"/>
  <c r="M1762" i="1"/>
  <c r="L1762" i="1"/>
  <c r="K1762" i="1"/>
  <c r="M1761" i="1"/>
  <c r="L1761" i="1"/>
  <c r="K1761" i="1"/>
  <c r="M1760" i="1"/>
  <c r="L1760" i="1"/>
  <c r="K1760" i="1"/>
  <c r="M1759" i="1"/>
  <c r="L1759" i="1"/>
  <c r="K1759" i="1"/>
  <c r="M1758" i="1"/>
  <c r="L1758" i="1"/>
  <c r="K1758" i="1"/>
  <c r="M1757" i="1"/>
  <c r="L1757" i="1"/>
  <c r="K1757" i="1"/>
  <c r="M1756" i="1"/>
  <c r="L1756" i="1"/>
  <c r="K1756" i="1"/>
  <c r="M1755" i="1"/>
  <c r="L1755" i="1"/>
  <c r="K1755" i="1"/>
  <c r="M1754" i="1"/>
  <c r="L1754" i="1"/>
  <c r="K1754" i="1"/>
  <c r="M1753" i="1"/>
  <c r="L1753" i="1"/>
  <c r="K1753" i="1"/>
  <c r="M1752" i="1"/>
  <c r="L1752" i="1"/>
  <c r="K1752" i="1"/>
  <c r="M1751" i="1"/>
  <c r="L1751" i="1"/>
  <c r="K1751" i="1"/>
  <c r="M1750" i="1"/>
  <c r="L1750" i="1"/>
  <c r="K1750" i="1"/>
  <c r="M1749" i="1"/>
  <c r="L1749" i="1"/>
  <c r="K1749" i="1"/>
  <c r="M1748" i="1"/>
  <c r="L1748" i="1"/>
  <c r="K1748" i="1"/>
  <c r="M1747" i="1"/>
  <c r="L1747" i="1"/>
  <c r="K1747" i="1"/>
  <c r="M1746" i="1"/>
  <c r="L1746" i="1"/>
  <c r="K1746" i="1"/>
  <c r="M1745" i="1"/>
  <c r="L1745" i="1"/>
  <c r="K1745" i="1"/>
  <c r="M1744" i="1"/>
  <c r="L1744" i="1"/>
  <c r="K1744" i="1"/>
  <c r="M1743" i="1"/>
  <c r="L1743" i="1"/>
  <c r="K1743" i="1"/>
  <c r="M1742" i="1"/>
  <c r="L1742" i="1"/>
  <c r="K1742" i="1"/>
  <c r="M1741" i="1"/>
  <c r="L1741" i="1"/>
  <c r="K1741" i="1"/>
  <c r="M1740" i="1"/>
  <c r="L1740" i="1"/>
  <c r="K1740" i="1"/>
  <c r="M1739" i="1"/>
  <c r="L1739" i="1"/>
  <c r="K1739" i="1"/>
  <c r="M1738" i="1"/>
  <c r="L1738" i="1"/>
  <c r="K1738" i="1"/>
  <c r="M1737" i="1"/>
  <c r="L1737" i="1"/>
  <c r="K1737" i="1"/>
  <c r="M1736" i="1"/>
  <c r="L1736" i="1"/>
  <c r="K1736" i="1"/>
  <c r="M1735" i="1"/>
  <c r="L1735" i="1"/>
  <c r="K1735" i="1"/>
  <c r="M1734" i="1"/>
  <c r="L1734" i="1"/>
  <c r="K1734" i="1"/>
  <c r="M1733" i="1"/>
  <c r="L1733" i="1"/>
  <c r="K1733" i="1"/>
  <c r="M1732" i="1"/>
  <c r="L1732" i="1"/>
  <c r="K1732" i="1"/>
  <c r="M1731" i="1"/>
  <c r="L1731" i="1"/>
  <c r="K1731" i="1"/>
  <c r="M1730" i="1"/>
  <c r="L1730" i="1"/>
  <c r="K1730" i="1"/>
  <c r="M1729" i="1"/>
  <c r="L1729" i="1"/>
  <c r="K1729" i="1"/>
  <c r="M1728" i="1"/>
  <c r="L1728" i="1"/>
  <c r="K1728" i="1"/>
  <c r="M1727" i="1"/>
  <c r="L1727" i="1"/>
  <c r="K1727" i="1"/>
  <c r="M1726" i="1"/>
  <c r="L1726" i="1"/>
  <c r="K1726" i="1"/>
  <c r="M1725" i="1"/>
  <c r="L1725" i="1"/>
  <c r="K1725" i="1"/>
  <c r="M1724" i="1"/>
  <c r="L1724" i="1"/>
  <c r="K1724" i="1"/>
  <c r="M1723" i="1"/>
  <c r="L1723" i="1"/>
  <c r="K1723" i="1"/>
  <c r="M1722" i="1"/>
  <c r="L1722" i="1"/>
  <c r="K1722" i="1"/>
  <c r="M1721" i="1"/>
  <c r="L1721" i="1"/>
  <c r="K1721" i="1"/>
  <c r="M1720" i="1"/>
  <c r="L1720" i="1"/>
  <c r="K1720" i="1"/>
  <c r="M1719" i="1"/>
  <c r="L1719" i="1"/>
  <c r="K1719" i="1"/>
  <c r="M1718" i="1"/>
  <c r="L1718" i="1"/>
  <c r="K1718" i="1"/>
  <c r="M1717" i="1"/>
  <c r="L1717" i="1"/>
  <c r="K1717" i="1"/>
  <c r="M1716" i="1"/>
  <c r="L1716" i="1"/>
  <c r="K1716" i="1"/>
  <c r="M1715" i="1"/>
  <c r="L1715" i="1"/>
  <c r="K1715" i="1"/>
  <c r="M1714" i="1"/>
  <c r="L1714" i="1"/>
  <c r="K1714" i="1"/>
  <c r="M1713" i="1"/>
  <c r="L1713" i="1"/>
  <c r="K1713" i="1"/>
  <c r="M1712" i="1"/>
  <c r="L1712" i="1"/>
  <c r="K1712" i="1"/>
  <c r="M1711" i="1"/>
  <c r="L1711" i="1"/>
  <c r="K1711" i="1"/>
  <c r="M1710" i="1"/>
  <c r="L1710" i="1"/>
  <c r="K1710" i="1"/>
  <c r="M1709" i="1"/>
  <c r="L1709" i="1"/>
  <c r="K1709" i="1"/>
  <c r="M1708" i="1"/>
  <c r="L1708" i="1"/>
  <c r="K1708" i="1"/>
  <c r="M1707" i="1"/>
  <c r="L1707" i="1"/>
  <c r="K1707" i="1"/>
  <c r="M1706" i="1"/>
  <c r="L1706" i="1"/>
  <c r="K1706" i="1"/>
  <c r="M1705" i="1"/>
  <c r="L1705" i="1"/>
  <c r="K1705" i="1"/>
  <c r="M1704" i="1"/>
  <c r="L1704" i="1"/>
  <c r="K1704" i="1"/>
  <c r="M1703" i="1"/>
  <c r="L1703" i="1"/>
  <c r="K1703" i="1"/>
  <c r="M1702" i="1"/>
  <c r="L1702" i="1"/>
  <c r="K1702" i="1"/>
  <c r="M1701" i="1"/>
  <c r="L1701" i="1"/>
  <c r="K1701" i="1"/>
  <c r="M1700" i="1"/>
  <c r="L1700" i="1"/>
  <c r="K1700" i="1"/>
  <c r="M1699" i="1"/>
  <c r="L1699" i="1"/>
  <c r="K1699" i="1"/>
  <c r="M1698" i="1"/>
  <c r="L1698" i="1"/>
  <c r="K1698" i="1"/>
  <c r="M1697" i="1"/>
  <c r="L1697" i="1"/>
  <c r="K1697" i="1"/>
  <c r="M1696" i="1"/>
  <c r="L1696" i="1"/>
  <c r="K1696" i="1"/>
  <c r="M1695" i="1"/>
  <c r="L1695" i="1"/>
  <c r="K1695" i="1"/>
  <c r="M1694" i="1"/>
  <c r="L1694" i="1"/>
  <c r="K1694" i="1"/>
  <c r="M1693" i="1"/>
  <c r="L1693" i="1"/>
  <c r="K1693" i="1"/>
  <c r="M1692" i="1"/>
  <c r="L1692" i="1"/>
  <c r="K1692" i="1"/>
  <c r="M1691" i="1"/>
  <c r="L1691" i="1"/>
  <c r="K1691" i="1"/>
  <c r="M1690" i="1"/>
  <c r="L1690" i="1"/>
  <c r="K1690" i="1"/>
  <c r="M1689" i="1"/>
  <c r="L1689" i="1"/>
  <c r="K1689" i="1"/>
  <c r="M1688" i="1"/>
  <c r="L1688" i="1"/>
  <c r="K1688" i="1"/>
  <c r="M1687" i="1"/>
  <c r="L1687" i="1"/>
  <c r="K1687" i="1"/>
  <c r="M1686" i="1"/>
  <c r="L1686" i="1"/>
  <c r="K1686" i="1"/>
  <c r="M1685" i="1"/>
  <c r="L1685" i="1"/>
  <c r="K1685" i="1"/>
  <c r="M1684" i="1"/>
  <c r="L1684" i="1"/>
  <c r="K1684" i="1"/>
  <c r="M1683" i="1"/>
  <c r="L1683" i="1"/>
  <c r="K1683" i="1"/>
  <c r="M1682" i="1"/>
  <c r="L1682" i="1"/>
  <c r="K1682" i="1"/>
  <c r="M1681" i="1"/>
  <c r="L1681" i="1"/>
  <c r="K1681" i="1"/>
  <c r="M1680" i="1"/>
  <c r="L1680" i="1"/>
  <c r="K1680" i="1"/>
  <c r="M1679" i="1"/>
  <c r="L1679" i="1"/>
  <c r="K1679" i="1"/>
  <c r="M1678" i="1"/>
  <c r="L1678" i="1"/>
  <c r="K1678" i="1"/>
  <c r="M1677" i="1"/>
  <c r="L1677" i="1"/>
  <c r="K1677" i="1"/>
  <c r="M1676" i="1"/>
  <c r="L1676" i="1"/>
  <c r="K1676" i="1"/>
  <c r="M1675" i="1"/>
  <c r="L1675" i="1"/>
  <c r="K1675" i="1"/>
  <c r="M1674" i="1"/>
  <c r="L1674" i="1"/>
  <c r="K1674" i="1"/>
  <c r="M1673" i="1"/>
  <c r="L1673" i="1"/>
  <c r="K1673" i="1"/>
  <c r="M1672" i="1"/>
  <c r="L1672" i="1"/>
  <c r="K1672" i="1"/>
  <c r="M1671" i="1"/>
  <c r="L1671" i="1"/>
  <c r="K1671" i="1"/>
  <c r="M1670" i="1"/>
  <c r="L1670" i="1"/>
  <c r="K1670" i="1"/>
  <c r="M1669" i="1"/>
  <c r="L1669" i="1"/>
  <c r="K1669" i="1"/>
  <c r="M1668" i="1"/>
  <c r="L1668" i="1"/>
  <c r="K1668" i="1"/>
  <c r="M1667" i="1"/>
  <c r="L1667" i="1"/>
  <c r="K1667" i="1"/>
  <c r="M1666" i="1"/>
  <c r="L1666" i="1"/>
  <c r="K1666" i="1"/>
  <c r="M1665" i="1"/>
  <c r="L1665" i="1"/>
  <c r="K1665" i="1"/>
  <c r="M1664" i="1"/>
  <c r="L1664" i="1"/>
  <c r="K1664" i="1"/>
  <c r="M1663" i="1"/>
  <c r="L1663" i="1"/>
  <c r="K1663" i="1"/>
  <c r="M1662" i="1"/>
  <c r="L1662" i="1"/>
  <c r="K1662" i="1"/>
  <c r="M1661" i="1"/>
  <c r="L1661" i="1"/>
  <c r="K1661" i="1"/>
  <c r="M1660" i="1"/>
  <c r="L1660" i="1"/>
  <c r="K1660" i="1"/>
  <c r="M1659" i="1"/>
  <c r="L1659" i="1"/>
  <c r="K1659" i="1"/>
  <c r="M1658" i="1"/>
  <c r="L1658" i="1"/>
  <c r="K1658" i="1"/>
  <c r="M1657" i="1"/>
  <c r="L1657" i="1"/>
  <c r="K1657" i="1"/>
  <c r="M1656" i="1"/>
  <c r="L1656" i="1"/>
  <c r="K1656" i="1"/>
  <c r="M1655" i="1"/>
  <c r="L1655" i="1"/>
  <c r="K1655" i="1"/>
  <c r="M1654" i="1"/>
  <c r="L1654" i="1"/>
  <c r="K1654" i="1"/>
  <c r="M1653" i="1"/>
  <c r="L1653" i="1"/>
  <c r="K1653" i="1"/>
  <c r="M1652" i="1"/>
  <c r="L1652" i="1"/>
  <c r="K1652" i="1"/>
  <c r="M1651" i="1"/>
  <c r="L1651" i="1"/>
  <c r="K1651" i="1"/>
  <c r="M1650" i="1"/>
  <c r="L1650" i="1"/>
  <c r="K1650" i="1"/>
  <c r="M1649" i="1"/>
  <c r="L1649" i="1"/>
  <c r="K1649" i="1"/>
  <c r="M1648" i="1"/>
  <c r="L1648" i="1"/>
  <c r="K1648" i="1"/>
  <c r="M1647" i="1"/>
  <c r="L1647" i="1"/>
  <c r="K1647" i="1"/>
  <c r="M1646" i="1"/>
  <c r="L1646" i="1"/>
  <c r="K1646" i="1"/>
  <c r="M1645" i="1"/>
  <c r="L1645" i="1"/>
  <c r="K1645" i="1"/>
  <c r="M1644" i="1"/>
  <c r="L1644" i="1"/>
  <c r="K1644" i="1"/>
  <c r="M1643" i="1"/>
  <c r="L1643" i="1"/>
  <c r="K1643" i="1"/>
  <c r="M1642" i="1"/>
  <c r="L1642" i="1"/>
  <c r="K1642" i="1"/>
  <c r="M1641" i="1"/>
  <c r="L1641" i="1"/>
  <c r="K1641" i="1"/>
  <c r="M1640" i="1"/>
  <c r="L1640" i="1"/>
  <c r="K1640" i="1"/>
  <c r="M1639" i="1"/>
  <c r="L1639" i="1"/>
  <c r="K1639" i="1"/>
  <c r="M1638" i="1"/>
  <c r="L1638" i="1"/>
  <c r="K1638" i="1"/>
  <c r="M1637" i="1"/>
  <c r="L1637" i="1"/>
  <c r="K1637" i="1"/>
  <c r="M1636" i="1"/>
  <c r="L1636" i="1"/>
  <c r="K1636" i="1"/>
  <c r="M1635" i="1"/>
  <c r="L1635" i="1"/>
  <c r="K1635" i="1"/>
  <c r="M1634" i="1"/>
  <c r="L1634" i="1"/>
  <c r="K1634" i="1"/>
  <c r="M1633" i="1"/>
  <c r="L1633" i="1"/>
  <c r="K1633" i="1"/>
  <c r="M1632" i="1"/>
  <c r="L1632" i="1"/>
  <c r="K1632" i="1"/>
  <c r="M1631" i="1"/>
  <c r="L1631" i="1"/>
  <c r="K1631" i="1"/>
  <c r="M1630" i="1"/>
  <c r="L1630" i="1"/>
  <c r="K1630" i="1"/>
  <c r="M1629" i="1"/>
  <c r="L1629" i="1"/>
  <c r="K1629" i="1"/>
  <c r="M1628" i="1"/>
  <c r="L1628" i="1"/>
  <c r="K1628" i="1"/>
  <c r="M1627" i="1"/>
  <c r="L1627" i="1"/>
  <c r="K1627" i="1"/>
  <c r="M1626" i="1"/>
  <c r="L1626" i="1"/>
  <c r="K1626" i="1"/>
  <c r="M1625" i="1"/>
  <c r="L1625" i="1"/>
  <c r="K1625" i="1"/>
  <c r="M1624" i="1"/>
  <c r="L1624" i="1"/>
  <c r="K1624" i="1"/>
  <c r="M1623" i="1"/>
  <c r="L1623" i="1"/>
  <c r="K1623" i="1"/>
  <c r="M1622" i="1"/>
  <c r="L1622" i="1"/>
  <c r="K1622" i="1"/>
  <c r="M1621" i="1"/>
  <c r="L1621" i="1"/>
  <c r="K1621" i="1"/>
  <c r="M1620" i="1"/>
  <c r="L1620" i="1"/>
  <c r="K1620" i="1"/>
  <c r="M1619" i="1"/>
  <c r="L1619" i="1"/>
  <c r="K1619" i="1"/>
  <c r="M1618" i="1"/>
  <c r="L1618" i="1"/>
  <c r="K1618" i="1"/>
  <c r="M1617" i="1"/>
  <c r="L1617" i="1"/>
  <c r="K1617" i="1"/>
  <c r="M1616" i="1"/>
  <c r="L1616" i="1"/>
  <c r="K1616" i="1"/>
  <c r="M1615" i="1"/>
  <c r="L1615" i="1"/>
  <c r="K1615" i="1"/>
  <c r="M1614" i="1"/>
  <c r="L1614" i="1"/>
  <c r="K1614" i="1"/>
  <c r="M1613" i="1"/>
  <c r="L1613" i="1"/>
  <c r="K1613" i="1"/>
  <c r="M1612" i="1"/>
  <c r="L1612" i="1"/>
  <c r="K1612" i="1"/>
  <c r="M1611" i="1"/>
  <c r="L1611" i="1"/>
  <c r="K1611" i="1"/>
  <c r="M1610" i="1"/>
  <c r="L1610" i="1"/>
  <c r="K1610" i="1"/>
  <c r="M1609" i="1"/>
  <c r="L1609" i="1"/>
  <c r="K1609" i="1"/>
  <c r="M1608" i="1"/>
  <c r="L1608" i="1"/>
  <c r="K1608" i="1"/>
  <c r="M1607" i="1"/>
  <c r="L1607" i="1"/>
  <c r="K1607" i="1"/>
  <c r="M1606" i="1"/>
  <c r="L1606" i="1"/>
  <c r="K1606" i="1"/>
  <c r="M1605" i="1"/>
  <c r="L1605" i="1"/>
  <c r="K1605" i="1"/>
  <c r="M1604" i="1"/>
  <c r="L1604" i="1"/>
  <c r="K1604" i="1"/>
  <c r="M1603" i="1"/>
  <c r="L1603" i="1"/>
  <c r="K1603" i="1"/>
  <c r="M1602" i="1"/>
  <c r="L1602" i="1"/>
  <c r="K1602" i="1"/>
  <c r="M1601" i="1"/>
  <c r="L1601" i="1"/>
  <c r="K1601" i="1"/>
  <c r="M1600" i="1"/>
  <c r="L1600" i="1"/>
  <c r="K1600" i="1"/>
  <c r="M1599" i="1"/>
  <c r="L1599" i="1"/>
  <c r="K1599" i="1"/>
  <c r="M1598" i="1"/>
  <c r="L1598" i="1"/>
  <c r="K1598" i="1"/>
  <c r="M1597" i="1"/>
  <c r="L1597" i="1"/>
  <c r="K1597" i="1"/>
  <c r="M1596" i="1"/>
  <c r="L1596" i="1"/>
  <c r="K1596" i="1"/>
  <c r="M1595" i="1"/>
  <c r="L1595" i="1"/>
  <c r="K1595" i="1"/>
  <c r="M1594" i="1"/>
  <c r="L1594" i="1"/>
  <c r="K1594" i="1"/>
  <c r="M1593" i="1"/>
  <c r="L1593" i="1"/>
  <c r="K1593" i="1"/>
  <c r="M1592" i="1"/>
  <c r="L1592" i="1"/>
  <c r="K1592" i="1"/>
  <c r="M1591" i="1"/>
  <c r="L1591" i="1"/>
  <c r="K1591" i="1"/>
  <c r="M1590" i="1"/>
  <c r="L1590" i="1"/>
  <c r="K1590" i="1"/>
  <c r="M1589" i="1"/>
  <c r="L1589" i="1"/>
  <c r="K1589" i="1"/>
  <c r="M1588" i="1"/>
  <c r="L1588" i="1"/>
  <c r="K1588" i="1"/>
  <c r="M1587" i="1"/>
  <c r="L1587" i="1"/>
  <c r="K1587" i="1"/>
  <c r="M1586" i="1"/>
  <c r="L1586" i="1"/>
  <c r="K1586" i="1"/>
  <c r="M1585" i="1"/>
  <c r="L1585" i="1"/>
  <c r="K1585" i="1"/>
  <c r="M1584" i="1"/>
  <c r="L1584" i="1"/>
  <c r="K1584" i="1"/>
  <c r="M1583" i="1"/>
  <c r="L1583" i="1"/>
  <c r="K1583" i="1"/>
  <c r="M1582" i="1"/>
  <c r="L1582" i="1"/>
  <c r="K1582" i="1"/>
  <c r="M1581" i="1"/>
  <c r="L1581" i="1"/>
  <c r="K1581" i="1"/>
  <c r="M1580" i="1"/>
  <c r="L1580" i="1"/>
  <c r="K1580" i="1"/>
  <c r="M1579" i="1"/>
  <c r="L1579" i="1"/>
  <c r="K1579" i="1"/>
  <c r="M1578" i="1"/>
  <c r="L1578" i="1"/>
  <c r="K1578" i="1"/>
  <c r="M1577" i="1"/>
  <c r="L1577" i="1"/>
  <c r="K1577" i="1"/>
  <c r="M1576" i="1"/>
  <c r="L1576" i="1"/>
  <c r="K1576" i="1"/>
  <c r="M1575" i="1"/>
  <c r="L1575" i="1"/>
  <c r="K1575" i="1"/>
  <c r="M1574" i="1"/>
  <c r="L1574" i="1"/>
  <c r="K1574" i="1"/>
  <c r="M1573" i="1"/>
  <c r="L1573" i="1"/>
  <c r="K1573" i="1"/>
  <c r="M1572" i="1"/>
  <c r="L1572" i="1"/>
  <c r="K1572" i="1"/>
  <c r="M1571" i="1"/>
  <c r="L1571" i="1"/>
  <c r="K1571" i="1"/>
  <c r="M1570" i="1"/>
  <c r="L1570" i="1"/>
  <c r="K1570" i="1"/>
  <c r="M1569" i="1"/>
  <c r="L1569" i="1"/>
  <c r="K1569" i="1"/>
  <c r="M1568" i="1"/>
  <c r="L1568" i="1"/>
  <c r="K1568" i="1"/>
  <c r="M1567" i="1"/>
  <c r="L1567" i="1"/>
  <c r="K1567" i="1"/>
  <c r="M1566" i="1"/>
  <c r="L1566" i="1"/>
  <c r="K1566" i="1"/>
  <c r="M1565" i="1"/>
  <c r="L1565" i="1"/>
  <c r="K1565" i="1"/>
  <c r="M1564" i="1"/>
  <c r="L1564" i="1"/>
  <c r="K1564" i="1"/>
  <c r="M1563" i="1"/>
  <c r="L1563" i="1"/>
  <c r="K1563" i="1"/>
  <c r="M1562" i="1"/>
  <c r="L1562" i="1"/>
  <c r="K1562" i="1"/>
  <c r="M1561" i="1"/>
  <c r="L1561" i="1"/>
  <c r="K1561" i="1"/>
  <c r="M1560" i="1"/>
  <c r="L1560" i="1"/>
  <c r="K1560" i="1"/>
  <c r="M1559" i="1"/>
  <c r="L1559" i="1"/>
  <c r="K1559" i="1"/>
  <c r="M1558" i="1"/>
  <c r="L1558" i="1"/>
  <c r="K1558" i="1"/>
  <c r="M1557" i="1"/>
  <c r="L1557" i="1"/>
  <c r="K1557" i="1"/>
  <c r="M1556" i="1"/>
  <c r="L1556" i="1"/>
  <c r="K1556" i="1"/>
  <c r="M1555" i="1"/>
  <c r="L1555" i="1"/>
  <c r="K1555" i="1"/>
  <c r="M1554" i="1"/>
  <c r="L1554" i="1"/>
  <c r="K1554" i="1"/>
  <c r="M1553" i="1"/>
  <c r="L1553" i="1"/>
  <c r="K1553" i="1"/>
  <c r="M1552" i="1"/>
  <c r="L1552" i="1"/>
  <c r="K1552" i="1"/>
  <c r="M1551" i="1"/>
  <c r="L1551" i="1"/>
  <c r="K1551" i="1"/>
  <c r="M1550" i="1"/>
  <c r="L1550" i="1"/>
  <c r="K1550" i="1"/>
  <c r="M1549" i="1"/>
  <c r="L1549" i="1"/>
  <c r="K1549" i="1"/>
  <c r="M1548" i="1"/>
  <c r="L1548" i="1"/>
  <c r="K1548" i="1"/>
  <c r="M1547" i="1"/>
  <c r="L1547" i="1"/>
  <c r="K1547" i="1"/>
  <c r="M1546" i="1"/>
  <c r="L1546" i="1"/>
  <c r="K1546" i="1"/>
  <c r="M1545" i="1"/>
  <c r="L1545" i="1"/>
  <c r="K1545" i="1"/>
  <c r="M1544" i="1"/>
  <c r="L1544" i="1"/>
  <c r="K1544" i="1"/>
  <c r="M1543" i="1"/>
  <c r="L1543" i="1"/>
  <c r="K1543" i="1"/>
  <c r="M1542" i="1"/>
  <c r="L1542" i="1"/>
  <c r="K1542" i="1"/>
  <c r="M1541" i="1"/>
  <c r="L1541" i="1"/>
  <c r="K1541" i="1"/>
  <c r="M1540" i="1"/>
  <c r="L1540" i="1"/>
  <c r="K1540" i="1"/>
  <c r="M1539" i="1"/>
  <c r="L1539" i="1"/>
  <c r="K1539" i="1"/>
  <c r="M1538" i="1"/>
  <c r="L1538" i="1"/>
  <c r="K1538" i="1"/>
  <c r="M1537" i="1"/>
  <c r="L1537" i="1"/>
  <c r="K1537" i="1"/>
  <c r="M1536" i="1"/>
  <c r="L1536" i="1"/>
  <c r="K1536" i="1"/>
  <c r="M1535" i="1"/>
  <c r="L1535" i="1"/>
  <c r="K1535" i="1"/>
  <c r="M1534" i="1"/>
  <c r="L1534" i="1"/>
  <c r="K1534" i="1"/>
  <c r="M1533" i="1"/>
  <c r="L1533" i="1"/>
  <c r="K1533" i="1"/>
  <c r="M1532" i="1"/>
  <c r="L1532" i="1"/>
  <c r="K1532" i="1"/>
  <c r="M1531" i="1"/>
  <c r="L1531" i="1"/>
  <c r="K1531" i="1"/>
  <c r="M1530" i="1"/>
  <c r="L1530" i="1"/>
  <c r="K1530" i="1"/>
  <c r="M1529" i="1"/>
  <c r="L1529" i="1"/>
  <c r="K1529" i="1"/>
  <c r="M1528" i="1"/>
  <c r="L1528" i="1"/>
  <c r="K1528" i="1"/>
  <c r="M1527" i="1"/>
  <c r="L1527" i="1"/>
  <c r="K1527" i="1"/>
  <c r="M1526" i="1"/>
  <c r="L1526" i="1"/>
  <c r="K1526" i="1"/>
  <c r="M1525" i="1"/>
  <c r="L1525" i="1"/>
  <c r="K1525" i="1"/>
  <c r="M1524" i="1"/>
  <c r="L1524" i="1"/>
  <c r="K1524" i="1"/>
  <c r="M1523" i="1"/>
  <c r="L1523" i="1"/>
  <c r="K1523" i="1"/>
  <c r="M1522" i="1"/>
  <c r="L1522" i="1"/>
  <c r="K1522" i="1"/>
  <c r="M1521" i="1"/>
  <c r="L1521" i="1"/>
  <c r="K1521" i="1"/>
  <c r="M1520" i="1"/>
  <c r="L1520" i="1"/>
  <c r="K1520" i="1"/>
  <c r="M1519" i="1"/>
  <c r="L1519" i="1"/>
  <c r="K1519" i="1"/>
  <c r="M1518" i="1"/>
  <c r="L1518" i="1"/>
  <c r="K1518" i="1"/>
  <c r="M1517" i="1"/>
  <c r="L1517" i="1"/>
  <c r="K1517" i="1"/>
  <c r="M1516" i="1"/>
  <c r="L1516" i="1"/>
  <c r="K1516" i="1"/>
  <c r="M1515" i="1"/>
  <c r="L1515" i="1"/>
  <c r="K1515" i="1"/>
  <c r="M1514" i="1"/>
  <c r="L1514" i="1"/>
  <c r="K1514" i="1"/>
  <c r="M1513" i="1"/>
  <c r="L1513" i="1"/>
  <c r="K1513" i="1"/>
  <c r="M1512" i="1"/>
  <c r="L1512" i="1"/>
  <c r="K1512" i="1"/>
  <c r="M1511" i="1"/>
  <c r="L1511" i="1"/>
  <c r="K1511" i="1"/>
  <c r="M1510" i="1"/>
  <c r="L1510" i="1"/>
  <c r="K1510" i="1"/>
  <c r="M1509" i="1"/>
  <c r="L1509" i="1"/>
  <c r="K1509" i="1"/>
  <c r="M1508" i="1"/>
  <c r="L1508" i="1"/>
  <c r="K1508" i="1"/>
  <c r="M1507" i="1"/>
  <c r="L1507" i="1"/>
  <c r="K1507" i="1"/>
  <c r="M1506" i="1"/>
  <c r="L1506" i="1"/>
  <c r="K1506" i="1"/>
  <c r="M1505" i="1"/>
  <c r="L1505" i="1"/>
  <c r="K1505" i="1"/>
  <c r="M1504" i="1"/>
  <c r="L1504" i="1"/>
  <c r="K1504" i="1"/>
  <c r="M1503" i="1"/>
  <c r="L1503" i="1"/>
  <c r="K1503" i="1"/>
  <c r="M1502" i="1"/>
  <c r="L1502" i="1"/>
  <c r="K1502" i="1"/>
  <c r="M1501" i="1"/>
  <c r="L1501" i="1"/>
  <c r="K1501" i="1"/>
  <c r="M1500" i="1"/>
  <c r="L1500" i="1"/>
  <c r="K1500" i="1"/>
  <c r="M1499" i="1"/>
  <c r="L1499" i="1"/>
  <c r="K1499" i="1"/>
  <c r="M1498" i="1"/>
  <c r="L1498" i="1"/>
  <c r="K1498" i="1"/>
  <c r="M1497" i="1"/>
  <c r="L1497" i="1"/>
  <c r="K1497" i="1"/>
  <c r="M1496" i="1"/>
  <c r="L1496" i="1"/>
  <c r="K1496" i="1"/>
  <c r="M1495" i="1"/>
  <c r="L1495" i="1"/>
  <c r="K1495" i="1"/>
  <c r="M1494" i="1"/>
  <c r="L1494" i="1"/>
  <c r="K1494" i="1"/>
  <c r="M1493" i="1"/>
  <c r="L1493" i="1"/>
  <c r="K1493" i="1"/>
  <c r="M1492" i="1"/>
  <c r="L1492" i="1"/>
  <c r="K1492" i="1"/>
  <c r="M1491" i="1"/>
  <c r="L1491" i="1"/>
  <c r="K1491" i="1"/>
  <c r="M1490" i="1"/>
  <c r="L1490" i="1"/>
  <c r="K1490" i="1"/>
  <c r="M1489" i="1"/>
  <c r="L1489" i="1"/>
  <c r="K1489" i="1"/>
  <c r="M1488" i="1"/>
  <c r="L1488" i="1"/>
  <c r="K1488" i="1"/>
  <c r="M1487" i="1"/>
  <c r="L1487" i="1"/>
  <c r="K1487" i="1"/>
  <c r="M1486" i="1"/>
  <c r="L1486" i="1"/>
  <c r="K1486" i="1"/>
  <c r="M1485" i="1"/>
  <c r="L1485" i="1"/>
  <c r="K1485" i="1"/>
  <c r="M1484" i="1"/>
  <c r="L1484" i="1"/>
  <c r="K1484" i="1"/>
  <c r="M1483" i="1"/>
  <c r="L1483" i="1"/>
  <c r="K1483" i="1"/>
  <c r="M1482" i="1"/>
  <c r="L1482" i="1"/>
  <c r="K1482" i="1"/>
  <c r="M1481" i="1"/>
  <c r="L1481" i="1"/>
  <c r="K1481" i="1"/>
  <c r="M1480" i="1"/>
  <c r="L1480" i="1"/>
  <c r="K1480" i="1"/>
  <c r="M1479" i="1"/>
  <c r="L1479" i="1"/>
  <c r="K1479" i="1"/>
  <c r="M1478" i="1"/>
  <c r="L1478" i="1"/>
  <c r="K1478" i="1"/>
  <c r="M1477" i="1"/>
  <c r="L1477" i="1"/>
  <c r="K1477" i="1"/>
  <c r="M1476" i="1"/>
  <c r="L1476" i="1"/>
  <c r="K1476" i="1"/>
  <c r="M1475" i="1"/>
  <c r="L1475" i="1"/>
  <c r="K1475" i="1"/>
  <c r="M1474" i="1"/>
  <c r="L1474" i="1"/>
  <c r="K1474" i="1"/>
  <c r="M1473" i="1"/>
  <c r="L1473" i="1"/>
  <c r="K1473" i="1"/>
  <c r="M1472" i="1"/>
  <c r="L1472" i="1"/>
  <c r="K1472" i="1"/>
  <c r="M1471" i="1"/>
  <c r="L1471" i="1"/>
  <c r="K1471" i="1"/>
  <c r="M1470" i="1"/>
  <c r="L1470" i="1"/>
  <c r="K1470" i="1"/>
  <c r="M1469" i="1"/>
  <c r="L1469" i="1"/>
  <c r="K1469" i="1"/>
  <c r="M1468" i="1"/>
  <c r="L1468" i="1"/>
  <c r="K1468" i="1"/>
  <c r="M1467" i="1"/>
  <c r="L1467" i="1"/>
  <c r="K1467" i="1"/>
  <c r="M1466" i="1"/>
  <c r="L1466" i="1"/>
  <c r="K1466" i="1"/>
  <c r="M1465" i="1"/>
  <c r="L1465" i="1"/>
  <c r="K1465" i="1"/>
  <c r="M1464" i="1"/>
  <c r="L1464" i="1"/>
  <c r="K1464" i="1"/>
  <c r="M1463" i="1"/>
  <c r="L1463" i="1"/>
  <c r="K1463" i="1"/>
  <c r="M1462" i="1"/>
  <c r="L1462" i="1"/>
  <c r="K1462" i="1"/>
  <c r="M1461" i="1"/>
  <c r="L1461" i="1"/>
  <c r="K1461" i="1"/>
  <c r="M1460" i="1"/>
  <c r="L1460" i="1"/>
  <c r="K1460" i="1"/>
  <c r="M1459" i="1"/>
  <c r="L1459" i="1"/>
  <c r="K1459" i="1"/>
  <c r="M1458" i="1"/>
  <c r="L1458" i="1"/>
  <c r="K1458" i="1"/>
  <c r="M1457" i="1"/>
  <c r="L1457" i="1"/>
  <c r="K1457" i="1"/>
  <c r="M1456" i="1"/>
  <c r="L1456" i="1"/>
  <c r="K1456" i="1"/>
  <c r="M1455" i="1"/>
  <c r="L1455" i="1"/>
  <c r="K1455" i="1"/>
  <c r="M1454" i="1"/>
  <c r="L1454" i="1"/>
  <c r="K1454" i="1"/>
  <c r="M1453" i="1"/>
  <c r="L1453" i="1"/>
  <c r="K1453" i="1"/>
  <c r="M1452" i="1"/>
  <c r="L1452" i="1"/>
  <c r="K1452" i="1"/>
  <c r="M1451" i="1"/>
  <c r="L1451" i="1"/>
  <c r="K1451" i="1"/>
  <c r="M1450" i="1"/>
  <c r="L1450" i="1"/>
  <c r="K1450" i="1"/>
  <c r="M1449" i="1"/>
  <c r="L1449" i="1"/>
  <c r="K1449" i="1"/>
  <c r="M1448" i="1"/>
  <c r="L1448" i="1"/>
  <c r="K1448" i="1"/>
  <c r="M1447" i="1"/>
  <c r="L1447" i="1"/>
  <c r="K1447" i="1"/>
  <c r="M1446" i="1"/>
  <c r="L1446" i="1"/>
  <c r="K1446" i="1"/>
  <c r="M1445" i="1"/>
  <c r="L1445" i="1"/>
  <c r="K1445" i="1"/>
  <c r="M1444" i="1"/>
  <c r="L1444" i="1"/>
  <c r="K1444" i="1"/>
  <c r="M1443" i="1"/>
  <c r="L1443" i="1"/>
  <c r="K1443" i="1"/>
  <c r="M1442" i="1"/>
  <c r="L1442" i="1"/>
  <c r="K1442" i="1"/>
  <c r="M1441" i="1"/>
  <c r="L1441" i="1"/>
  <c r="K1441" i="1"/>
  <c r="M1440" i="1"/>
  <c r="L1440" i="1"/>
  <c r="K1440" i="1"/>
  <c r="M1439" i="1"/>
  <c r="L1439" i="1"/>
  <c r="K1439" i="1"/>
  <c r="M1438" i="1"/>
  <c r="L1438" i="1"/>
  <c r="K1438" i="1"/>
  <c r="M1437" i="1"/>
  <c r="L1437" i="1"/>
  <c r="K1437" i="1"/>
  <c r="M1436" i="1"/>
  <c r="L1436" i="1"/>
  <c r="K1436" i="1"/>
  <c r="M1435" i="1"/>
  <c r="L1435" i="1"/>
  <c r="K1435" i="1"/>
  <c r="M1434" i="1"/>
  <c r="L1434" i="1"/>
  <c r="K1434" i="1"/>
  <c r="M1433" i="1"/>
  <c r="L1433" i="1"/>
  <c r="K1433" i="1"/>
  <c r="M1432" i="1"/>
  <c r="L1432" i="1"/>
  <c r="K1432" i="1"/>
  <c r="M1431" i="1"/>
  <c r="L1431" i="1"/>
  <c r="K1431" i="1"/>
  <c r="M1430" i="1"/>
  <c r="L1430" i="1"/>
  <c r="K1430" i="1"/>
  <c r="M1429" i="1"/>
  <c r="L1429" i="1"/>
  <c r="K1429" i="1"/>
  <c r="M1428" i="1"/>
  <c r="L1428" i="1"/>
  <c r="K1428" i="1"/>
  <c r="M1427" i="1"/>
  <c r="L1427" i="1"/>
  <c r="K1427" i="1"/>
  <c r="M1426" i="1"/>
  <c r="L1426" i="1"/>
  <c r="K1426" i="1"/>
  <c r="M1425" i="1"/>
  <c r="L1425" i="1"/>
  <c r="K1425" i="1"/>
  <c r="M1424" i="1"/>
  <c r="L1424" i="1"/>
  <c r="K1424" i="1"/>
  <c r="M1423" i="1"/>
  <c r="L1423" i="1"/>
  <c r="K1423" i="1"/>
  <c r="M1422" i="1"/>
  <c r="L1422" i="1"/>
  <c r="K1422" i="1"/>
  <c r="M1421" i="1"/>
  <c r="L1421" i="1"/>
  <c r="K1421" i="1"/>
  <c r="M1420" i="1"/>
  <c r="L1420" i="1"/>
  <c r="K1420" i="1"/>
  <c r="M1419" i="1"/>
  <c r="L1419" i="1"/>
  <c r="K1419" i="1"/>
  <c r="M1418" i="1"/>
  <c r="L1418" i="1"/>
  <c r="K1418" i="1"/>
  <c r="M1417" i="1"/>
  <c r="L1417" i="1"/>
  <c r="K1417" i="1"/>
  <c r="M1416" i="1"/>
  <c r="L1416" i="1"/>
  <c r="K1416" i="1"/>
  <c r="M1415" i="1"/>
  <c r="L1415" i="1"/>
  <c r="K1415" i="1"/>
  <c r="M1414" i="1"/>
  <c r="L1414" i="1"/>
  <c r="K1414" i="1"/>
  <c r="M1413" i="1"/>
  <c r="L1413" i="1"/>
  <c r="K1413" i="1"/>
  <c r="M1412" i="1"/>
  <c r="L1412" i="1"/>
  <c r="K1412" i="1"/>
  <c r="M1411" i="1"/>
  <c r="L1411" i="1"/>
  <c r="K1411" i="1"/>
  <c r="M1410" i="1"/>
  <c r="L1410" i="1"/>
  <c r="K1410" i="1"/>
  <c r="M1409" i="1"/>
  <c r="L1409" i="1"/>
  <c r="K1409" i="1"/>
  <c r="M1408" i="1"/>
  <c r="L1408" i="1"/>
  <c r="K1408" i="1"/>
  <c r="M1407" i="1"/>
  <c r="L1407" i="1"/>
  <c r="K1407" i="1"/>
  <c r="M1406" i="1"/>
  <c r="L1406" i="1"/>
  <c r="K1406" i="1"/>
  <c r="M1405" i="1"/>
  <c r="L1405" i="1"/>
  <c r="K1405" i="1"/>
  <c r="M1404" i="1"/>
  <c r="L1404" i="1"/>
  <c r="K1404" i="1"/>
  <c r="M1403" i="1"/>
  <c r="L1403" i="1"/>
  <c r="K1403" i="1"/>
  <c r="M1402" i="1"/>
  <c r="L1402" i="1"/>
  <c r="K1402" i="1"/>
  <c r="M1401" i="1"/>
  <c r="L1401" i="1"/>
  <c r="K1401" i="1"/>
  <c r="M1400" i="1"/>
  <c r="L1400" i="1"/>
  <c r="K1400" i="1"/>
  <c r="M1399" i="1"/>
  <c r="L1399" i="1"/>
  <c r="K1399" i="1"/>
  <c r="M1398" i="1"/>
  <c r="L1398" i="1"/>
  <c r="K1398" i="1"/>
  <c r="M1397" i="1"/>
  <c r="L1397" i="1"/>
  <c r="K1397" i="1"/>
  <c r="M1396" i="1"/>
  <c r="L1396" i="1"/>
  <c r="K1396" i="1"/>
  <c r="M1395" i="1"/>
  <c r="L1395" i="1"/>
  <c r="K1395" i="1"/>
  <c r="M1394" i="1"/>
  <c r="L1394" i="1"/>
  <c r="K1394" i="1"/>
  <c r="M1393" i="1"/>
  <c r="L1393" i="1"/>
  <c r="K1393" i="1"/>
  <c r="M1392" i="1"/>
  <c r="L1392" i="1"/>
  <c r="K1392" i="1"/>
  <c r="M1391" i="1"/>
  <c r="L1391" i="1"/>
  <c r="K1391" i="1"/>
  <c r="M1390" i="1"/>
  <c r="L1390" i="1"/>
  <c r="K1390" i="1"/>
  <c r="M1389" i="1"/>
  <c r="L1389" i="1"/>
  <c r="K1389" i="1"/>
  <c r="M1388" i="1"/>
  <c r="L1388" i="1"/>
  <c r="K1388" i="1"/>
  <c r="M1387" i="1"/>
  <c r="L1387" i="1"/>
  <c r="K1387" i="1"/>
  <c r="M1386" i="1"/>
  <c r="L1386" i="1"/>
  <c r="K1386" i="1"/>
  <c r="M1385" i="1"/>
  <c r="L1385" i="1"/>
  <c r="K1385" i="1"/>
  <c r="M1384" i="1"/>
  <c r="L1384" i="1"/>
  <c r="K1384" i="1"/>
  <c r="M1383" i="1"/>
  <c r="L1383" i="1"/>
  <c r="K1383" i="1"/>
  <c r="M1382" i="1"/>
  <c r="L1382" i="1"/>
  <c r="K1382" i="1"/>
  <c r="M1381" i="1"/>
  <c r="L1381" i="1"/>
  <c r="K1381" i="1"/>
  <c r="M1380" i="1"/>
  <c r="L1380" i="1"/>
  <c r="K1380" i="1"/>
  <c r="M1379" i="1"/>
  <c r="L1379" i="1"/>
  <c r="K1379" i="1"/>
  <c r="M1378" i="1"/>
  <c r="L1378" i="1"/>
  <c r="K1378" i="1"/>
  <c r="M1377" i="1"/>
  <c r="L1377" i="1"/>
  <c r="K1377" i="1"/>
  <c r="M1376" i="1"/>
  <c r="L1376" i="1"/>
  <c r="K1376" i="1"/>
  <c r="M1375" i="1"/>
  <c r="L1375" i="1"/>
  <c r="K1375" i="1"/>
  <c r="M1374" i="1"/>
  <c r="L1374" i="1"/>
  <c r="K1374" i="1"/>
  <c r="M1373" i="1"/>
  <c r="L1373" i="1"/>
  <c r="K1373" i="1"/>
  <c r="M1372" i="1"/>
  <c r="L1372" i="1"/>
  <c r="K1372" i="1"/>
  <c r="M1371" i="1"/>
  <c r="L1371" i="1"/>
  <c r="K1371" i="1"/>
  <c r="M1370" i="1"/>
  <c r="L1370" i="1"/>
  <c r="K1370" i="1"/>
  <c r="M1369" i="1"/>
  <c r="L1369" i="1"/>
  <c r="K1369" i="1"/>
  <c r="M1368" i="1"/>
  <c r="L1368" i="1"/>
  <c r="K1368" i="1"/>
  <c r="M1367" i="1"/>
  <c r="L1367" i="1"/>
  <c r="K1367" i="1"/>
  <c r="M1366" i="1"/>
  <c r="L1366" i="1"/>
  <c r="K1366" i="1"/>
  <c r="M1365" i="1"/>
  <c r="L1365" i="1"/>
  <c r="K1365" i="1"/>
  <c r="M1364" i="1"/>
  <c r="L1364" i="1"/>
  <c r="K1364" i="1"/>
  <c r="M1363" i="1"/>
  <c r="L1363" i="1"/>
  <c r="K1363" i="1"/>
  <c r="M1362" i="1"/>
  <c r="L1362" i="1"/>
  <c r="K1362" i="1"/>
  <c r="M1361" i="1"/>
  <c r="L1361" i="1"/>
  <c r="K1361" i="1"/>
  <c r="M1360" i="1"/>
  <c r="L1360" i="1"/>
  <c r="K1360" i="1"/>
  <c r="M1359" i="1"/>
  <c r="L1359" i="1"/>
  <c r="K1359" i="1"/>
  <c r="M1358" i="1"/>
  <c r="L1358" i="1"/>
  <c r="K1358" i="1"/>
  <c r="M1357" i="1"/>
  <c r="L1357" i="1"/>
  <c r="K1357" i="1"/>
  <c r="M1356" i="1"/>
  <c r="L1356" i="1"/>
  <c r="K1356" i="1"/>
  <c r="M1355" i="1"/>
  <c r="L1355" i="1"/>
  <c r="K1355" i="1"/>
  <c r="M1354" i="1"/>
  <c r="L1354" i="1"/>
  <c r="K1354" i="1"/>
  <c r="M1353" i="1"/>
  <c r="L1353" i="1"/>
  <c r="K1353" i="1"/>
  <c r="M1352" i="1"/>
  <c r="L1352" i="1"/>
  <c r="K1352" i="1"/>
  <c r="M1351" i="1"/>
  <c r="L1351" i="1"/>
  <c r="K1351" i="1"/>
  <c r="M1350" i="1"/>
  <c r="L1350" i="1"/>
  <c r="K1350" i="1"/>
  <c r="M1349" i="1"/>
  <c r="L1349" i="1"/>
  <c r="K1349" i="1"/>
  <c r="M1348" i="1"/>
  <c r="L1348" i="1"/>
  <c r="K1348" i="1"/>
  <c r="M1347" i="1"/>
  <c r="L1347" i="1"/>
  <c r="K1347" i="1"/>
  <c r="M1346" i="1"/>
  <c r="L1346" i="1"/>
  <c r="K1346" i="1"/>
  <c r="M1345" i="1"/>
  <c r="L1345" i="1"/>
  <c r="K1345" i="1"/>
  <c r="M1344" i="1"/>
  <c r="L1344" i="1"/>
  <c r="K1344" i="1"/>
  <c r="M1343" i="1"/>
  <c r="L1343" i="1"/>
  <c r="K1343" i="1"/>
  <c r="M1342" i="1"/>
  <c r="L1342" i="1"/>
  <c r="K1342" i="1"/>
  <c r="M1341" i="1"/>
  <c r="L1341" i="1"/>
  <c r="K1341" i="1"/>
  <c r="M1340" i="1"/>
  <c r="L1340" i="1"/>
  <c r="K1340" i="1"/>
  <c r="M1339" i="1"/>
  <c r="L1339" i="1"/>
  <c r="K1339" i="1"/>
  <c r="M1338" i="1"/>
  <c r="L1338" i="1"/>
  <c r="K1338" i="1"/>
  <c r="M1337" i="1"/>
  <c r="L1337" i="1"/>
  <c r="K1337" i="1"/>
  <c r="M1336" i="1"/>
  <c r="L1336" i="1"/>
  <c r="K1336" i="1"/>
  <c r="M1335" i="1"/>
  <c r="L1335" i="1"/>
  <c r="K1335" i="1"/>
  <c r="M1334" i="1"/>
  <c r="L1334" i="1"/>
  <c r="K1334" i="1"/>
  <c r="M1333" i="1"/>
  <c r="L1333" i="1"/>
  <c r="K1333" i="1"/>
  <c r="M1332" i="1"/>
  <c r="L1332" i="1"/>
  <c r="K1332" i="1"/>
  <c r="M1331" i="1"/>
  <c r="L1331" i="1"/>
  <c r="K1331" i="1"/>
  <c r="M1330" i="1"/>
  <c r="L1330" i="1"/>
  <c r="K1330" i="1"/>
  <c r="M1329" i="1"/>
  <c r="L1329" i="1"/>
  <c r="K1329" i="1"/>
  <c r="M1328" i="1"/>
  <c r="L1328" i="1"/>
  <c r="K1328" i="1"/>
  <c r="M1327" i="1"/>
  <c r="L1327" i="1"/>
  <c r="K1327" i="1"/>
  <c r="M1326" i="1"/>
  <c r="L1326" i="1"/>
  <c r="K1326" i="1"/>
  <c r="M1325" i="1"/>
  <c r="L1325" i="1"/>
  <c r="K1325" i="1"/>
  <c r="M1324" i="1"/>
  <c r="L1324" i="1"/>
  <c r="K1324" i="1"/>
  <c r="M1323" i="1"/>
  <c r="L1323" i="1"/>
  <c r="K1323" i="1"/>
  <c r="M1322" i="1"/>
  <c r="L1322" i="1"/>
  <c r="K1322" i="1"/>
  <c r="M1321" i="1"/>
  <c r="L1321" i="1"/>
  <c r="K1321" i="1"/>
  <c r="M1320" i="1"/>
  <c r="L1320" i="1"/>
  <c r="K1320" i="1"/>
  <c r="M1319" i="1"/>
  <c r="L1319" i="1"/>
  <c r="K1319" i="1"/>
  <c r="M1318" i="1"/>
  <c r="L1318" i="1"/>
  <c r="K1318" i="1"/>
  <c r="M1317" i="1"/>
  <c r="L1317" i="1"/>
  <c r="K1317" i="1"/>
  <c r="M1316" i="1"/>
  <c r="L1316" i="1"/>
  <c r="K1316" i="1"/>
  <c r="M1315" i="1"/>
  <c r="L1315" i="1"/>
  <c r="K1315" i="1"/>
  <c r="M1314" i="1"/>
  <c r="L1314" i="1"/>
  <c r="K1314" i="1"/>
  <c r="M1313" i="1"/>
  <c r="L1313" i="1"/>
  <c r="K1313" i="1"/>
  <c r="M1312" i="1"/>
  <c r="L1312" i="1"/>
  <c r="K1312" i="1"/>
  <c r="M1311" i="1"/>
  <c r="L1311" i="1"/>
  <c r="K1311" i="1"/>
  <c r="M1310" i="1"/>
  <c r="L1310" i="1"/>
  <c r="K1310" i="1"/>
  <c r="M1309" i="1"/>
  <c r="L1309" i="1"/>
  <c r="K1309" i="1"/>
  <c r="M1308" i="1"/>
  <c r="L1308" i="1"/>
  <c r="K1308" i="1"/>
  <c r="M1307" i="1"/>
  <c r="L1307" i="1"/>
  <c r="K1307" i="1"/>
  <c r="M1306" i="1"/>
  <c r="L1306" i="1"/>
  <c r="K1306" i="1"/>
  <c r="M1305" i="1"/>
  <c r="L1305" i="1"/>
  <c r="K1305" i="1"/>
  <c r="M1304" i="1"/>
  <c r="L1304" i="1"/>
  <c r="K1304" i="1"/>
  <c r="M1303" i="1"/>
  <c r="L1303" i="1"/>
  <c r="K1303" i="1"/>
  <c r="M1302" i="1"/>
  <c r="L1302" i="1"/>
  <c r="K1302" i="1"/>
  <c r="M1301" i="1"/>
  <c r="L1301" i="1"/>
  <c r="K1301" i="1"/>
  <c r="M1300" i="1"/>
  <c r="L1300" i="1"/>
  <c r="K1300" i="1"/>
  <c r="M1299" i="1"/>
  <c r="L1299" i="1"/>
  <c r="K1299" i="1"/>
  <c r="M1298" i="1"/>
  <c r="L1298" i="1"/>
  <c r="K1298" i="1"/>
  <c r="M1297" i="1"/>
  <c r="L1297" i="1"/>
  <c r="K1297" i="1"/>
  <c r="M1296" i="1"/>
  <c r="L1296" i="1"/>
  <c r="K1296" i="1"/>
  <c r="M1295" i="1"/>
  <c r="L1295" i="1"/>
  <c r="K1295" i="1"/>
  <c r="M1294" i="1"/>
  <c r="L1294" i="1"/>
  <c r="K1294" i="1"/>
  <c r="M1293" i="1"/>
  <c r="L1293" i="1"/>
  <c r="K1293" i="1"/>
  <c r="M1292" i="1"/>
  <c r="L1292" i="1"/>
  <c r="K1292" i="1"/>
  <c r="M1291" i="1"/>
  <c r="L1291" i="1"/>
  <c r="K1291" i="1"/>
  <c r="M1290" i="1"/>
  <c r="L1290" i="1"/>
  <c r="K1290" i="1"/>
  <c r="M1289" i="1"/>
  <c r="L1289" i="1"/>
  <c r="K1289" i="1"/>
  <c r="M1288" i="1"/>
  <c r="L1288" i="1"/>
  <c r="K1288" i="1"/>
  <c r="M1287" i="1"/>
  <c r="L1287" i="1"/>
  <c r="K1287" i="1"/>
  <c r="M1286" i="1"/>
  <c r="L1286" i="1"/>
  <c r="K1286" i="1"/>
  <c r="M1285" i="1"/>
  <c r="L1285" i="1"/>
  <c r="K1285" i="1"/>
  <c r="M1284" i="1"/>
  <c r="L1284" i="1"/>
  <c r="K1284" i="1"/>
  <c r="M1283" i="1"/>
  <c r="L1283" i="1"/>
  <c r="K1283" i="1"/>
  <c r="M1282" i="1"/>
  <c r="L1282" i="1"/>
  <c r="K1282" i="1"/>
  <c r="M1281" i="1"/>
  <c r="L1281" i="1"/>
  <c r="K1281" i="1"/>
  <c r="M1280" i="1"/>
  <c r="L1280" i="1"/>
  <c r="K1280" i="1"/>
  <c r="M1279" i="1"/>
  <c r="L1279" i="1"/>
  <c r="K1279" i="1"/>
  <c r="M1278" i="1"/>
  <c r="L1278" i="1"/>
  <c r="K1278" i="1"/>
  <c r="M1277" i="1"/>
  <c r="L1277" i="1"/>
  <c r="K1277" i="1"/>
  <c r="M1276" i="1"/>
  <c r="L1276" i="1"/>
  <c r="K1276" i="1"/>
  <c r="M1275" i="1"/>
  <c r="L1275" i="1"/>
  <c r="K1275" i="1"/>
  <c r="M1274" i="1"/>
  <c r="L1274" i="1"/>
  <c r="K1274" i="1"/>
  <c r="M1273" i="1"/>
  <c r="L1273" i="1"/>
  <c r="K1273" i="1"/>
  <c r="M1272" i="1"/>
  <c r="L1272" i="1"/>
  <c r="K1272" i="1"/>
  <c r="M1271" i="1"/>
  <c r="L1271" i="1"/>
  <c r="K1271" i="1"/>
  <c r="M1270" i="1"/>
  <c r="L1270" i="1"/>
  <c r="K1270" i="1"/>
  <c r="M1269" i="1"/>
  <c r="L1269" i="1"/>
  <c r="K1269" i="1"/>
  <c r="M1268" i="1"/>
  <c r="L1268" i="1"/>
  <c r="K1268" i="1"/>
  <c r="M1267" i="1"/>
  <c r="L1267" i="1"/>
  <c r="K1267" i="1"/>
  <c r="M1266" i="1"/>
  <c r="L1266" i="1"/>
  <c r="K1266" i="1"/>
  <c r="M1265" i="1"/>
  <c r="L1265" i="1"/>
  <c r="K1265" i="1"/>
  <c r="M1264" i="1"/>
  <c r="L1264" i="1"/>
  <c r="K1264" i="1"/>
  <c r="M1263" i="1"/>
  <c r="L1263" i="1"/>
  <c r="K1263" i="1"/>
  <c r="M1262" i="1"/>
  <c r="L1262" i="1"/>
  <c r="K1262" i="1"/>
  <c r="M1261" i="1"/>
  <c r="L1261" i="1"/>
  <c r="K1261" i="1"/>
  <c r="M1260" i="1"/>
  <c r="L1260" i="1"/>
  <c r="K1260" i="1"/>
  <c r="M1259" i="1"/>
  <c r="L1259" i="1"/>
  <c r="K1259" i="1"/>
  <c r="M1258" i="1"/>
  <c r="L1258" i="1"/>
  <c r="K1258" i="1"/>
  <c r="M1257" i="1"/>
  <c r="L1257" i="1"/>
  <c r="K1257" i="1"/>
  <c r="M1256" i="1"/>
  <c r="L1256" i="1"/>
  <c r="K1256" i="1"/>
  <c r="M1255" i="1"/>
  <c r="L1255" i="1"/>
  <c r="K1255" i="1"/>
  <c r="M1254" i="1"/>
  <c r="L1254" i="1"/>
  <c r="K1254" i="1"/>
  <c r="M1253" i="1"/>
  <c r="L1253" i="1"/>
  <c r="K1253" i="1"/>
  <c r="M1252" i="1"/>
  <c r="L1252" i="1"/>
  <c r="K1252" i="1"/>
  <c r="M1251" i="1"/>
  <c r="L1251" i="1"/>
  <c r="K1251" i="1"/>
  <c r="M1250" i="1"/>
  <c r="L1250" i="1"/>
  <c r="K1250" i="1"/>
  <c r="M1249" i="1"/>
  <c r="L1249" i="1"/>
  <c r="K1249" i="1"/>
  <c r="M1248" i="1"/>
  <c r="L1248" i="1"/>
  <c r="K1248" i="1"/>
  <c r="M1247" i="1"/>
  <c r="L1247" i="1"/>
  <c r="K1247" i="1"/>
  <c r="M1246" i="1"/>
  <c r="L1246" i="1"/>
  <c r="K1246" i="1"/>
  <c r="M1245" i="1"/>
  <c r="L1245" i="1"/>
  <c r="K1245" i="1"/>
  <c r="M1244" i="1"/>
  <c r="L1244" i="1"/>
  <c r="K1244" i="1"/>
  <c r="M1243" i="1"/>
  <c r="L1243" i="1"/>
  <c r="K1243" i="1"/>
  <c r="M1242" i="1"/>
  <c r="L1242" i="1"/>
  <c r="K1242" i="1"/>
  <c r="M1241" i="1"/>
  <c r="L1241" i="1"/>
  <c r="K1241" i="1"/>
  <c r="M1240" i="1"/>
  <c r="L1240" i="1"/>
  <c r="K1240" i="1"/>
  <c r="M1239" i="1"/>
  <c r="L1239" i="1"/>
  <c r="K1239" i="1"/>
  <c r="M1238" i="1"/>
  <c r="L1238" i="1"/>
  <c r="K1238" i="1"/>
  <c r="M1237" i="1"/>
  <c r="L1237" i="1"/>
  <c r="K1237" i="1"/>
  <c r="M1236" i="1"/>
  <c r="L1236" i="1"/>
  <c r="K1236" i="1"/>
  <c r="M1235" i="1"/>
  <c r="L1235" i="1"/>
  <c r="K1235" i="1"/>
  <c r="M1234" i="1"/>
  <c r="L1234" i="1"/>
  <c r="K1234" i="1"/>
  <c r="M1233" i="1"/>
  <c r="L1233" i="1"/>
  <c r="K1233" i="1"/>
  <c r="M1232" i="1"/>
  <c r="L1232" i="1"/>
  <c r="K1232" i="1"/>
  <c r="M1231" i="1"/>
  <c r="L1231" i="1"/>
  <c r="K1231" i="1"/>
  <c r="M1230" i="1"/>
  <c r="L1230" i="1"/>
  <c r="K1230" i="1"/>
  <c r="M1229" i="1"/>
  <c r="L1229" i="1"/>
  <c r="K1229" i="1"/>
  <c r="M1228" i="1"/>
  <c r="L1228" i="1"/>
  <c r="K1228" i="1"/>
  <c r="M1227" i="1"/>
  <c r="L1227" i="1"/>
  <c r="K1227" i="1"/>
  <c r="M1226" i="1"/>
  <c r="L1226" i="1"/>
  <c r="K1226" i="1"/>
  <c r="M1225" i="1"/>
  <c r="L1225" i="1"/>
  <c r="K1225" i="1"/>
  <c r="M1224" i="1"/>
  <c r="L1224" i="1"/>
  <c r="K1224" i="1"/>
  <c r="M1223" i="1"/>
  <c r="L1223" i="1"/>
  <c r="K1223" i="1"/>
  <c r="M1222" i="1"/>
  <c r="L1222" i="1"/>
  <c r="K1222" i="1"/>
  <c r="M1221" i="1"/>
  <c r="L1221" i="1"/>
  <c r="K1221" i="1"/>
  <c r="M1220" i="1"/>
  <c r="L1220" i="1"/>
  <c r="K1220" i="1"/>
  <c r="M1219" i="1"/>
  <c r="L1219" i="1"/>
  <c r="K1219" i="1"/>
  <c r="M1218" i="1"/>
  <c r="L1218" i="1"/>
  <c r="K1218" i="1"/>
  <c r="M1217" i="1"/>
  <c r="L1217" i="1"/>
  <c r="K1217" i="1"/>
  <c r="M1216" i="1"/>
  <c r="L1216" i="1"/>
  <c r="K1216" i="1"/>
  <c r="M1215" i="1"/>
  <c r="L1215" i="1"/>
  <c r="K1215" i="1"/>
  <c r="M1214" i="1"/>
  <c r="L1214" i="1"/>
  <c r="K1214" i="1"/>
  <c r="M1213" i="1"/>
  <c r="L1213" i="1"/>
  <c r="K1213" i="1"/>
  <c r="M1212" i="1"/>
  <c r="L1212" i="1"/>
  <c r="K1212" i="1"/>
  <c r="M1211" i="1"/>
  <c r="L1211" i="1"/>
  <c r="K1211" i="1"/>
  <c r="M1210" i="1"/>
  <c r="L1210" i="1"/>
  <c r="K1210" i="1"/>
  <c r="M1209" i="1"/>
  <c r="L1209" i="1"/>
  <c r="K1209" i="1"/>
  <c r="M1208" i="1"/>
  <c r="L1208" i="1"/>
  <c r="K1208" i="1"/>
  <c r="M1207" i="1"/>
  <c r="L1207" i="1"/>
  <c r="K1207" i="1"/>
  <c r="M1206" i="1"/>
  <c r="L1206" i="1"/>
  <c r="K1206" i="1"/>
  <c r="M1205" i="1"/>
  <c r="L1205" i="1"/>
  <c r="K1205" i="1"/>
  <c r="M1204" i="1"/>
  <c r="L1204" i="1"/>
  <c r="K1204" i="1"/>
  <c r="M1203" i="1"/>
  <c r="L1203" i="1"/>
  <c r="K1203" i="1"/>
  <c r="M1202" i="1"/>
  <c r="L1202" i="1"/>
  <c r="K1202" i="1"/>
  <c r="M1201" i="1"/>
  <c r="L1201" i="1"/>
  <c r="K1201" i="1"/>
  <c r="M1200" i="1"/>
  <c r="L1200" i="1"/>
  <c r="K1200" i="1"/>
  <c r="M1199" i="1"/>
  <c r="L1199" i="1"/>
  <c r="K1199" i="1"/>
  <c r="M1198" i="1"/>
  <c r="L1198" i="1"/>
  <c r="K1198" i="1"/>
  <c r="M1197" i="1"/>
  <c r="L1197" i="1"/>
  <c r="K1197" i="1"/>
  <c r="M1196" i="1"/>
  <c r="L1196" i="1"/>
  <c r="K1196" i="1"/>
  <c r="M1195" i="1"/>
  <c r="L1195" i="1"/>
  <c r="K1195" i="1"/>
  <c r="M1194" i="1"/>
  <c r="L1194" i="1"/>
  <c r="K1194" i="1"/>
  <c r="M1193" i="1"/>
  <c r="L1193" i="1"/>
  <c r="K1193" i="1"/>
  <c r="M1192" i="1"/>
  <c r="L1192" i="1"/>
  <c r="K1192" i="1"/>
  <c r="M1191" i="1"/>
  <c r="L1191" i="1"/>
  <c r="K1191" i="1"/>
  <c r="M1190" i="1"/>
  <c r="L1190" i="1"/>
  <c r="K1190" i="1"/>
  <c r="M1189" i="1"/>
  <c r="L1189" i="1"/>
  <c r="K1189" i="1"/>
  <c r="M1188" i="1"/>
  <c r="L1188" i="1"/>
  <c r="K1188" i="1"/>
  <c r="M1187" i="1"/>
  <c r="L1187" i="1"/>
  <c r="K1187" i="1"/>
  <c r="M1186" i="1"/>
  <c r="L1186" i="1"/>
  <c r="K1186" i="1"/>
  <c r="M1185" i="1"/>
  <c r="L1185" i="1"/>
  <c r="K1185" i="1"/>
  <c r="M1184" i="1"/>
  <c r="L1184" i="1"/>
  <c r="K1184" i="1"/>
  <c r="M1183" i="1"/>
  <c r="L1183" i="1"/>
  <c r="K1183" i="1"/>
  <c r="M1182" i="1"/>
  <c r="L1182" i="1"/>
  <c r="K1182" i="1"/>
  <c r="M1181" i="1"/>
  <c r="L1181" i="1"/>
  <c r="K1181" i="1"/>
  <c r="M1180" i="1"/>
  <c r="L1180" i="1"/>
  <c r="K1180" i="1"/>
  <c r="M1179" i="1"/>
  <c r="L1179" i="1"/>
  <c r="K1179" i="1"/>
  <c r="M1178" i="1"/>
  <c r="L1178" i="1"/>
  <c r="K1178" i="1"/>
  <c r="M1177" i="1"/>
  <c r="L1177" i="1"/>
  <c r="K1177" i="1"/>
  <c r="M1176" i="1"/>
  <c r="L1176" i="1"/>
  <c r="K1176" i="1"/>
  <c r="M1175" i="1"/>
  <c r="L1175" i="1"/>
  <c r="K1175" i="1"/>
  <c r="M1174" i="1"/>
  <c r="L1174" i="1"/>
  <c r="K1174" i="1"/>
  <c r="M1173" i="1"/>
  <c r="L1173" i="1"/>
  <c r="K1173" i="1"/>
  <c r="M1172" i="1"/>
  <c r="L1172" i="1"/>
  <c r="K1172" i="1"/>
  <c r="M1171" i="1"/>
  <c r="L1171" i="1"/>
  <c r="K1171" i="1"/>
  <c r="M1170" i="1"/>
  <c r="L1170" i="1"/>
  <c r="K1170" i="1"/>
  <c r="M1169" i="1"/>
  <c r="L1169" i="1"/>
  <c r="K1169" i="1"/>
  <c r="M1168" i="1"/>
  <c r="L1168" i="1"/>
  <c r="K1168" i="1"/>
  <c r="M1167" i="1"/>
  <c r="L1167" i="1"/>
  <c r="K1167" i="1"/>
  <c r="M1166" i="1"/>
  <c r="L1166" i="1"/>
  <c r="K1166" i="1"/>
  <c r="M1165" i="1"/>
  <c r="L1165" i="1"/>
  <c r="K1165" i="1"/>
  <c r="M1164" i="1"/>
  <c r="L1164" i="1"/>
  <c r="K1164" i="1"/>
  <c r="M1163" i="1"/>
  <c r="L1163" i="1"/>
  <c r="K1163" i="1"/>
  <c r="M1162" i="1"/>
  <c r="L1162" i="1"/>
  <c r="K1162" i="1"/>
  <c r="M1161" i="1"/>
  <c r="L1161" i="1"/>
  <c r="K1161" i="1"/>
  <c r="M1160" i="1"/>
  <c r="L1160" i="1"/>
  <c r="K1160" i="1"/>
  <c r="M1159" i="1"/>
  <c r="L1159" i="1"/>
  <c r="K1159" i="1"/>
  <c r="M1158" i="1"/>
  <c r="L1158" i="1"/>
  <c r="K1158" i="1"/>
  <c r="M1157" i="1"/>
  <c r="L1157" i="1"/>
  <c r="K1157" i="1"/>
  <c r="M1156" i="1"/>
  <c r="L1156" i="1"/>
  <c r="K1156" i="1"/>
  <c r="M1155" i="1"/>
  <c r="L1155" i="1"/>
  <c r="K1155" i="1"/>
  <c r="M1154" i="1"/>
  <c r="L1154" i="1"/>
  <c r="K1154" i="1"/>
  <c r="M1153" i="1"/>
  <c r="L1153" i="1"/>
  <c r="K1153" i="1"/>
  <c r="M1152" i="1"/>
  <c r="L1152" i="1"/>
  <c r="K1152" i="1"/>
  <c r="M1151" i="1"/>
  <c r="L1151" i="1"/>
  <c r="K1151" i="1"/>
  <c r="M1150" i="1"/>
  <c r="L1150" i="1"/>
  <c r="K1150" i="1"/>
  <c r="M1149" i="1"/>
  <c r="L1149" i="1"/>
  <c r="K1149" i="1"/>
  <c r="M1148" i="1"/>
  <c r="L1148" i="1"/>
  <c r="K1148" i="1"/>
  <c r="M1147" i="1"/>
  <c r="L1147" i="1"/>
  <c r="K1147" i="1"/>
  <c r="M1146" i="1"/>
  <c r="L1146" i="1"/>
  <c r="K1146" i="1"/>
  <c r="M1145" i="1"/>
  <c r="L1145" i="1"/>
  <c r="K1145" i="1"/>
  <c r="M1144" i="1"/>
  <c r="L1144" i="1"/>
  <c r="K1144" i="1"/>
  <c r="M1143" i="1"/>
  <c r="L1143" i="1"/>
  <c r="K1143" i="1"/>
  <c r="M1142" i="1"/>
  <c r="L1142" i="1"/>
  <c r="K1142" i="1"/>
  <c r="M1141" i="1"/>
  <c r="L1141" i="1"/>
  <c r="K1141" i="1"/>
  <c r="M1140" i="1"/>
  <c r="L1140" i="1"/>
  <c r="K1140" i="1"/>
  <c r="M1139" i="1"/>
  <c r="L1139" i="1"/>
  <c r="K1139" i="1"/>
  <c r="M1138" i="1"/>
  <c r="L1138" i="1"/>
  <c r="K1138" i="1"/>
  <c r="M1137" i="1"/>
  <c r="L1137" i="1"/>
  <c r="K1137" i="1"/>
  <c r="M1136" i="1"/>
  <c r="L1136" i="1"/>
  <c r="K1136" i="1"/>
  <c r="M1135" i="1"/>
  <c r="L1135" i="1"/>
  <c r="K1135" i="1"/>
  <c r="M1134" i="1"/>
  <c r="L1134" i="1"/>
  <c r="K1134" i="1"/>
  <c r="M1133" i="1"/>
  <c r="L1133" i="1"/>
  <c r="K1133" i="1"/>
  <c r="M1132" i="1"/>
  <c r="L1132" i="1"/>
  <c r="K1132" i="1"/>
  <c r="M1131" i="1"/>
  <c r="L1131" i="1"/>
  <c r="K1131" i="1"/>
  <c r="M1130" i="1"/>
  <c r="L1130" i="1"/>
  <c r="K1130" i="1"/>
  <c r="M1129" i="1"/>
  <c r="L1129" i="1"/>
  <c r="K1129" i="1"/>
  <c r="M1128" i="1"/>
  <c r="L1128" i="1"/>
  <c r="K1128" i="1"/>
  <c r="M1127" i="1"/>
  <c r="L1127" i="1"/>
  <c r="K1127" i="1"/>
  <c r="M1126" i="1"/>
  <c r="L1126" i="1"/>
  <c r="K1126" i="1"/>
  <c r="M1125" i="1"/>
  <c r="L1125" i="1"/>
  <c r="K1125" i="1"/>
  <c r="M1124" i="1"/>
  <c r="L1124" i="1"/>
  <c r="K1124" i="1"/>
  <c r="M1123" i="1"/>
  <c r="L1123" i="1"/>
  <c r="K1123" i="1"/>
  <c r="M1122" i="1"/>
  <c r="L1122" i="1"/>
  <c r="K1122" i="1"/>
  <c r="M1121" i="1"/>
  <c r="L1121" i="1"/>
  <c r="K1121" i="1"/>
  <c r="M1120" i="1"/>
  <c r="L1120" i="1"/>
  <c r="K1120" i="1"/>
  <c r="M1119" i="1"/>
  <c r="L1119" i="1"/>
  <c r="K1119" i="1"/>
  <c r="M1118" i="1"/>
  <c r="L1118" i="1"/>
  <c r="K1118" i="1"/>
  <c r="M1117" i="1"/>
  <c r="L1117" i="1"/>
  <c r="K1117" i="1"/>
  <c r="M1116" i="1"/>
  <c r="L1116" i="1"/>
  <c r="K1116" i="1"/>
  <c r="M1115" i="1"/>
  <c r="L1115" i="1"/>
  <c r="K1115" i="1"/>
  <c r="M1114" i="1"/>
  <c r="L1114" i="1"/>
  <c r="K1114" i="1"/>
  <c r="M1113" i="1"/>
  <c r="L1113" i="1"/>
  <c r="K1113" i="1"/>
  <c r="M1112" i="1"/>
  <c r="L1112" i="1"/>
  <c r="K1112" i="1"/>
  <c r="M1111" i="1"/>
  <c r="L1111" i="1"/>
  <c r="K1111" i="1"/>
  <c r="M1110" i="1"/>
  <c r="L1110" i="1"/>
  <c r="K1110" i="1"/>
  <c r="M1109" i="1"/>
  <c r="L1109" i="1"/>
  <c r="K1109" i="1"/>
  <c r="M1108" i="1"/>
  <c r="L1108" i="1"/>
  <c r="K1108" i="1"/>
  <c r="M1107" i="1"/>
  <c r="L1107" i="1"/>
  <c r="K1107" i="1"/>
  <c r="M1106" i="1"/>
  <c r="L1106" i="1"/>
  <c r="K1106" i="1"/>
  <c r="M1105" i="1"/>
  <c r="L1105" i="1"/>
  <c r="K1105" i="1"/>
  <c r="M1104" i="1"/>
  <c r="L1104" i="1"/>
  <c r="K1104" i="1"/>
  <c r="M1103" i="1"/>
  <c r="L1103" i="1"/>
  <c r="K1103" i="1"/>
  <c r="M1102" i="1"/>
  <c r="L1102" i="1"/>
  <c r="K1102" i="1"/>
  <c r="M1101" i="1"/>
  <c r="L1101" i="1"/>
  <c r="K1101" i="1"/>
  <c r="M1100" i="1"/>
  <c r="L1100" i="1"/>
  <c r="K1100" i="1"/>
  <c r="M1099" i="1"/>
  <c r="L1099" i="1"/>
  <c r="K1099" i="1"/>
  <c r="M1098" i="1"/>
  <c r="L1098" i="1"/>
  <c r="K1098" i="1"/>
  <c r="M1097" i="1"/>
  <c r="L1097" i="1"/>
  <c r="K1097" i="1"/>
  <c r="M1096" i="1"/>
  <c r="L1096" i="1"/>
  <c r="K1096" i="1"/>
  <c r="M1095" i="1"/>
  <c r="L1095" i="1"/>
  <c r="K1095" i="1"/>
  <c r="M1094" i="1"/>
  <c r="L1094" i="1"/>
  <c r="K1094" i="1"/>
  <c r="M1093" i="1"/>
  <c r="L1093" i="1"/>
  <c r="K1093" i="1"/>
  <c r="M1092" i="1"/>
  <c r="L1092" i="1"/>
  <c r="K1092" i="1"/>
  <c r="M1091" i="1"/>
  <c r="L1091" i="1"/>
  <c r="K1091" i="1"/>
  <c r="M1090" i="1"/>
  <c r="L1090" i="1"/>
  <c r="K1090" i="1"/>
  <c r="M1089" i="1"/>
  <c r="L1089" i="1"/>
  <c r="K1089" i="1"/>
  <c r="M1088" i="1"/>
  <c r="L1088" i="1"/>
  <c r="K1088" i="1"/>
  <c r="M1087" i="1"/>
  <c r="L1087" i="1"/>
  <c r="K1087" i="1"/>
  <c r="M1086" i="1"/>
  <c r="L1086" i="1"/>
  <c r="K1086" i="1"/>
  <c r="M1085" i="1"/>
  <c r="L1085" i="1"/>
  <c r="K1085" i="1"/>
  <c r="M1084" i="1"/>
  <c r="L1084" i="1"/>
  <c r="K1084" i="1"/>
  <c r="M1083" i="1"/>
  <c r="L1083" i="1"/>
  <c r="K1083" i="1"/>
  <c r="M1082" i="1"/>
  <c r="L1082" i="1"/>
  <c r="K1082" i="1"/>
  <c r="M1081" i="1"/>
  <c r="L1081" i="1"/>
  <c r="K1081" i="1"/>
  <c r="M1080" i="1"/>
  <c r="L1080" i="1"/>
  <c r="K1080" i="1"/>
  <c r="M1079" i="1"/>
  <c r="L1079" i="1"/>
  <c r="K1079" i="1"/>
  <c r="M1078" i="1"/>
  <c r="L1078" i="1"/>
  <c r="K1078" i="1"/>
  <c r="M1077" i="1"/>
  <c r="L1077" i="1"/>
  <c r="K1077" i="1"/>
  <c r="M1076" i="1"/>
  <c r="L1076" i="1"/>
  <c r="K1076" i="1"/>
  <c r="M1075" i="1"/>
  <c r="L1075" i="1"/>
  <c r="K1075" i="1"/>
  <c r="M1074" i="1"/>
  <c r="L1074" i="1"/>
  <c r="K1074" i="1"/>
  <c r="M1073" i="1"/>
  <c r="L1073" i="1"/>
  <c r="K1073" i="1"/>
  <c r="M1072" i="1"/>
  <c r="L1072" i="1"/>
  <c r="K1072" i="1"/>
  <c r="M1071" i="1"/>
  <c r="L1071" i="1"/>
  <c r="K1071" i="1"/>
  <c r="M1070" i="1"/>
  <c r="L1070" i="1"/>
  <c r="K1070" i="1"/>
  <c r="M1069" i="1"/>
  <c r="L1069" i="1"/>
  <c r="K1069" i="1"/>
  <c r="M1068" i="1"/>
  <c r="L1068" i="1"/>
  <c r="K1068" i="1"/>
  <c r="M1067" i="1"/>
  <c r="L1067" i="1"/>
  <c r="K1067" i="1"/>
  <c r="M1066" i="1"/>
  <c r="L1066" i="1"/>
  <c r="K1066" i="1"/>
  <c r="M1065" i="1"/>
  <c r="L1065" i="1"/>
  <c r="K1065" i="1"/>
  <c r="M1064" i="1"/>
  <c r="L1064" i="1"/>
  <c r="K1064" i="1"/>
  <c r="M1063" i="1"/>
  <c r="L1063" i="1"/>
  <c r="K1063" i="1"/>
  <c r="M1062" i="1"/>
  <c r="L1062" i="1"/>
  <c r="K1062" i="1"/>
  <c r="M1061" i="1"/>
  <c r="L1061" i="1"/>
  <c r="K1061" i="1"/>
  <c r="M1060" i="1"/>
  <c r="L1060" i="1"/>
  <c r="K1060" i="1"/>
  <c r="M1059" i="1"/>
  <c r="L1059" i="1"/>
  <c r="K1059" i="1"/>
  <c r="M1058" i="1"/>
  <c r="L1058" i="1"/>
  <c r="K1058" i="1"/>
  <c r="M1057" i="1"/>
  <c r="L1057" i="1"/>
  <c r="K1057" i="1"/>
  <c r="M1056" i="1"/>
  <c r="L1056" i="1"/>
  <c r="K1056" i="1"/>
  <c r="M1055" i="1"/>
  <c r="L1055" i="1"/>
  <c r="K1055" i="1"/>
  <c r="M1054" i="1"/>
  <c r="L1054" i="1"/>
  <c r="K1054" i="1"/>
  <c r="M1053" i="1"/>
  <c r="L1053" i="1"/>
  <c r="K1053" i="1"/>
  <c r="M1052" i="1"/>
  <c r="L1052" i="1"/>
  <c r="K1052" i="1"/>
  <c r="M1051" i="1"/>
  <c r="L1051" i="1"/>
  <c r="K1051" i="1"/>
  <c r="M1050" i="1"/>
  <c r="L1050" i="1"/>
  <c r="K1050" i="1"/>
  <c r="M1049" i="1"/>
  <c r="L1049" i="1"/>
  <c r="K1049" i="1"/>
  <c r="M1048" i="1"/>
  <c r="L1048" i="1"/>
  <c r="K1048" i="1"/>
  <c r="M1047" i="1"/>
  <c r="L1047" i="1"/>
  <c r="K1047" i="1"/>
  <c r="M1046" i="1"/>
  <c r="L1046" i="1"/>
  <c r="K1046" i="1"/>
  <c r="M1045" i="1"/>
  <c r="L1045" i="1"/>
  <c r="K1045" i="1"/>
  <c r="M1044" i="1"/>
  <c r="L1044" i="1"/>
  <c r="K1044" i="1"/>
  <c r="M1043" i="1"/>
  <c r="L1043" i="1"/>
  <c r="K1043" i="1"/>
  <c r="M1042" i="1"/>
  <c r="L1042" i="1"/>
  <c r="K1042" i="1"/>
  <c r="M1041" i="1"/>
  <c r="L1041" i="1"/>
  <c r="K1041" i="1"/>
  <c r="M1040" i="1"/>
  <c r="L1040" i="1"/>
  <c r="K1040" i="1"/>
  <c r="M1039" i="1"/>
  <c r="L1039" i="1"/>
  <c r="K1039" i="1"/>
  <c r="M1038" i="1"/>
  <c r="L1038" i="1"/>
  <c r="K1038" i="1"/>
  <c r="M1037" i="1"/>
  <c r="L1037" i="1"/>
  <c r="K1037" i="1"/>
  <c r="M1036" i="1"/>
  <c r="L1036" i="1"/>
  <c r="K1036" i="1"/>
  <c r="M1035" i="1"/>
  <c r="L1035" i="1"/>
  <c r="K1035" i="1"/>
  <c r="M1034" i="1"/>
  <c r="L1034" i="1"/>
  <c r="K1034" i="1"/>
  <c r="M1033" i="1"/>
  <c r="L1033" i="1"/>
  <c r="K1033" i="1"/>
  <c r="M1032" i="1"/>
  <c r="L1032" i="1"/>
  <c r="K1032" i="1"/>
  <c r="M1031" i="1"/>
  <c r="L1031" i="1"/>
  <c r="K1031" i="1"/>
  <c r="M1030" i="1"/>
  <c r="L1030" i="1"/>
  <c r="K1030" i="1"/>
  <c r="M1029" i="1"/>
  <c r="L1029" i="1"/>
  <c r="K1029" i="1"/>
  <c r="M1028" i="1"/>
  <c r="L1028" i="1"/>
  <c r="K1028" i="1"/>
  <c r="M1027" i="1"/>
  <c r="L1027" i="1"/>
  <c r="K1027" i="1"/>
  <c r="M1026" i="1"/>
  <c r="L1026" i="1"/>
  <c r="K1026" i="1"/>
  <c r="M1025" i="1"/>
  <c r="L1025" i="1"/>
  <c r="K1025" i="1"/>
  <c r="M1024" i="1"/>
  <c r="L1024" i="1"/>
  <c r="K1024" i="1"/>
  <c r="M1023" i="1"/>
  <c r="L1023" i="1"/>
  <c r="K1023" i="1"/>
  <c r="M1022" i="1"/>
  <c r="L1022" i="1"/>
  <c r="K1022" i="1"/>
  <c r="M1021" i="1"/>
  <c r="L1021" i="1"/>
  <c r="K1021" i="1"/>
  <c r="M1020" i="1"/>
  <c r="L1020" i="1"/>
  <c r="K1020" i="1"/>
  <c r="M1019" i="1"/>
  <c r="L1019" i="1"/>
  <c r="K1019" i="1"/>
  <c r="M1018" i="1"/>
  <c r="L1018" i="1"/>
  <c r="K1018" i="1"/>
  <c r="M1017" i="1"/>
  <c r="L1017" i="1"/>
  <c r="K1017" i="1"/>
  <c r="M1016" i="1"/>
  <c r="L1016" i="1"/>
  <c r="K1016" i="1"/>
  <c r="M1015" i="1"/>
  <c r="L1015" i="1"/>
  <c r="K1015" i="1"/>
  <c r="M1014" i="1"/>
  <c r="L1014" i="1"/>
  <c r="K1014" i="1"/>
  <c r="M1013" i="1"/>
  <c r="L1013" i="1"/>
  <c r="K1013" i="1"/>
  <c r="M1012" i="1"/>
  <c r="L1012" i="1"/>
  <c r="K1012" i="1"/>
  <c r="M1011" i="1"/>
  <c r="L1011" i="1"/>
  <c r="K1011" i="1"/>
  <c r="M1010" i="1"/>
  <c r="L1010" i="1"/>
  <c r="K1010" i="1"/>
  <c r="M1009" i="1"/>
  <c r="L1009" i="1"/>
  <c r="K1009" i="1"/>
  <c r="M1008" i="1"/>
  <c r="L1008" i="1"/>
  <c r="K1008" i="1"/>
  <c r="M1007" i="1"/>
  <c r="L1007" i="1"/>
  <c r="K1007" i="1"/>
  <c r="M1006" i="1"/>
  <c r="L1006" i="1"/>
  <c r="K1006" i="1"/>
  <c r="M1005" i="1"/>
  <c r="L1005" i="1"/>
  <c r="K1005" i="1"/>
  <c r="M1004" i="1"/>
  <c r="L1004" i="1"/>
  <c r="K1004" i="1"/>
  <c r="M1003" i="1"/>
  <c r="L1003" i="1"/>
  <c r="K1003" i="1"/>
  <c r="M1002" i="1"/>
  <c r="L1002" i="1"/>
  <c r="K1002" i="1"/>
  <c r="M1001" i="1"/>
  <c r="L1001" i="1"/>
  <c r="K1001" i="1"/>
  <c r="M1000" i="1"/>
  <c r="L1000" i="1"/>
  <c r="K1000" i="1"/>
  <c r="M999" i="1"/>
  <c r="L999" i="1"/>
  <c r="K999" i="1"/>
  <c r="M998" i="1"/>
  <c r="L998" i="1"/>
  <c r="K998" i="1"/>
  <c r="M997" i="1"/>
  <c r="L997" i="1"/>
  <c r="K997" i="1"/>
  <c r="M996" i="1"/>
  <c r="L996" i="1"/>
  <c r="K996" i="1"/>
  <c r="M995" i="1"/>
  <c r="L995" i="1"/>
  <c r="K995" i="1"/>
  <c r="M994" i="1"/>
  <c r="L994" i="1"/>
  <c r="K994" i="1"/>
  <c r="M993" i="1"/>
  <c r="L993" i="1"/>
  <c r="K993" i="1"/>
  <c r="M992" i="1"/>
  <c r="L992" i="1"/>
  <c r="K992" i="1"/>
  <c r="M991" i="1"/>
  <c r="L991" i="1"/>
  <c r="K991" i="1"/>
  <c r="M990" i="1"/>
  <c r="L990" i="1"/>
  <c r="K990" i="1"/>
  <c r="M989" i="1"/>
  <c r="L989" i="1"/>
  <c r="K989" i="1"/>
  <c r="M988" i="1"/>
  <c r="L988" i="1"/>
  <c r="K988" i="1"/>
  <c r="M987" i="1"/>
  <c r="L987" i="1"/>
  <c r="K987" i="1"/>
  <c r="M986" i="1"/>
  <c r="L986" i="1"/>
  <c r="K986" i="1"/>
  <c r="M985" i="1"/>
  <c r="L985" i="1"/>
  <c r="K985" i="1"/>
  <c r="M984" i="1"/>
  <c r="L984" i="1"/>
  <c r="K984" i="1"/>
  <c r="M983" i="1"/>
  <c r="L983" i="1"/>
  <c r="K983" i="1"/>
  <c r="M982" i="1"/>
  <c r="L982" i="1"/>
  <c r="K982" i="1"/>
  <c r="M981" i="1"/>
  <c r="L981" i="1"/>
  <c r="K981" i="1"/>
  <c r="M980" i="1"/>
  <c r="L980" i="1"/>
  <c r="K980" i="1"/>
  <c r="M979" i="1"/>
  <c r="L979" i="1"/>
  <c r="K979" i="1"/>
  <c r="M978" i="1"/>
  <c r="L978" i="1"/>
  <c r="K978" i="1"/>
  <c r="M977" i="1"/>
  <c r="L977" i="1"/>
  <c r="K977" i="1"/>
  <c r="M976" i="1"/>
  <c r="L976" i="1"/>
  <c r="K976" i="1"/>
  <c r="M975" i="1"/>
  <c r="L975" i="1"/>
  <c r="K975" i="1"/>
  <c r="M974" i="1"/>
  <c r="L974" i="1"/>
  <c r="K974" i="1"/>
  <c r="M973" i="1"/>
  <c r="L973" i="1"/>
  <c r="K973" i="1"/>
  <c r="M972" i="1"/>
  <c r="L972" i="1"/>
  <c r="K972" i="1"/>
  <c r="M971" i="1"/>
  <c r="L971" i="1"/>
  <c r="K971" i="1"/>
  <c r="M970" i="1"/>
  <c r="L970" i="1"/>
  <c r="K970" i="1"/>
  <c r="M969" i="1"/>
  <c r="L969" i="1"/>
  <c r="K969" i="1"/>
  <c r="M968" i="1"/>
  <c r="L968" i="1"/>
  <c r="K968" i="1"/>
  <c r="M967" i="1"/>
  <c r="L967" i="1"/>
  <c r="K967" i="1"/>
  <c r="M966" i="1"/>
  <c r="L966" i="1"/>
  <c r="K966" i="1"/>
  <c r="M965" i="1"/>
  <c r="L965" i="1"/>
  <c r="K965" i="1"/>
  <c r="M964" i="1"/>
  <c r="L964" i="1"/>
  <c r="K964" i="1"/>
  <c r="M963" i="1"/>
  <c r="L963" i="1"/>
  <c r="K963" i="1"/>
  <c r="M962" i="1"/>
  <c r="L962" i="1"/>
  <c r="K962" i="1"/>
  <c r="M961" i="1"/>
  <c r="L961" i="1"/>
  <c r="K961" i="1"/>
  <c r="M960" i="1"/>
  <c r="L960" i="1"/>
  <c r="K960" i="1"/>
  <c r="M959" i="1"/>
  <c r="L959" i="1"/>
  <c r="K959" i="1"/>
  <c r="M958" i="1"/>
  <c r="L958" i="1"/>
  <c r="K958" i="1"/>
  <c r="M957" i="1"/>
  <c r="L957" i="1"/>
  <c r="K957" i="1"/>
  <c r="M956" i="1"/>
  <c r="L956" i="1"/>
  <c r="K956" i="1"/>
  <c r="M955" i="1"/>
  <c r="L955" i="1"/>
  <c r="K955" i="1"/>
  <c r="M954" i="1"/>
  <c r="L954" i="1"/>
  <c r="K954" i="1"/>
  <c r="M953" i="1"/>
  <c r="L953" i="1"/>
  <c r="K953" i="1"/>
  <c r="M952" i="1"/>
  <c r="L952" i="1"/>
  <c r="K952" i="1"/>
  <c r="M951" i="1"/>
  <c r="L951" i="1"/>
  <c r="K951" i="1"/>
  <c r="M950" i="1"/>
  <c r="L950" i="1"/>
  <c r="K950" i="1"/>
  <c r="M949" i="1"/>
  <c r="L949" i="1"/>
  <c r="K949" i="1"/>
  <c r="M948" i="1"/>
  <c r="L948" i="1"/>
  <c r="K948" i="1"/>
  <c r="M947" i="1"/>
  <c r="L947" i="1"/>
  <c r="K947" i="1"/>
  <c r="M946" i="1"/>
  <c r="L946" i="1"/>
  <c r="K946" i="1"/>
  <c r="M945" i="1"/>
  <c r="L945" i="1"/>
  <c r="K945" i="1"/>
  <c r="M944" i="1"/>
  <c r="L944" i="1"/>
  <c r="K944" i="1"/>
  <c r="M943" i="1"/>
  <c r="L943" i="1"/>
  <c r="K943" i="1"/>
  <c r="M942" i="1"/>
  <c r="L942" i="1"/>
  <c r="K942" i="1"/>
  <c r="M941" i="1"/>
  <c r="L941" i="1"/>
  <c r="K941" i="1"/>
  <c r="M940" i="1"/>
  <c r="L940" i="1"/>
  <c r="K940" i="1"/>
  <c r="M939" i="1"/>
  <c r="L939" i="1"/>
  <c r="K939" i="1"/>
  <c r="M938" i="1"/>
  <c r="L938" i="1"/>
  <c r="K938" i="1"/>
  <c r="M937" i="1"/>
  <c r="L937" i="1"/>
  <c r="K937" i="1"/>
  <c r="M936" i="1"/>
  <c r="L936" i="1"/>
  <c r="K936" i="1"/>
  <c r="M935" i="1"/>
  <c r="L935" i="1"/>
  <c r="K935" i="1"/>
  <c r="M934" i="1"/>
  <c r="L934" i="1"/>
  <c r="K934" i="1"/>
  <c r="M933" i="1"/>
  <c r="L933" i="1"/>
  <c r="K933" i="1"/>
  <c r="M932" i="1"/>
  <c r="L932" i="1"/>
  <c r="K932" i="1"/>
  <c r="M931" i="1"/>
  <c r="L931" i="1"/>
  <c r="K931" i="1"/>
  <c r="M930" i="1"/>
  <c r="L930" i="1"/>
  <c r="K930" i="1"/>
  <c r="M929" i="1"/>
  <c r="L929" i="1"/>
  <c r="K929" i="1"/>
  <c r="M928" i="1"/>
  <c r="L928" i="1"/>
  <c r="K928" i="1"/>
  <c r="M927" i="1"/>
  <c r="L927" i="1"/>
  <c r="K927" i="1"/>
  <c r="M926" i="1"/>
  <c r="L926" i="1"/>
  <c r="K926" i="1"/>
  <c r="M925" i="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M905" i="1"/>
  <c r="L905" i="1"/>
  <c r="K905" i="1"/>
  <c r="M904" i="1"/>
  <c r="L904" i="1"/>
  <c r="K904" i="1"/>
  <c r="M903" i="1"/>
  <c r="L903" i="1"/>
  <c r="K903" i="1"/>
  <c r="M902" i="1"/>
  <c r="L902" i="1"/>
  <c r="K902" i="1"/>
  <c r="M901" i="1"/>
  <c r="L901" i="1"/>
  <c r="K901" i="1"/>
  <c r="M900" i="1"/>
  <c r="L900" i="1"/>
  <c r="K900" i="1"/>
  <c r="M899" i="1"/>
  <c r="L899" i="1"/>
  <c r="K899" i="1"/>
  <c r="M898" i="1"/>
  <c r="L898" i="1"/>
  <c r="K898" i="1"/>
  <c r="M897" i="1"/>
  <c r="L897" i="1"/>
  <c r="K897" i="1"/>
  <c r="M896" i="1"/>
  <c r="L896" i="1"/>
  <c r="K896" i="1"/>
  <c r="M895" i="1"/>
  <c r="L895" i="1"/>
  <c r="K895" i="1"/>
  <c r="M894" i="1"/>
  <c r="L894" i="1"/>
  <c r="K894" i="1"/>
  <c r="M893" i="1"/>
  <c r="L893" i="1"/>
  <c r="K893" i="1"/>
  <c r="M892" i="1"/>
  <c r="L892" i="1"/>
  <c r="K892" i="1"/>
  <c r="M891" i="1"/>
  <c r="L891" i="1"/>
  <c r="K891" i="1"/>
  <c r="M890" i="1"/>
  <c r="L890" i="1"/>
  <c r="K890" i="1"/>
  <c r="M889" i="1"/>
  <c r="L889" i="1"/>
  <c r="K889" i="1"/>
  <c r="M888" i="1"/>
  <c r="L888" i="1"/>
  <c r="K888" i="1"/>
  <c r="M887" i="1"/>
  <c r="L887" i="1"/>
  <c r="K887" i="1"/>
  <c r="M886" i="1"/>
  <c r="L886" i="1"/>
  <c r="K886" i="1"/>
  <c r="M885" i="1"/>
  <c r="L885" i="1"/>
  <c r="K885" i="1"/>
  <c r="M884" i="1"/>
  <c r="L884" i="1"/>
  <c r="K884" i="1"/>
  <c r="M883" i="1"/>
  <c r="L883" i="1"/>
  <c r="K883" i="1"/>
  <c r="M882" i="1"/>
  <c r="L882" i="1"/>
  <c r="K882" i="1"/>
  <c r="M881" i="1"/>
  <c r="L881" i="1"/>
  <c r="K881" i="1"/>
  <c r="M880" i="1"/>
  <c r="L880" i="1"/>
  <c r="K880" i="1"/>
  <c r="M879" i="1"/>
  <c r="L879" i="1"/>
  <c r="K879" i="1"/>
  <c r="M878" i="1"/>
  <c r="L878" i="1"/>
  <c r="K878" i="1"/>
  <c r="M877" i="1"/>
  <c r="L877" i="1"/>
  <c r="K877" i="1"/>
  <c r="M876" i="1"/>
  <c r="L876" i="1"/>
  <c r="K876" i="1"/>
  <c r="M875" i="1"/>
  <c r="L875" i="1"/>
  <c r="K875" i="1"/>
  <c r="M874" i="1"/>
  <c r="L874" i="1"/>
  <c r="K874" i="1"/>
  <c r="M873" i="1"/>
  <c r="L873" i="1"/>
  <c r="K873" i="1"/>
  <c r="M872" i="1"/>
  <c r="L872" i="1"/>
  <c r="K872" i="1"/>
  <c r="M871" i="1"/>
  <c r="L871" i="1"/>
  <c r="K871" i="1"/>
  <c r="M870" i="1"/>
  <c r="L870" i="1"/>
  <c r="K870" i="1"/>
  <c r="M869" i="1"/>
  <c r="L869" i="1"/>
  <c r="K869" i="1"/>
  <c r="M868" i="1"/>
  <c r="L868" i="1"/>
  <c r="K868" i="1"/>
  <c r="M867" i="1"/>
  <c r="L867" i="1"/>
  <c r="K867" i="1"/>
  <c r="M866" i="1"/>
  <c r="L866" i="1"/>
  <c r="K866" i="1"/>
  <c r="M865" i="1"/>
  <c r="L865" i="1"/>
  <c r="K865" i="1"/>
  <c r="M864" i="1"/>
  <c r="L864" i="1"/>
  <c r="K864" i="1"/>
  <c r="M863" i="1"/>
  <c r="L863" i="1"/>
  <c r="K863" i="1"/>
  <c r="M862" i="1"/>
  <c r="L862" i="1"/>
  <c r="K862" i="1"/>
  <c r="M861" i="1"/>
  <c r="L861" i="1"/>
  <c r="K861" i="1"/>
  <c r="M860" i="1"/>
  <c r="L860" i="1"/>
  <c r="K860" i="1"/>
  <c r="M859" i="1"/>
  <c r="L859" i="1"/>
  <c r="K859" i="1"/>
  <c r="M858" i="1"/>
  <c r="L858" i="1"/>
  <c r="K858" i="1"/>
  <c r="M857" i="1"/>
  <c r="L857" i="1"/>
  <c r="K857" i="1"/>
  <c r="M856" i="1"/>
  <c r="L856" i="1"/>
  <c r="K856" i="1"/>
  <c r="M855" i="1"/>
  <c r="L855" i="1"/>
  <c r="K855" i="1"/>
  <c r="M854" i="1"/>
  <c r="L854" i="1"/>
  <c r="K854" i="1"/>
  <c r="M853" i="1"/>
  <c r="L853" i="1"/>
  <c r="K853" i="1"/>
  <c r="M852" i="1"/>
  <c r="L852" i="1"/>
  <c r="K852" i="1"/>
  <c r="M851" i="1"/>
  <c r="L851" i="1"/>
  <c r="K851" i="1"/>
  <c r="M850" i="1"/>
  <c r="L850" i="1"/>
  <c r="K850" i="1"/>
  <c r="M849" i="1"/>
  <c r="L849" i="1"/>
  <c r="K849" i="1"/>
  <c r="M848" i="1"/>
  <c r="L848" i="1"/>
  <c r="K848" i="1"/>
  <c r="M847" i="1"/>
  <c r="L847" i="1"/>
  <c r="K847" i="1"/>
  <c r="M846" i="1"/>
  <c r="L846" i="1"/>
  <c r="K846" i="1"/>
  <c r="M845" i="1"/>
  <c r="L845" i="1"/>
  <c r="K845" i="1"/>
  <c r="M844" i="1"/>
  <c r="L844" i="1"/>
  <c r="K844" i="1"/>
  <c r="M843" i="1"/>
  <c r="L843" i="1"/>
  <c r="K843" i="1"/>
  <c r="M842" i="1"/>
  <c r="L842" i="1"/>
  <c r="K842" i="1"/>
  <c r="M841" i="1"/>
  <c r="L841" i="1"/>
  <c r="K841" i="1"/>
  <c r="M840" i="1"/>
  <c r="L840" i="1"/>
  <c r="K840" i="1"/>
  <c r="M839" i="1"/>
  <c r="L839" i="1"/>
  <c r="K839" i="1"/>
  <c r="M838" i="1"/>
  <c r="L838" i="1"/>
  <c r="K838" i="1"/>
  <c r="M837" i="1"/>
  <c r="L837" i="1"/>
  <c r="K837" i="1"/>
  <c r="M836" i="1"/>
  <c r="L836" i="1"/>
  <c r="K836" i="1"/>
  <c r="M835" i="1"/>
  <c r="L835" i="1"/>
  <c r="K835" i="1"/>
  <c r="M834" i="1"/>
  <c r="L834" i="1"/>
  <c r="K834" i="1"/>
  <c r="M833" i="1"/>
  <c r="L833" i="1"/>
  <c r="K833" i="1"/>
  <c r="M832" i="1"/>
  <c r="L832" i="1"/>
  <c r="K832" i="1"/>
  <c r="M831" i="1"/>
  <c r="L831" i="1"/>
  <c r="K831" i="1"/>
  <c r="M830" i="1"/>
  <c r="L830" i="1"/>
  <c r="K830" i="1"/>
  <c r="M829" i="1"/>
  <c r="L829" i="1"/>
  <c r="K829" i="1"/>
  <c r="M828" i="1"/>
  <c r="L828" i="1"/>
  <c r="K828" i="1"/>
  <c r="M827" i="1"/>
  <c r="L827" i="1"/>
  <c r="K827" i="1"/>
  <c r="M826" i="1"/>
  <c r="L826" i="1"/>
  <c r="K826" i="1"/>
  <c r="M825" i="1"/>
  <c r="L825" i="1"/>
  <c r="K825" i="1"/>
  <c r="M824" i="1"/>
  <c r="L824" i="1"/>
  <c r="K824" i="1"/>
  <c r="M823" i="1"/>
  <c r="L823" i="1"/>
  <c r="K823" i="1"/>
  <c r="M822" i="1"/>
  <c r="L822" i="1"/>
  <c r="K822" i="1"/>
  <c r="M821" i="1"/>
  <c r="L821" i="1"/>
  <c r="K821" i="1"/>
  <c r="M820" i="1"/>
  <c r="L820" i="1"/>
  <c r="K820" i="1"/>
  <c r="M819" i="1"/>
  <c r="L819" i="1"/>
  <c r="K819" i="1"/>
  <c r="M818" i="1"/>
  <c r="L818" i="1"/>
  <c r="K818" i="1"/>
  <c r="M817" i="1"/>
  <c r="L817" i="1"/>
  <c r="K817" i="1"/>
  <c r="M816" i="1"/>
  <c r="L816" i="1"/>
  <c r="K816" i="1"/>
  <c r="M815" i="1"/>
  <c r="L815" i="1"/>
  <c r="K815" i="1"/>
  <c r="M814" i="1"/>
  <c r="L814" i="1"/>
  <c r="K814" i="1"/>
  <c r="M813" i="1"/>
  <c r="L813" i="1"/>
  <c r="K813" i="1"/>
  <c r="M812" i="1"/>
  <c r="L812" i="1"/>
  <c r="K812" i="1"/>
  <c r="M811" i="1"/>
  <c r="L811" i="1"/>
  <c r="K811" i="1"/>
  <c r="M810" i="1"/>
  <c r="L810" i="1"/>
  <c r="K810" i="1"/>
  <c r="M809" i="1"/>
  <c r="L809" i="1"/>
  <c r="K809" i="1"/>
  <c r="M808" i="1"/>
  <c r="L808" i="1"/>
  <c r="K808" i="1"/>
  <c r="M807" i="1"/>
  <c r="L807" i="1"/>
  <c r="K807" i="1"/>
  <c r="M806" i="1"/>
  <c r="L806" i="1"/>
  <c r="K806" i="1"/>
  <c r="M805" i="1"/>
  <c r="L805" i="1"/>
  <c r="K805" i="1"/>
  <c r="M804" i="1"/>
  <c r="L804" i="1"/>
  <c r="K804" i="1"/>
  <c r="M803" i="1"/>
  <c r="L803" i="1"/>
  <c r="K803" i="1"/>
  <c r="M802" i="1"/>
  <c r="L802" i="1"/>
  <c r="K802" i="1"/>
  <c r="M801" i="1"/>
  <c r="L801" i="1"/>
  <c r="K801" i="1"/>
  <c r="M800" i="1"/>
  <c r="L800" i="1"/>
  <c r="K800" i="1"/>
  <c r="M799" i="1"/>
  <c r="L799" i="1"/>
  <c r="K799" i="1"/>
  <c r="M798" i="1"/>
  <c r="L798" i="1"/>
  <c r="K798" i="1"/>
  <c r="M797" i="1"/>
  <c r="L797" i="1"/>
  <c r="K797" i="1"/>
  <c r="M796" i="1"/>
  <c r="L796" i="1"/>
  <c r="K796" i="1"/>
  <c r="M795" i="1"/>
  <c r="L795" i="1"/>
  <c r="K795" i="1"/>
  <c r="M794" i="1"/>
  <c r="L794" i="1"/>
  <c r="K794" i="1"/>
  <c r="M793" i="1"/>
  <c r="L793" i="1"/>
  <c r="K793" i="1"/>
  <c r="M792" i="1"/>
  <c r="L792" i="1"/>
  <c r="K792" i="1"/>
  <c r="M791" i="1"/>
  <c r="L791" i="1"/>
  <c r="K791" i="1"/>
  <c r="M790" i="1"/>
  <c r="L790" i="1"/>
  <c r="K790" i="1"/>
  <c r="M789" i="1"/>
  <c r="L789" i="1"/>
  <c r="K789" i="1"/>
  <c r="M788" i="1"/>
  <c r="L788" i="1"/>
  <c r="K788" i="1"/>
  <c r="M787" i="1"/>
  <c r="L787" i="1"/>
  <c r="K787" i="1"/>
  <c r="M786" i="1"/>
  <c r="L786" i="1"/>
  <c r="K786" i="1"/>
  <c r="M785" i="1"/>
  <c r="L785" i="1"/>
  <c r="K785" i="1"/>
  <c r="M784" i="1"/>
  <c r="L784" i="1"/>
  <c r="K784" i="1"/>
  <c r="M783" i="1"/>
  <c r="L783" i="1"/>
  <c r="K783" i="1"/>
  <c r="M782" i="1"/>
  <c r="L782" i="1"/>
  <c r="K782" i="1"/>
  <c r="M781" i="1"/>
  <c r="L781" i="1"/>
  <c r="K781" i="1"/>
  <c r="M780" i="1"/>
  <c r="L780" i="1"/>
  <c r="K780" i="1"/>
  <c r="M779" i="1"/>
  <c r="L779" i="1"/>
  <c r="K779" i="1"/>
  <c r="M778" i="1"/>
  <c r="L778" i="1"/>
  <c r="K778" i="1"/>
  <c r="M777" i="1"/>
  <c r="L777" i="1"/>
  <c r="K777" i="1"/>
  <c r="M776" i="1"/>
  <c r="L776" i="1"/>
  <c r="K776" i="1"/>
  <c r="M775" i="1"/>
  <c r="L775" i="1"/>
  <c r="K775" i="1"/>
  <c r="M774" i="1"/>
  <c r="L774" i="1"/>
  <c r="K774" i="1"/>
  <c r="M773" i="1"/>
  <c r="L773" i="1"/>
  <c r="K773" i="1"/>
  <c r="M772" i="1"/>
  <c r="L772" i="1"/>
  <c r="K772" i="1"/>
  <c r="M771" i="1"/>
  <c r="L771" i="1"/>
  <c r="K771" i="1"/>
  <c r="M770" i="1"/>
  <c r="L770" i="1"/>
  <c r="K770" i="1"/>
  <c r="M769" i="1"/>
  <c r="L769" i="1"/>
  <c r="K769" i="1"/>
  <c r="M768" i="1"/>
  <c r="L768" i="1"/>
  <c r="K768" i="1"/>
  <c r="M767" i="1"/>
  <c r="L767" i="1"/>
  <c r="K767" i="1"/>
  <c r="M766" i="1"/>
  <c r="L766" i="1"/>
  <c r="K766" i="1"/>
  <c r="M765" i="1"/>
  <c r="L765" i="1"/>
  <c r="K765" i="1"/>
  <c r="M764" i="1"/>
  <c r="L764" i="1"/>
  <c r="K764" i="1"/>
  <c r="M763" i="1"/>
  <c r="L763" i="1"/>
  <c r="K763" i="1"/>
  <c r="M762" i="1"/>
  <c r="L762" i="1"/>
  <c r="K762" i="1"/>
  <c r="M761" i="1"/>
  <c r="L761" i="1"/>
  <c r="K761" i="1"/>
  <c r="M760" i="1"/>
  <c r="L760" i="1"/>
  <c r="K760" i="1"/>
  <c r="M759" i="1"/>
  <c r="L759" i="1"/>
  <c r="K759" i="1"/>
  <c r="M758" i="1"/>
  <c r="L758" i="1"/>
  <c r="K758" i="1"/>
  <c r="M757" i="1"/>
  <c r="L757" i="1"/>
  <c r="K757" i="1"/>
  <c r="M756" i="1"/>
  <c r="L756" i="1"/>
  <c r="K756" i="1"/>
  <c r="M755" i="1"/>
  <c r="L755" i="1"/>
  <c r="K755" i="1"/>
  <c r="M754" i="1"/>
  <c r="L754" i="1"/>
  <c r="K754" i="1"/>
  <c r="M753" i="1"/>
  <c r="L753" i="1"/>
  <c r="K753" i="1"/>
  <c r="M752" i="1"/>
  <c r="L752" i="1"/>
  <c r="K752" i="1"/>
  <c r="M751" i="1"/>
  <c r="L751" i="1"/>
  <c r="K751" i="1"/>
  <c r="M750" i="1"/>
  <c r="L750" i="1"/>
  <c r="K750" i="1"/>
  <c r="M749" i="1"/>
  <c r="L749" i="1"/>
  <c r="K749" i="1"/>
  <c r="M748" i="1"/>
  <c r="L748" i="1"/>
  <c r="K748" i="1"/>
  <c r="M747" i="1"/>
  <c r="L747" i="1"/>
  <c r="K747" i="1"/>
  <c r="M746" i="1"/>
  <c r="L746" i="1"/>
  <c r="K746" i="1"/>
  <c r="M745" i="1"/>
  <c r="L745" i="1"/>
  <c r="K745" i="1"/>
  <c r="M744" i="1"/>
  <c r="L744" i="1"/>
  <c r="K744" i="1"/>
  <c r="M743" i="1"/>
  <c r="L743" i="1"/>
  <c r="K743" i="1"/>
  <c r="M742" i="1"/>
  <c r="L742" i="1"/>
  <c r="K742" i="1"/>
  <c r="M741" i="1"/>
  <c r="L741" i="1"/>
  <c r="K741" i="1"/>
  <c r="M740" i="1"/>
  <c r="L740" i="1"/>
  <c r="K740" i="1"/>
  <c r="M739" i="1"/>
  <c r="L739" i="1"/>
  <c r="K739" i="1"/>
  <c r="M738" i="1"/>
  <c r="L738" i="1"/>
  <c r="K738" i="1"/>
  <c r="M737" i="1"/>
  <c r="L737" i="1"/>
  <c r="K737" i="1"/>
  <c r="M736" i="1"/>
  <c r="L736" i="1"/>
  <c r="K736" i="1"/>
  <c r="M735" i="1"/>
  <c r="L735" i="1"/>
  <c r="K735" i="1"/>
  <c r="M734" i="1"/>
  <c r="L734" i="1"/>
  <c r="K734" i="1"/>
  <c r="M733" i="1"/>
  <c r="L733" i="1"/>
  <c r="K733" i="1"/>
  <c r="M732" i="1"/>
  <c r="L732" i="1"/>
  <c r="K732" i="1"/>
  <c r="M731" i="1"/>
  <c r="L731" i="1"/>
  <c r="K731" i="1"/>
  <c r="M730" i="1"/>
  <c r="L730" i="1"/>
  <c r="K730" i="1"/>
  <c r="M729" i="1"/>
  <c r="L729" i="1"/>
  <c r="K729" i="1"/>
  <c r="M728" i="1"/>
  <c r="L728" i="1"/>
  <c r="K728" i="1"/>
  <c r="M727" i="1"/>
  <c r="L727" i="1"/>
  <c r="K727" i="1"/>
  <c r="M726" i="1"/>
  <c r="L726" i="1"/>
  <c r="K726" i="1"/>
  <c r="M725" i="1"/>
  <c r="L725" i="1"/>
  <c r="K725" i="1"/>
  <c r="M724" i="1"/>
  <c r="L724" i="1"/>
  <c r="K724" i="1"/>
  <c r="M723" i="1"/>
  <c r="L723" i="1"/>
  <c r="K723" i="1"/>
  <c r="M722" i="1"/>
  <c r="L722" i="1"/>
  <c r="K722" i="1"/>
  <c r="M721" i="1"/>
  <c r="L721" i="1"/>
  <c r="K721" i="1"/>
  <c r="M720" i="1"/>
  <c r="L720" i="1"/>
  <c r="K720" i="1"/>
  <c r="M719" i="1"/>
  <c r="L719" i="1"/>
  <c r="K719" i="1"/>
  <c r="M718" i="1"/>
  <c r="L718" i="1"/>
  <c r="K718" i="1"/>
  <c r="M717" i="1"/>
  <c r="L717" i="1"/>
  <c r="K717" i="1"/>
  <c r="M716" i="1"/>
  <c r="L716" i="1"/>
  <c r="K716" i="1"/>
  <c r="M715" i="1"/>
  <c r="L715" i="1"/>
  <c r="K715" i="1"/>
  <c r="M714" i="1"/>
  <c r="L714" i="1"/>
  <c r="K714" i="1"/>
  <c r="M713" i="1"/>
  <c r="L713" i="1"/>
  <c r="K713" i="1"/>
  <c r="M712" i="1"/>
  <c r="L712" i="1"/>
  <c r="K712" i="1"/>
  <c r="M711" i="1"/>
  <c r="L711" i="1"/>
  <c r="K711" i="1"/>
  <c r="M710" i="1"/>
  <c r="L710" i="1"/>
  <c r="K710" i="1"/>
  <c r="M709" i="1"/>
  <c r="L709" i="1"/>
  <c r="K709" i="1"/>
  <c r="M708" i="1"/>
  <c r="L708" i="1"/>
  <c r="K708" i="1"/>
  <c r="M707" i="1"/>
  <c r="L707" i="1"/>
  <c r="K707" i="1"/>
  <c r="M706" i="1"/>
  <c r="L706" i="1"/>
  <c r="K706" i="1"/>
  <c r="M705" i="1"/>
  <c r="L705" i="1"/>
  <c r="K705" i="1"/>
  <c r="M704" i="1"/>
  <c r="L704" i="1"/>
  <c r="K704" i="1"/>
  <c r="M703" i="1"/>
  <c r="L703" i="1"/>
  <c r="K703" i="1"/>
  <c r="M702" i="1"/>
  <c r="L702" i="1"/>
  <c r="K702" i="1"/>
  <c r="M701" i="1"/>
  <c r="L701" i="1"/>
  <c r="K701" i="1"/>
  <c r="M700" i="1"/>
  <c r="L700" i="1"/>
  <c r="K700" i="1"/>
  <c r="M699" i="1"/>
  <c r="L699" i="1"/>
  <c r="K699" i="1"/>
  <c r="M698" i="1"/>
  <c r="L698" i="1"/>
  <c r="K698" i="1"/>
  <c r="M697" i="1"/>
  <c r="L697" i="1"/>
  <c r="K697" i="1"/>
  <c r="M696" i="1"/>
  <c r="L696" i="1"/>
  <c r="K69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M675" i="1"/>
  <c r="L675" i="1"/>
  <c r="K675" i="1"/>
  <c r="M674" i="1"/>
  <c r="L674" i="1"/>
  <c r="K674" i="1"/>
  <c r="M673" i="1"/>
  <c r="L673" i="1"/>
  <c r="K673" i="1"/>
  <c r="M672" i="1"/>
  <c r="L672" i="1"/>
  <c r="K672" i="1"/>
  <c r="M671" i="1"/>
  <c r="L671" i="1"/>
  <c r="K671" i="1"/>
  <c r="M670" i="1"/>
  <c r="L670" i="1"/>
  <c r="K670" i="1"/>
  <c r="M669" i="1"/>
  <c r="L669" i="1"/>
  <c r="K669" i="1"/>
  <c r="M668" i="1"/>
  <c r="L668" i="1"/>
  <c r="K668" i="1"/>
  <c r="M667" i="1"/>
  <c r="L667" i="1"/>
  <c r="K667" i="1"/>
  <c r="M666" i="1"/>
  <c r="L666" i="1"/>
  <c r="K666" i="1"/>
  <c r="M665" i="1"/>
  <c r="L665" i="1"/>
  <c r="K665" i="1"/>
  <c r="M664" i="1"/>
  <c r="L664" i="1"/>
  <c r="K664" i="1"/>
  <c r="M663" i="1"/>
  <c r="L663" i="1"/>
  <c r="K663" i="1"/>
  <c r="M662" i="1"/>
  <c r="L662" i="1"/>
  <c r="K662" i="1"/>
  <c r="M661" i="1"/>
  <c r="L661" i="1"/>
  <c r="K661" i="1"/>
  <c r="M660" i="1"/>
  <c r="L660" i="1"/>
  <c r="K660" i="1"/>
  <c r="M659" i="1"/>
  <c r="L659" i="1"/>
  <c r="K659" i="1"/>
  <c r="M658" i="1"/>
  <c r="L658" i="1"/>
  <c r="K658" i="1"/>
  <c r="M657" i="1"/>
  <c r="L657" i="1"/>
  <c r="K657" i="1"/>
  <c r="M656" i="1"/>
  <c r="L656" i="1"/>
  <c r="K656" i="1"/>
  <c r="M655" i="1"/>
  <c r="L655" i="1"/>
  <c r="K655" i="1"/>
  <c r="M654" i="1"/>
  <c r="L654" i="1"/>
  <c r="K654" i="1"/>
  <c r="M653" i="1"/>
  <c r="L653" i="1"/>
  <c r="K653" i="1"/>
  <c r="M652" i="1"/>
  <c r="L652" i="1"/>
  <c r="K652" i="1"/>
  <c r="M651" i="1"/>
  <c r="L651" i="1"/>
  <c r="K651" i="1"/>
  <c r="M650" i="1"/>
  <c r="L650" i="1"/>
  <c r="K650" i="1"/>
  <c r="M649" i="1"/>
  <c r="L649" i="1"/>
  <c r="K649" i="1"/>
  <c r="M648" i="1"/>
  <c r="L648" i="1"/>
  <c r="K648" i="1"/>
  <c r="M647" i="1"/>
  <c r="L647" i="1"/>
  <c r="K647" i="1"/>
  <c r="M646" i="1"/>
  <c r="L646" i="1"/>
  <c r="K646" i="1"/>
  <c r="M645" i="1"/>
  <c r="L645" i="1"/>
  <c r="K645" i="1"/>
  <c r="M644" i="1"/>
  <c r="L644" i="1"/>
  <c r="K644" i="1"/>
  <c r="M643" i="1"/>
  <c r="L643" i="1"/>
  <c r="K643" i="1"/>
  <c r="M642" i="1"/>
  <c r="L642" i="1"/>
  <c r="K642" i="1"/>
  <c r="M641" i="1"/>
  <c r="L641" i="1"/>
  <c r="K641" i="1"/>
  <c r="M640" i="1"/>
  <c r="L640" i="1"/>
  <c r="K640" i="1"/>
  <c r="M639" i="1"/>
  <c r="L639" i="1"/>
  <c r="K639" i="1"/>
  <c r="M638" i="1"/>
  <c r="L638" i="1"/>
  <c r="K638" i="1"/>
  <c r="M637" i="1"/>
  <c r="L637" i="1"/>
  <c r="K637" i="1"/>
  <c r="M636" i="1"/>
  <c r="L636" i="1"/>
  <c r="K636" i="1"/>
  <c r="M635" i="1"/>
  <c r="L635" i="1"/>
  <c r="K635" i="1"/>
  <c r="M634" i="1"/>
  <c r="L634" i="1"/>
  <c r="K634" i="1"/>
  <c r="M633" i="1"/>
  <c r="L633" i="1"/>
  <c r="K633" i="1"/>
  <c r="M632" i="1"/>
  <c r="L632" i="1"/>
  <c r="K632" i="1"/>
  <c r="M631" i="1"/>
  <c r="L631" i="1"/>
  <c r="K631" i="1"/>
  <c r="M630" i="1"/>
  <c r="L630" i="1"/>
  <c r="K630" i="1"/>
  <c r="M629" i="1"/>
  <c r="L629" i="1"/>
  <c r="K629" i="1"/>
  <c r="M628" i="1"/>
  <c r="L628" i="1"/>
  <c r="K628" i="1"/>
  <c r="M627" i="1"/>
  <c r="L627" i="1"/>
  <c r="K627" i="1"/>
  <c r="M626" i="1"/>
  <c r="L626" i="1"/>
  <c r="K626" i="1"/>
  <c r="M625" i="1"/>
  <c r="L625" i="1"/>
  <c r="K625" i="1"/>
  <c r="M624" i="1"/>
  <c r="L624" i="1"/>
  <c r="K624" i="1"/>
  <c r="M623" i="1"/>
  <c r="L623" i="1"/>
  <c r="K623" i="1"/>
  <c r="M622" i="1"/>
  <c r="L622" i="1"/>
  <c r="K622" i="1"/>
  <c r="M621" i="1"/>
  <c r="L621" i="1"/>
  <c r="K621" i="1"/>
  <c r="M620" i="1"/>
  <c r="L620" i="1"/>
  <c r="K620" i="1"/>
  <c r="M619" i="1"/>
  <c r="L619" i="1"/>
  <c r="K619" i="1"/>
  <c r="M618" i="1"/>
  <c r="L618" i="1"/>
  <c r="K618" i="1"/>
  <c r="M617" i="1"/>
  <c r="L617" i="1"/>
  <c r="K617" i="1"/>
  <c r="M616" i="1"/>
  <c r="L616" i="1"/>
  <c r="K616" i="1"/>
  <c r="M615" i="1"/>
  <c r="L615" i="1"/>
  <c r="K615" i="1"/>
  <c r="M614" i="1"/>
  <c r="L614" i="1"/>
  <c r="K614" i="1"/>
  <c r="M613" i="1"/>
  <c r="L613" i="1"/>
  <c r="K613" i="1"/>
  <c r="M612" i="1"/>
  <c r="L612" i="1"/>
  <c r="K612" i="1"/>
  <c r="M611" i="1"/>
  <c r="L611" i="1"/>
  <c r="K611" i="1"/>
  <c r="M610" i="1"/>
  <c r="L610" i="1"/>
  <c r="K610" i="1"/>
  <c r="M609" i="1"/>
  <c r="L609" i="1"/>
  <c r="K609" i="1"/>
  <c r="M608" i="1"/>
  <c r="L608" i="1"/>
  <c r="K608" i="1"/>
  <c r="M607" i="1"/>
  <c r="L607" i="1"/>
  <c r="K607" i="1"/>
  <c r="M606" i="1"/>
  <c r="L606" i="1"/>
  <c r="K606" i="1"/>
  <c r="M605" i="1"/>
  <c r="L605" i="1"/>
  <c r="K605" i="1"/>
  <c r="M604" i="1"/>
  <c r="L604" i="1"/>
  <c r="K604" i="1"/>
  <c r="M603" i="1"/>
  <c r="L603" i="1"/>
  <c r="K603" i="1"/>
  <c r="M602" i="1"/>
  <c r="L602" i="1"/>
  <c r="K602" i="1"/>
  <c r="M601" i="1"/>
  <c r="L601" i="1"/>
  <c r="K601" i="1"/>
  <c r="M600" i="1"/>
  <c r="L600" i="1"/>
  <c r="K600" i="1"/>
  <c r="M599" i="1"/>
  <c r="L599" i="1"/>
  <c r="K599" i="1"/>
  <c r="M598" i="1"/>
  <c r="L598" i="1"/>
  <c r="K598" i="1"/>
  <c r="M597" i="1"/>
  <c r="L597" i="1"/>
  <c r="K597" i="1"/>
  <c r="M596" i="1"/>
  <c r="L596" i="1"/>
  <c r="K596" i="1"/>
  <c r="M595" i="1"/>
  <c r="L595" i="1"/>
  <c r="K595" i="1"/>
  <c r="M594" i="1"/>
  <c r="L594" i="1"/>
  <c r="K594" i="1"/>
  <c r="M593" i="1"/>
  <c r="L593" i="1"/>
  <c r="K593" i="1"/>
  <c r="M592" i="1"/>
  <c r="L592" i="1"/>
  <c r="K592" i="1"/>
  <c r="M591" i="1"/>
  <c r="L591" i="1"/>
  <c r="K591" i="1"/>
  <c r="M590" i="1"/>
  <c r="L590" i="1"/>
  <c r="K590" i="1"/>
  <c r="M589" i="1"/>
  <c r="L589" i="1"/>
  <c r="K589" i="1"/>
  <c r="M588" i="1"/>
  <c r="L588" i="1"/>
  <c r="K588" i="1"/>
  <c r="M587" i="1"/>
  <c r="L587" i="1"/>
  <c r="K587" i="1"/>
  <c r="M586" i="1"/>
  <c r="L586" i="1"/>
  <c r="K586" i="1"/>
  <c r="M585" i="1"/>
  <c r="L585" i="1"/>
  <c r="K585" i="1"/>
  <c r="M584" i="1"/>
  <c r="L584" i="1"/>
  <c r="K584" i="1"/>
  <c r="M583" i="1"/>
  <c r="L583" i="1"/>
  <c r="K583" i="1"/>
  <c r="M582" i="1"/>
  <c r="L582" i="1"/>
  <c r="K582" i="1"/>
  <c r="M581" i="1"/>
  <c r="L581" i="1"/>
  <c r="K581" i="1"/>
  <c r="M580" i="1"/>
  <c r="L580" i="1"/>
  <c r="K580" i="1"/>
  <c r="M579" i="1"/>
  <c r="L579" i="1"/>
  <c r="K579" i="1"/>
  <c r="M578" i="1"/>
  <c r="L578" i="1"/>
  <c r="K578" i="1"/>
  <c r="M577" i="1"/>
  <c r="L577" i="1"/>
  <c r="K577" i="1"/>
  <c r="M576" i="1"/>
  <c r="L576" i="1"/>
  <c r="K576" i="1"/>
  <c r="M575" i="1"/>
  <c r="L575" i="1"/>
  <c r="K575" i="1"/>
  <c r="M574" i="1"/>
  <c r="L574" i="1"/>
  <c r="K574" i="1"/>
  <c r="M573" i="1"/>
  <c r="L573" i="1"/>
  <c r="K573" i="1"/>
  <c r="M572" i="1"/>
  <c r="L572" i="1"/>
  <c r="K572" i="1"/>
  <c r="M571" i="1"/>
  <c r="L571" i="1"/>
  <c r="K571" i="1"/>
  <c r="M570" i="1"/>
  <c r="L570" i="1"/>
  <c r="K570" i="1"/>
  <c r="M569" i="1"/>
  <c r="L569" i="1"/>
  <c r="K569" i="1"/>
  <c r="M568" i="1"/>
  <c r="L568" i="1"/>
  <c r="K568" i="1"/>
  <c r="M567" i="1"/>
  <c r="L567" i="1"/>
  <c r="K567" i="1"/>
  <c r="M566" i="1"/>
  <c r="L566" i="1"/>
  <c r="K566" i="1"/>
  <c r="M565" i="1"/>
  <c r="L565" i="1"/>
  <c r="K565" i="1"/>
  <c r="M564" i="1"/>
  <c r="L564" i="1"/>
  <c r="K564" i="1"/>
  <c r="M563" i="1"/>
  <c r="L563" i="1"/>
  <c r="K563" i="1"/>
  <c r="M562" i="1"/>
  <c r="L562" i="1"/>
  <c r="K562" i="1"/>
  <c r="M561" i="1"/>
  <c r="L561" i="1"/>
  <c r="K561" i="1"/>
  <c r="M560" i="1"/>
  <c r="L560" i="1"/>
  <c r="K560" i="1"/>
  <c r="M559" i="1"/>
  <c r="L559" i="1"/>
  <c r="K559" i="1"/>
  <c r="M558" i="1"/>
  <c r="L558" i="1"/>
  <c r="K558" i="1"/>
  <c r="M557" i="1"/>
  <c r="L557" i="1"/>
  <c r="K557" i="1"/>
  <c r="M556" i="1"/>
  <c r="L556" i="1"/>
  <c r="K556" i="1"/>
  <c r="M555" i="1"/>
  <c r="L555" i="1"/>
  <c r="K555" i="1"/>
  <c r="M554" i="1"/>
  <c r="L554" i="1"/>
  <c r="K554" i="1"/>
  <c r="M553" i="1"/>
  <c r="L553" i="1"/>
  <c r="K553" i="1"/>
  <c r="M552" i="1"/>
  <c r="L552" i="1"/>
  <c r="K552" i="1"/>
  <c r="M551" i="1"/>
  <c r="L551" i="1"/>
  <c r="K551" i="1"/>
  <c r="M550" i="1"/>
  <c r="L550" i="1"/>
  <c r="K550" i="1"/>
  <c r="M549" i="1"/>
  <c r="L549" i="1"/>
  <c r="K549" i="1"/>
  <c r="M548" i="1"/>
  <c r="L548" i="1"/>
  <c r="K548" i="1"/>
  <c r="M547" i="1"/>
  <c r="L547" i="1"/>
  <c r="K547" i="1"/>
  <c r="M546" i="1"/>
  <c r="L546" i="1"/>
  <c r="K546" i="1"/>
  <c r="M545" i="1"/>
  <c r="L545" i="1"/>
  <c r="K545" i="1"/>
  <c r="M544" i="1"/>
  <c r="L544" i="1"/>
  <c r="K544" i="1"/>
  <c r="M543" i="1"/>
  <c r="L543" i="1"/>
  <c r="K543" i="1"/>
  <c r="M542" i="1"/>
  <c r="L542" i="1"/>
  <c r="K542" i="1"/>
  <c r="M541" i="1"/>
  <c r="L541" i="1"/>
  <c r="K541" i="1"/>
  <c r="M540" i="1"/>
  <c r="L540" i="1"/>
  <c r="K540" i="1"/>
  <c r="M539" i="1"/>
  <c r="L539" i="1"/>
  <c r="K539" i="1"/>
  <c r="M538" i="1"/>
  <c r="L538" i="1"/>
  <c r="K538" i="1"/>
  <c r="M537" i="1"/>
  <c r="L537" i="1"/>
  <c r="K537" i="1"/>
  <c r="M536" i="1"/>
  <c r="L536" i="1"/>
  <c r="K536" i="1"/>
  <c r="M535" i="1"/>
  <c r="L535" i="1"/>
  <c r="K535" i="1"/>
  <c r="M534" i="1"/>
  <c r="L534" i="1"/>
  <c r="K534" i="1"/>
  <c r="M533" i="1"/>
  <c r="L533" i="1"/>
  <c r="K533" i="1"/>
  <c r="M532" i="1"/>
  <c r="L532" i="1"/>
  <c r="K532" i="1"/>
  <c r="M531" i="1"/>
  <c r="L531" i="1"/>
  <c r="K531" i="1"/>
  <c r="M530" i="1"/>
  <c r="L530" i="1"/>
  <c r="K530" i="1"/>
  <c r="M529" i="1"/>
  <c r="L529" i="1"/>
  <c r="K529" i="1"/>
  <c r="M528" i="1"/>
  <c r="L528" i="1"/>
  <c r="K528" i="1"/>
  <c r="M527" i="1"/>
  <c r="L527" i="1"/>
  <c r="K527" i="1"/>
  <c r="M526" i="1"/>
  <c r="L526" i="1"/>
  <c r="K526" i="1"/>
  <c r="M525" i="1"/>
  <c r="L525" i="1"/>
  <c r="K525" i="1"/>
  <c r="M524" i="1"/>
  <c r="L524" i="1"/>
  <c r="K524" i="1"/>
  <c r="M523" i="1"/>
  <c r="L523" i="1"/>
  <c r="K523" i="1"/>
  <c r="M522" i="1"/>
  <c r="L522" i="1"/>
  <c r="K522" i="1"/>
  <c r="M521" i="1"/>
  <c r="L521" i="1"/>
  <c r="K521" i="1"/>
  <c r="M520" i="1"/>
  <c r="L520" i="1"/>
  <c r="K520" i="1"/>
  <c r="M519" i="1"/>
  <c r="L519" i="1"/>
  <c r="K519" i="1"/>
  <c r="M518" i="1"/>
  <c r="L518" i="1"/>
  <c r="K518" i="1"/>
  <c r="M517" i="1"/>
  <c r="L517" i="1"/>
  <c r="K517" i="1"/>
  <c r="M516" i="1"/>
  <c r="L516" i="1"/>
  <c r="K516" i="1"/>
  <c r="M515" i="1"/>
  <c r="L515" i="1"/>
  <c r="K515" i="1"/>
  <c r="M514" i="1"/>
  <c r="L514" i="1"/>
  <c r="K514" i="1"/>
  <c r="M513" i="1"/>
  <c r="L513" i="1"/>
  <c r="K513" i="1"/>
  <c r="M512" i="1"/>
  <c r="L512" i="1"/>
  <c r="K512" i="1"/>
  <c r="M511" i="1"/>
  <c r="L511" i="1"/>
  <c r="K511" i="1"/>
  <c r="M510" i="1"/>
  <c r="L510" i="1"/>
  <c r="K510" i="1"/>
  <c r="M509" i="1"/>
  <c r="L509" i="1"/>
  <c r="K509" i="1"/>
  <c r="M508" i="1"/>
  <c r="L508" i="1"/>
  <c r="K508" i="1"/>
  <c r="M507" i="1"/>
  <c r="L507" i="1"/>
  <c r="K507" i="1"/>
  <c r="M506" i="1"/>
  <c r="L506" i="1"/>
  <c r="K506" i="1"/>
  <c r="M505" i="1"/>
  <c r="L505" i="1"/>
  <c r="K505" i="1"/>
  <c r="M504" i="1"/>
  <c r="L504" i="1"/>
  <c r="K504" i="1"/>
  <c r="M503" i="1"/>
  <c r="L503" i="1"/>
  <c r="K503" i="1"/>
  <c r="M502" i="1"/>
  <c r="L502" i="1"/>
  <c r="K502" i="1"/>
  <c r="M501" i="1"/>
  <c r="L501" i="1"/>
  <c r="K501" i="1"/>
  <c r="M500" i="1"/>
  <c r="L500" i="1"/>
  <c r="K500" i="1"/>
  <c r="M499" i="1"/>
  <c r="L499" i="1"/>
  <c r="K499" i="1"/>
  <c r="M498" i="1"/>
  <c r="L498" i="1"/>
  <c r="K498" i="1"/>
  <c r="M497" i="1"/>
  <c r="L497" i="1"/>
  <c r="K497" i="1"/>
  <c r="M496" i="1"/>
  <c r="L496" i="1"/>
  <c r="K496" i="1"/>
  <c r="M495" i="1"/>
  <c r="L495" i="1"/>
  <c r="K495" i="1"/>
  <c r="M494" i="1"/>
  <c r="L494" i="1"/>
  <c r="K494" i="1"/>
  <c r="M493" i="1"/>
  <c r="L493" i="1"/>
  <c r="K493" i="1"/>
  <c r="M492" i="1"/>
  <c r="L492" i="1"/>
  <c r="K492" i="1"/>
  <c r="M491" i="1"/>
  <c r="L491" i="1"/>
  <c r="K491" i="1"/>
  <c r="M490" i="1"/>
  <c r="L490" i="1"/>
  <c r="K490" i="1"/>
  <c r="M489" i="1"/>
  <c r="L489" i="1"/>
  <c r="K489" i="1"/>
  <c r="M488" i="1"/>
  <c r="L488" i="1"/>
  <c r="K488" i="1"/>
  <c r="M487" i="1"/>
  <c r="L487" i="1"/>
  <c r="K487" i="1"/>
  <c r="M486" i="1"/>
  <c r="L486" i="1"/>
  <c r="K486" i="1"/>
  <c r="M485" i="1"/>
  <c r="L485" i="1"/>
  <c r="K485" i="1"/>
  <c r="M484" i="1"/>
  <c r="L484" i="1"/>
  <c r="K484" i="1"/>
  <c r="M483" i="1"/>
  <c r="L483" i="1"/>
  <c r="K483" i="1"/>
  <c r="M482" i="1"/>
  <c r="L482" i="1"/>
  <c r="K482" i="1"/>
  <c r="M481" i="1"/>
  <c r="L481" i="1"/>
  <c r="K481" i="1"/>
  <c r="M480" i="1"/>
  <c r="L480" i="1"/>
  <c r="K480" i="1"/>
  <c r="M479" i="1"/>
  <c r="L479" i="1"/>
  <c r="K479" i="1"/>
  <c r="M478" i="1"/>
  <c r="L478" i="1"/>
  <c r="K478" i="1"/>
  <c r="M477" i="1"/>
  <c r="L477" i="1"/>
  <c r="K477" i="1"/>
  <c r="M476" i="1"/>
  <c r="L476" i="1"/>
  <c r="K476" i="1"/>
  <c r="M475" i="1"/>
  <c r="L475" i="1"/>
  <c r="K475" i="1"/>
  <c r="M474" i="1"/>
  <c r="L474" i="1"/>
  <c r="K474" i="1"/>
  <c r="M473" i="1"/>
  <c r="L473" i="1"/>
  <c r="K473" i="1"/>
  <c r="M472" i="1"/>
  <c r="L472" i="1"/>
  <c r="K472" i="1"/>
  <c r="M471" i="1"/>
  <c r="L471" i="1"/>
  <c r="K471" i="1"/>
  <c r="M470" i="1"/>
  <c r="L470" i="1"/>
  <c r="K470" i="1"/>
  <c r="M469" i="1"/>
  <c r="L469" i="1"/>
  <c r="K469" i="1"/>
  <c r="M468" i="1"/>
  <c r="L468" i="1"/>
  <c r="K468" i="1"/>
  <c r="M467" i="1"/>
  <c r="L467" i="1"/>
  <c r="K467" i="1"/>
  <c r="M466" i="1"/>
  <c r="L466" i="1"/>
  <c r="K466" i="1"/>
  <c r="M465" i="1"/>
  <c r="L465" i="1"/>
  <c r="K465" i="1"/>
  <c r="M464" i="1"/>
  <c r="L464" i="1"/>
  <c r="K464" i="1"/>
  <c r="M463" i="1"/>
  <c r="L463" i="1"/>
  <c r="K463" i="1"/>
  <c r="M462" i="1"/>
  <c r="L462" i="1"/>
  <c r="K462" i="1"/>
  <c r="M461" i="1"/>
  <c r="L461" i="1"/>
  <c r="K461" i="1"/>
  <c r="M460" i="1"/>
  <c r="L460" i="1"/>
  <c r="K460" i="1"/>
  <c r="M459" i="1"/>
  <c r="L459" i="1"/>
  <c r="K459" i="1"/>
  <c r="M458" i="1"/>
  <c r="L458" i="1"/>
  <c r="K458" i="1"/>
  <c r="M457" i="1"/>
  <c r="L457" i="1"/>
  <c r="K457" i="1"/>
  <c r="M456" i="1"/>
  <c r="L456" i="1"/>
  <c r="K456" i="1"/>
  <c r="M455" i="1"/>
  <c r="L455" i="1"/>
  <c r="K455" i="1"/>
  <c r="M454" i="1"/>
  <c r="L454" i="1"/>
  <c r="K454" i="1"/>
  <c r="M453" i="1"/>
  <c r="L453" i="1"/>
  <c r="K453" i="1"/>
  <c r="M452" i="1"/>
  <c r="L452" i="1"/>
  <c r="K452" i="1"/>
  <c r="M451" i="1"/>
  <c r="L451" i="1"/>
  <c r="K451" i="1"/>
  <c r="M450" i="1"/>
  <c r="L450" i="1"/>
  <c r="K450" i="1"/>
  <c r="M449" i="1"/>
  <c r="L449" i="1"/>
  <c r="K449" i="1"/>
  <c r="M448" i="1"/>
  <c r="L448" i="1"/>
  <c r="K448" i="1"/>
  <c r="M447" i="1"/>
  <c r="L447" i="1"/>
  <c r="K447" i="1"/>
  <c r="M446" i="1"/>
  <c r="L446" i="1"/>
  <c r="K446" i="1"/>
  <c r="M445" i="1"/>
  <c r="L445" i="1"/>
  <c r="K445" i="1"/>
  <c r="M444" i="1"/>
  <c r="L444" i="1"/>
  <c r="K444" i="1"/>
  <c r="M443" i="1"/>
  <c r="L443" i="1"/>
  <c r="K443" i="1"/>
  <c r="M442" i="1"/>
  <c r="L442" i="1"/>
  <c r="K442" i="1"/>
  <c r="M441" i="1"/>
  <c r="L441" i="1"/>
  <c r="K441" i="1"/>
  <c r="M440" i="1"/>
  <c r="L440" i="1"/>
  <c r="K440" i="1"/>
  <c r="M439" i="1"/>
  <c r="L439" i="1"/>
  <c r="K439" i="1"/>
  <c r="M438" i="1"/>
  <c r="L438" i="1"/>
  <c r="K438" i="1"/>
  <c r="M437" i="1"/>
  <c r="L437" i="1"/>
  <c r="K437" i="1"/>
  <c r="M436" i="1"/>
  <c r="L436" i="1"/>
  <c r="K436" i="1"/>
  <c r="M435" i="1"/>
  <c r="L435" i="1"/>
  <c r="K435" i="1"/>
  <c r="M434" i="1"/>
  <c r="L434" i="1"/>
  <c r="K434" i="1"/>
  <c r="M433" i="1"/>
  <c r="L433" i="1"/>
  <c r="K433" i="1"/>
  <c r="M432" i="1"/>
  <c r="L432" i="1"/>
  <c r="K432" i="1"/>
  <c r="M431" i="1"/>
  <c r="L431" i="1"/>
  <c r="K431" i="1"/>
  <c r="M430" i="1"/>
  <c r="L430" i="1"/>
  <c r="K430" i="1"/>
  <c r="M429" i="1"/>
  <c r="L429" i="1"/>
  <c r="K429" i="1"/>
  <c r="M428" i="1"/>
  <c r="L428" i="1"/>
  <c r="K428" i="1"/>
  <c r="M427" i="1"/>
  <c r="L427" i="1"/>
  <c r="K427" i="1"/>
  <c r="M426" i="1"/>
  <c r="L426" i="1"/>
  <c r="K426" i="1"/>
  <c r="M425" i="1"/>
  <c r="L425" i="1"/>
  <c r="K425" i="1"/>
  <c r="M424" i="1"/>
  <c r="L424" i="1"/>
  <c r="K424" i="1"/>
  <c r="M423" i="1"/>
  <c r="L423" i="1"/>
  <c r="K423" i="1"/>
  <c r="M422" i="1"/>
  <c r="L422" i="1"/>
  <c r="K422" i="1"/>
  <c r="M421" i="1"/>
  <c r="L421" i="1"/>
  <c r="K421" i="1"/>
  <c r="M420" i="1"/>
  <c r="L420" i="1"/>
  <c r="K420" i="1"/>
  <c r="M419" i="1"/>
  <c r="L419" i="1"/>
  <c r="K419" i="1"/>
  <c r="M418" i="1"/>
  <c r="L418" i="1"/>
  <c r="K418" i="1"/>
  <c r="M417" i="1"/>
  <c r="L417" i="1"/>
  <c r="K417" i="1"/>
  <c r="M416" i="1"/>
  <c r="L416" i="1"/>
  <c r="K416" i="1"/>
  <c r="M415" i="1"/>
  <c r="L415" i="1"/>
  <c r="K415" i="1"/>
  <c r="M414" i="1"/>
  <c r="L414" i="1"/>
  <c r="K414" i="1"/>
  <c r="M413" i="1"/>
  <c r="L413" i="1"/>
  <c r="K413" i="1"/>
  <c r="M412" i="1"/>
  <c r="L412" i="1"/>
  <c r="K412" i="1"/>
  <c r="M411" i="1"/>
  <c r="L411" i="1"/>
  <c r="K411" i="1"/>
  <c r="M410" i="1"/>
  <c r="L410" i="1"/>
  <c r="K410" i="1"/>
  <c r="M409" i="1"/>
  <c r="L409" i="1"/>
  <c r="K409" i="1"/>
  <c r="M408" i="1"/>
  <c r="L408" i="1"/>
  <c r="K408" i="1"/>
  <c r="M407" i="1"/>
  <c r="L407" i="1"/>
  <c r="K407" i="1"/>
  <c r="M406" i="1"/>
  <c r="L406" i="1"/>
  <c r="K406" i="1"/>
  <c r="M405" i="1"/>
  <c r="L405" i="1"/>
  <c r="K405" i="1"/>
  <c r="M404" i="1"/>
  <c r="L404" i="1"/>
  <c r="K404" i="1"/>
  <c r="M403" i="1"/>
  <c r="L403" i="1"/>
  <c r="K403" i="1"/>
  <c r="M402" i="1"/>
  <c r="L402" i="1"/>
  <c r="K402" i="1"/>
  <c r="M401" i="1"/>
  <c r="L401" i="1"/>
  <c r="K401" i="1"/>
  <c r="M400" i="1"/>
  <c r="L400" i="1"/>
  <c r="K400" i="1"/>
  <c r="M399" i="1"/>
  <c r="L399" i="1"/>
  <c r="K399" i="1"/>
  <c r="M398" i="1"/>
  <c r="L398" i="1"/>
  <c r="K398" i="1"/>
  <c r="M397" i="1"/>
  <c r="L397" i="1"/>
  <c r="K397" i="1"/>
  <c r="M396" i="1"/>
  <c r="L396" i="1"/>
  <c r="K396" i="1"/>
  <c r="M395" i="1"/>
  <c r="L395" i="1"/>
  <c r="K395" i="1"/>
  <c r="M394" i="1"/>
  <c r="L394" i="1"/>
  <c r="K394" i="1"/>
  <c r="M393" i="1"/>
  <c r="L393" i="1"/>
  <c r="K393" i="1"/>
  <c r="M392" i="1"/>
  <c r="L392" i="1"/>
  <c r="K392" i="1"/>
  <c r="M391" i="1"/>
  <c r="L391" i="1"/>
  <c r="K391" i="1"/>
  <c r="M390" i="1"/>
  <c r="L390" i="1"/>
  <c r="K390" i="1"/>
  <c r="M389" i="1"/>
  <c r="L389" i="1"/>
  <c r="K389" i="1"/>
  <c r="M388" i="1"/>
  <c r="L388" i="1"/>
  <c r="K388" i="1"/>
  <c r="M387" i="1"/>
  <c r="L387" i="1"/>
  <c r="K387" i="1"/>
  <c r="M386" i="1"/>
  <c r="L386" i="1"/>
  <c r="K386" i="1"/>
  <c r="M385" i="1"/>
  <c r="L385" i="1"/>
  <c r="K385" i="1"/>
  <c r="M384" i="1"/>
  <c r="L384" i="1"/>
  <c r="K384" i="1"/>
  <c r="M383" i="1"/>
  <c r="L383" i="1"/>
  <c r="K383" i="1"/>
  <c r="M382" i="1"/>
  <c r="L382" i="1"/>
  <c r="K382" i="1"/>
  <c r="M381" i="1"/>
  <c r="L381" i="1"/>
  <c r="K381" i="1"/>
  <c r="M380" i="1"/>
  <c r="L380" i="1"/>
  <c r="K380" i="1"/>
  <c r="M379" i="1"/>
  <c r="L379" i="1"/>
  <c r="K379" i="1"/>
  <c r="M378" i="1"/>
  <c r="L378" i="1"/>
  <c r="K378" i="1"/>
  <c r="M377" i="1"/>
  <c r="L377" i="1"/>
  <c r="K377" i="1"/>
  <c r="M376" i="1"/>
  <c r="L376" i="1"/>
  <c r="K376" i="1"/>
  <c r="M375" i="1"/>
  <c r="L375" i="1"/>
  <c r="K375" i="1"/>
  <c r="M374" i="1"/>
  <c r="L374" i="1"/>
  <c r="K374" i="1"/>
  <c r="M373" i="1"/>
  <c r="L373" i="1"/>
  <c r="K373" i="1"/>
  <c r="M372" i="1"/>
  <c r="L372" i="1"/>
  <c r="K372" i="1"/>
  <c r="M371" i="1"/>
  <c r="L371" i="1"/>
  <c r="K371" i="1"/>
  <c r="M370" i="1"/>
  <c r="L370" i="1"/>
  <c r="K370" i="1"/>
  <c r="M369" i="1"/>
  <c r="L369" i="1"/>
  <c r="K369" i="1"/>
  <c r="M368" i="1"/>
  <c r="L368" i="1"/>
  <c r="K368" i="1"/>
  <c r="M367" i="1"/>
  <c r="L367" i="1"/>
  <c r="K367" i="1"/>
  <c r="M366" i="1"/>
  <c r="L366" i="1"/>
  <c r="K366" i="1"/>
  <c r="M365" i="1"/>
  <c r="L365" i="1"/>
  <c r="K365" i="1"/>
  <c r="M364" i="1"/>
  <c r="L364" i="1"/>
  <c r="K364" i="1"/>
  <c r="M363" i="1"/>
  <c r="L363" i="1"/>
  <c r="K363" i="1"/>
  <c r="M362" i="1"/>
  <c r="L362" i="1"/>
  <c r="K362" i="1"/>
  <c r="M361" i="1"/>
  <c r="L361" i="1"/>
  <c r="K361" i="1"/>
  <c r="M360" i="1"/>
  <c r="L360" i="1"/>
  <c r="K360" i="1"/>
  <c r="M359" i="1"/>
  <c r="L359" i="1"/>
  <c r="K359" i="1"/>
  <c r="M358" i="1"/>
  <c r="L358" i="1"/>
  <c r="K358" i="1"/>
  <c r="M357" i="1"/>
  <c r="L357" i="1"/>
  <c r="K357" i="1"/>
  <c r="M356" i="1"/>
  <c r="L356" i="1"/>
  <c r="K356" i="1"/>
  <c r="M355" i="1"/>
  <c r="L355" i="1"/>
  <c r="K355" i="1"/>
  <c r="M354" i="1"/>
  <c r="L354" i="1"/>
  <c r="K354" i="1"/>
  <c r="M353" i="1"/>
  <c r="L353" i="1"/>
  <c r="K353" i="1"/>
  <c r="M352" i="1"/>
  <c r="L352" i="1"/>
  <c r="K352" i="1"/>
  <c r="M351" i="1"/>
  <c r="L351" i="1"/>
  <c r="K351" i="1"/>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EE5BC5-5E43-4E83-907A-2DC4422308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241D6F-D1AA-4ADA-99C6-0BD984263905}" name="WorksheetConnection_Data Practice!$A$1:$J$2340" type="102" refreshedVersion="8" minRefreshableVersion="5">
    <extLst>
      <ext xmlns:x15="http://schemas.microsoft.com/office/spreadsheetml/2010/11/main" uri="{DE250136-89BD-433C-8126-D09CA5730AF9}">
        <x15:connection id="Range">
          <x15:rangePr sourceName="_xlcn.WorksheetConnection_DataPracticeA1J23401"/>
        </x15:connection>
      </ext>
    </extLst>
  </connection>
  <connection id="3" xr16:uid="{472F1DE7-F889-4A32-8828-D3802BE04524}" name="WorksheetConnection_Data Practice!$A$1:$M$2340" type="102" refreshedVersion="8" minRefreshableVersion="5">
    <extLst>
      <ext xmlns:x15="http://schemas.microsoft.com/office/spreadsheetml/2010/11/main" uri="{DE250136-89BD-433C-8126-D09CA5730AF9}">
        <x15:connection id="Range 1" autoDelete="1">
          <x15:rangePr sourceName="_xlcn.WorksheetConnection_DataPracticeA1M23401"/>
        </x15:connection>
      </ext>
    </extLst>
  </connection>
</connections>
</file>

<file path=xl/sharedStrings.xml><?xml version="1.0" encoding="utf-8"?>
<sst xmlns="http://schemas.openxmlformats.org/spreadsheetml/2006/main" count="14047" uniqueCount="2964">
  <si>
    <t>JE Code</t>
  </si>
  <si>
    <t>Store</t>
  </si>
  <si>
    <t>Country</t>
  </si>
  <si>
    <t>Region</t>
  </si>
  <si>
    <t>Date</t>
  </si>
  <si>
    <t>Item</t>
  </si>
  <si>
    <t>Salesperson</t>
  </si>
  <si>
    <t>List Price</t>
  </si>
  <si>
    <t>Actual Price</t>
  </si>
  <si>
    <t>Discount %</t>
  </si>
  <si>
    <t>I-1001</t>
  </si>
  <si>
    <t>Moscow</t>
  </si>
  <si>
    <t>Russia</t>
  </si>
  <si>
    <t>EMEA</t>
  </si>
  <si>
    <t>Microwave</t>
  </si>
  <si>
    <t>May Wilmot</t>
  </si>
  <si>
    <t>I-1002</t>
  </si>
  <si>
    <t>Toronto</t>
  </si>
  <si>
    <t>Canada</t>
  </si>
  <si>
    <t>NA</t>
  </si>
  <si>
    <t>David Shiner</t>
  </si>
  <si>
    <t>I-1003</t>
  </si>
  <si>
    <t>Sao Paolo</t>
  </si>
  <si>
    <t>Brazil</t>
  </si>
  <si>
    <t>LATAM</t>
  </si>
  <si>
    <t>Air conditioner</t>
  </si>
  <si>
    <t>Gary Reynolds</t>
  </si>
  <si>
    <t>I-1004</t>
  </si>
  <si>
    <t>Istanbul</t>
  </si>
  <si>
    <t>Turkey</t>
  </si>
  <si>
    <t>Ceiling fan</t>
  </si>
  <si>
    <t>Mark Buntain</t>
  </si>
  <si>
    <t>I-1005</t>
  </si>
  <si>
    <t>Sydney</t>
  </si>
  <si>
    <t>Australia</t>
  </si>
  <si>
    <t>APAC</t>
  </si>
  <si>
    <t>Toaster</t>
  </si>
  <si>
    <t>Christine Davies</t>
  </si>
  <si>
    <t>I-1006</t>
  </si>
  <si>
    <t>Shenzhen</t>
  </si>
  <si>
    <t>China</t>
  </si>
  <si>
    <t>Iron</t>
  </si>
  <si>
    <t>Gary Shaw</t>
  </si>
  <si>
    <t>I-1007</t>
  </si>
  <si>
    <t>Lima</t>
  </si>
  <si>
    <t>Peru</t>
  </si>
  <si>
    <t>Dishwasher</t>
  </si>
  <si>
    <t>Christopher Cresswell</t>
  </si>
  <si>
    <t>I-1008</t>
  </si>
  <si>
    <t>Tijuana</t>
  </si>
  <si>
    <t>Mexico</t>
  </si>
  <si>
    <t>Gillian Allnutt</t>
  </si>
  <si>
    <t>I-1009</t>
  </si>
  <si>
    <t>London</t>
  </si>
  <si>
    <t>UK</t>
  </si>
  <si>
    <t>Washing Machine</t>
  </si>
  <si>
    <t>Francis Godden</t>
  </si>
  <si>
    <t>I-1010</t>
  </si>
  <si>
    <t>I-1011</t>
  </si>
  <si>
    <t>Riyadh</t>
  </si>
  <si>
    <t>Saudi Arabia</t>
  </si>
  <si>
    <t>Refrigerator</t>
  </si>
  <si>
    <t>Danny Brooks</t>
  </si>
  <si>
    <t>I-1012</t>
  </si>
  <si>
    <t>Bangkok</t>
  </si>
  <si>
    <t>Thailand</t>
  </si>
  <si>
    <t>John Jenkins</t>
  </si>
  <si>
    <t>I-1013</t>
  </si>
  <si>
    <t>Richard Allnutt</t>
  </si>
  <si>
    <t>I-1014</t>
  </si>
  <si>
    <t>Delhi</t>
  </si>
  <si>
    <t>India</t>
  </si>
  <si>
    <t>Oven</t>
  </si>
  <si>
    <t>Tessa Morrow</t>
  </si>
  <si>
    <t>I-1015</t>
  </si>
  <si>
    <t>James Ricketts</t>
  </si>
  <si>
    <t>I-1016</t>
  </si>
  <si>
    <t>Ho Chi Minh City</t>
  </si>
  <si>
    <t>Vietnam</t>
  </si>
  <si>
    <t>Susan Dixon</t>
  </si>
  <si>
    <t>I-1017</t>
  </si>
  <si>
    <t>Tel Aviv</t>
  </si>
  <si>
    <t>Israel</t>
  </si>
  <si>
    <t>Thomas Gordon</t>
  </si>
  <si>
    <t>I-1018</t>
  </si>
  <si>
    <t>Athens</t>
  </si>
  <si>
    <t>Greece</t>
  </si>
  <si>
    <t>David Walker</t>
  </si>
  <si>
    <t>I-1019</t>
  </si>
  <si>
    <t>Robin Hall</t>
  </si>
  <si>
    <t>I-1020</t>
  </si>
  <si>
    <t>Osaka</t>
  </si>
  <si>
    <t>Japan</t>
  </si>
  <si>
    <t>Kenneth Walter</t>
  </si>
  <si>
    <t>I-1021</t>
  </si>
  <si>
    <t>Prague</t>
  </si>
  <si>
    <t>Czech Republic</t>
  </si>
  <si>
    <t>Edward Khan</t>
  </si>
  <si>
    <t>I-1022</t>
  </si>
  <si>
    <t>Capetown</t>
  </si>
  <si>
    <t>South Africa</t>
  </si>
  <si>
    <t>Nicholas Holloway</t>
  </si>
  <si>
    <t>I-1023</t>
  </si>
  <si>
    <t>Bangalore</t>
  </si>
  <si>
    <t>Coffee grinder</t>
  </si>
  <si>
    <t>Delia Muhammad</t>
  </si>
  <si>
    <t>I-1024</t>
  </si>
  <si>
    <t>Seattle</t>
  </si>
  <si>
    <t>USA</t>
  </si>
  <si>
    <t>Lesleyann Pope</t>
  </si>
  <si>
    <t>I-1025</t>
  </si>
  <si>
    <t>Jerusalem</t>
  </si>
  <si>
    <t>Susan Carley</t>
  </si>
  <si>
    <t>I-1026</t>
  </si>
  <si>
    <t>Birmingham</t>
  </si>
  <si>
    <t>Vacuum Cleaner</t>
  </si>
  <si>
    <t>Damien Smith</t>
  </si>
  <si>
    <t>I-1027</t>
  </si>
  <si>
    <t>Seoul</t>
  </si>
  <si>
    <t>South Korea</t>
  </si>
  <si>
    <t>Steven Wood</t>
  </si>
  <si>
    <t>I-1028</t>
  </si>
  <si>
    <t>Blender</t>
  </si>
  <si>
    <t>I-1029</t>
  </si>
  <si>
    <t>Guangzhou</t>
  </si>
  <si>
    <t>Glenys Wright</t>
  </si>
  <si>
    <t>I-1030</t>
  </si>
  <si>
    <t>Berlin</t>
  </si>
  <si>
    <t>Germany</t>
  </si>
  <si>
    <t>Kate Pearce</t>
  </si>
  <si>
    <t>I-1031</t>
  </si>
  <si>
    <t>Kansas City</t>
  </si>
  <si>
    <t>Robert Arnold</t>
  </si>
  <si>
    <t>I-1032</t>
  </si>
  <si>
    <t>Tokyo</t>
  </si>
  <si>
    <t>David Gow</t>
  </si>
  <si>
    <t>I-1033</t>
  </si>
  <si>
    <t>Darren Brooks</t>
  </si>
  <si>
    <t>I-1034</t>
  </si>
  <si>
    <t>I-1035</t>
  </si>
  <si>
    <t>Mayank Ali</t>
  </si>
  <si>
    <t>I-1036</t>
  </si>
  <si>
    <t>Glen Campbell</t>
  </si>
  <si>
    <t>I-1037</t>
  </si>
  <si>
    <t>Stephen Smith</t>
  </si>
  <si>
    <t>I-1038</t>
  </si>
  <si>
    <t>Paris</t>
  </si>
  <si>
    <t>France</t>
  </si>
  <si>
    <t>Caroline Eccles</t>
  </si>
  <si>
    <t>I-1039</t>
  </si>
  <si>
    <t>Rome</t>
  </si>
  <si>
    <t>Italy</t>
  </si>
  <si>
    <t>Steven Bell</t>
  </si>
  <si>
    <t>I-1040</t>
  </si>
  <si>
    <t>Los Angeles</t>
  </si>
  <si>
    <t>Colin Matthews</t>
  </si>
  <si>
    <t>I-1041</t>
  </si>
  <si>
    <t>New York</t>
  </si>
  <si>
    <t>Stephen Cohen</t>
  </si>
  <si>
    <t>I-1042</t>
  </si>
  <si>
    <t>William Martin</t>
  </si>
  <si>
    <t>I-1043</t>
  </si>
  <si>
    <t>Michael Bell</t>
  </si>
  <si>
    <t>I-1044</t>
  </si>
  <si>
    <t>Roger Rust</t>
  </si>
  <si>
    <t>I-1045</t>
  </si>
  <si>
    <t>Richard Perrott</t>
  </si>
  <si>
    <t>I-1046</t>
  </si>
  <si>
    <t>Robert Reed</t>
  </si>
  <si>
    <t>I-1047</t>
  </si>
  <si>
    <t>Warsaw</t>
  </si>
  <si>
    <t>Poland</t>
  </si>
  <si>
    <t>Hin Bragg</t>
  </si>
  <si>
    <t>I-1048</t>
  </si>
  <si>
    <t>Amsterdam</t>
  </si>
  <si>
    <t>Netherlands</t>
  </si>
  <si>
    <t>Allyson Rush</t>
  </si>
  <si>
    <t>I-1049</t>
  </si>
  <si>
    <t>Stephen James</t>
  </si>
  <si>
    <t>I-1050</t>
  </si>
  <si>
    <t>Christopher Martin</t>
  </si>
  <si>
    <t>I-1051</t>
  </si>
  <si>
    <t>San Fransisco</t>
  </si>
  <si>
    <t>James Scott</t>
  </si>
  <si>
    <t>I-1052</t>
  </si>
  <si>
    <t>Elaine Whitfield</t>
  </si>
  <si>
    <t>I-1053</t>
  </si>
  <si>
    <t>Dublin</t>
  </si>
  <si>
    <t>Ireland</t>
  </si>
  <si>
    <t>James Carley</t>
  </si>
  <si>
    <t>I-1054</t>
  </si>
  <si>
    <t>Francis Walsh</t>
  </si>
  <si>
    <t>I-1055</t>
  </si>
  <si>
    <t>Rita Hill</t>
  </si>
  <si>
    <t>I-1056</t>
  </si>
  <si>
    <t>Deanna Wang</t>
  </si>
  <si>
    <t>I-1057</t>
  </si>
  <si>
    <t>James White</t>
  </si>
  <si>
    <t>I-1058</t>
  </si>
  <si>
    <t>Jill Thompson</t>
  </si>
  <si>
    <t>I-1059</t>
  </si>
  <si>
    <t>Cheryl Glover</t>
  </si>
  <si>
    <t>I-1060</t>
  </si>
  <si>
    <t>Gillan Clark</t>
  </si>
  <si>
    <t>I-1061</t>
  </si>
  <si>
    <t>Bogota</t>
  </si>
  <si>
    <t>Colombia</t>
  </si>
  <si>
    <t>Antony Westlake</t>
  </si>
  <si>
    <t>I-1062</t>
  </si>
  <si>
    <t>I-1063</t>
  </si>
  <si>
    <t>James Whitehead</t>
  </si>
  <si>
    <t>I-1064</t>
  </si>
  <si>
    <t>Christina Pedley</t>
  </si>
  <si>
    <t>I-1065</t>
  </si>
  <si>
    <t>Ronald Butler</t>
  </si>
  <si>
    <t>I-1066</t>
  </si>
  <si>
    <t>David Stewart</t>
  </si>
  <si>
    <t>I-1067</t>
  </si>
  <si>
    <t>I-1068</t>
  </si>
  <si>
    <t>Donald Barratt</t>
  </si>
  <si>
    <t>I-1069</t>
  </si>
  <si>
    <t>Shanghai</t>
  </si>
  <si>
    <t>Wolf Christian</t>
  </si>
  <si>
    <t>I-1070</t>
  </si>
  <si>
    <t>Mexico City</t>
  </si>
  <si>
    <t>Brendon Dyer</t>
  </si>
  <si>
    <t>I-1071</t>
  </si>
  <si>
    <t>Buenos Aires</t>
  </si>
  <si>
    <t>Argentina</t>
  </si>
  <si>
    <t>Stuart Brown</t>
  </si>
  <si>
    <t>I-1072</t>
  </si>
  <si>
    <t>Alen Dinan</t>
  </si>
  <si>
    <t>I-1073</t>
  </si>
  <si>
    <t>Jacqueline Clamp</t>
  </si>
  <si>
    <t>I-1074</t>
  </si>
  <si>
    <t>Susan Reay</t>
  </si>
  <si>
    <t>I-1075</t>
  </si>
  <si>
    <t>Andrew Phillips</t>
  </si>
  <si>
    <t>I-1076</t>
  </si>
  <si>
    <t>Alan Davie</t>
  </si>
  <si>
    <t>I-1077</t>
  </si>
  <si>
    <t>Madria</t>
  </si>
  <si>
    <t>Spain</t>
  </si>
  <si>
    <t>Penelope Freeland</t>
  </si>
  <si>
    <t>I-1078</t>
  </si>
  <si>
    <t>Michelle Murray</t>
  </si>
  <si>
    <t>I-1079</t>
  </si>
  <si>
    <t>Paul Rule</t>
  </si>
  <si>
    <t>I-1080</t>
  </si>
  <si>
    <t>Ian McCartan</t>
  </si>
  <si>
    <t>I-1081</t>
  </si>
  <si>
    <t>Shelley Mannix</t>
  </si>
  <si>
    <t>I-1082</t>
  </si>
  <si>
    <t>Janet Ford</t>
  </si>
  <si>
    <t>I-1083</t>
  </si>
  <si>
    <t>Vienna</t>
  </si>
  <si>
    <t>Austria</t>
  </si>
  <si>
    <t>Janet Ward</t>
  </si>
  <si>
    <t>I-1084</t>
  </si>
  <si>
    <t>I-1085</t>
  </si>
  <si>
    <t>Craig Johnson</t>
  </si>
  <si>
    <t>I-1086</t>
  </si>
  <si>
    <t>Christopher Snape</t>
  </si>
  <si>
    <t>I-1087</t>
  </si>
  <si>
    <t>Cairo</t>
  </si>
  <si>
    <t>Egypt</t>
  </si>
  <si>
    <t>John Barnett</t>
  </si>
  <si>
    <t>I-1088</t>
  </si>
  <si>
    <t>Robert Jenkins</t>
  </si>
  <si>
    <t>I-1089</t>
  </si>
  <si>
    <t>Kuala Lumpur</t>
  </si>
  <si>
    <t>Malaysia</t>
  </si>
  <si>
    <t>Trudi Griffin</t>
  </si>
  <si>
    <t>I-1090</t>
  </si>
  <si>
    <t>Valerie Brown</t>
  </si>
  <si>
    <t>I-1091</t>
  </si>
  <si>
    <t>Dermot Bailey</t>
  </si>
  <si>
    <t>I-1092</t>
  </si>
  <si>
    <t>Abdul Heywood</t>
  </si>
  <si>
    <t>I-1093</t>
  </si>
  <si>
    <t>Mary Mitchell</t>
  </si>
  <si>
    <t>I-1094</t>
  </si>
  <si>
    <t>Richard McGrath</t>
  </si>
  <si>
    <t>I-1095</t>
  </si>
  <si>
    <t>I-1096</t>
  </si>
  <si>
    <t>Neil McAvoy</t>
  </si>
  <si>
    <t>I-1097</t>
  </si>
  <si>
    <t>Howard Jones</t>
  </si>
  <si>
    <t>I-1098</t>
  </si>
  <si>
    <t>Chicago</t>
  </si>
  <si>
    <t>Heather McGill</t>
  </si>
  <si>
    <t>I-1099</t>
  </si>
  <si>
    <t>I-1100</t>
  </si>
  <si>
    <t>Alexander Hillier</t>
  </si>
  <si>
    <t>I-1101</t>
  </si>
  <si>
    <t>Fiona Johnson</t>
  </si>
  <si>
    <t>I-1102</t>
  </si>
  <si>
    <t>I-1103</t>
  </si>
  <si>
    <t>I-1104</t>
  </si>
  <si>
    <t>Stephen Burch</t>
  </si>
  <si>
    <t>I-1105</t>
  </si>
  <si>
    <t>Claire Storey</t>
  </si>
  <si>
    <t>I-1106</t>
  </si>
  <si>
    <t>I-1107</t>
  </si>
  <si>
    <t>Barbara Turner</t>
  </si>
  <si>
    <t>I-1108</t>
  </si>
  <si>
    <t>Audrey Kane</t>
  </si>
  <si>
    <t>I-1109</t>
  </si>
  <si>
    <t>Robert Payne</t>
  </si>
  <si>
    <t>I-1110</t>
  </si>
  <si>
    <t>Cheryl Tubbs</t>
  </si>
  <si>
    <t>I-1111</t>
  </si>
  <si>
    <t>Victoria Sherwin</t>
  </si>
  <si>
    <t>I-1112</t>
  </si>
  <si>
    <t>Marek Kwiatkowski</t>
  </si>
  <si>
    <t>I-1113</t>
  </si>
  <si>
    <t>I-1114</t>
  </si>
  <si>
    <t>Ken Rogerson</t>
  </si>
  <si>
    <t>I-1115</t>
  </si>
  <si>
    <t>Danny Grant</t>
  </si>
  <si>
    <t>I-1116</t>
  </si>
  <si>
    <t>Jacqueline Swaine</t>
  </si>
  <si>
    <t>I-1117</t>
  </si>
  <si>
    <t>I-1118</t>
  </si>
  <si>
    <t>Bucharest</t>
  </si>
  <si>
    <t>Romania</t>
  </si>
  <si>
    <t>Constance Tidey</t>
  </si>
  <si>
    <t>I-1119</t>
  </si>
  <si>
    <t>Roy Johnson</t>
  </si>
  <si>
    <t>I-1120</t>
  </si>
  <si>
    <t>I-1121</t>
  </si>
  <si>
    <t>Barrie Murray</t>
  </si>
  <si>
    <t>I-1122</t>
  </si>
  <si>
    <t>Andrew Waddell</t>
  </si>
  <si>
    <t>I-1123</t>
  </si>
  <si>
    <t>Richard Barr</t>
  </si>
  <si>
    <t>I-1124</t>
  </si>
  <si>
    <t>Ian Baker</t>
  </si>
  <si>
    <t>I-1125</t>
  </si>
  <si>
    <t>I-1126</t>
  </si>
  <si>
    <t>Sarah Chadwick</t>
  </si>
  <si>
    <t>I-1127</t>
  </si>
  <si>
    <t>I-1128</t>
  </si>
  <si>
    <t>I-1129</t>
  </si>
  <si>
    <t>Denise Clark</t>
  </si>
  <si>
    <t>I-1130</t>
  </si>
  <si>
    <t>Paul Collier</t>
  </si>
  <si>
    <t>I-1131</t>
  </si>
  <si>
    <t>Zulfiqar Mirza</t>
  </si>
  <si>
    <t>I-1132</t>
  </si>
  <si>
    <t>Philip Sutherland</t>
  </si>
  <si>
    <t>I-1133</t>
  </si>
  <si>
    <t>Chandrakant Atkins</t>
  </si>
  <si>
    <t>I-1134</t>
  </si>
  <si>
    <t>Derek Harris</t>
  </si>
  <si>
    <t>I-1135</t>
  </si>
  <si>
    <t>I-1136</t>
  </si>
  <si>
    <t>I-1137</t>
  </si>
  <si>
    <t>Joanne Sayer</t>
  </si>
  <si>
    <t>I-1138</t>
  </si>
  <si>
    <t>I-1139</t>
  </si>
  <si>
    <t>Lisa Manning</t>
  </si>
  <si>
    <t>I-1140</t>
  </si>
  <si>
    <t>Mark Lawton</t>
  </si>
  <si>
    <t>I-1141</t>
  </si>
  <si>
    <t>Jacqueline Todd</t>
  </si>
  <si>
    <t>I-1142</t>
  </si>
  <si>
    <t>Philip Collins</t>
  </si>
  <si>
    <t>I-1143</t>
  </si>
  <si>
    <t>Basil Bain</t>
  </si>
  <si>
    <t>I-1144</t>
  </si>
  <si>
    <t>I-1145</t>
  </si>
  <si>
    <t>John Bond</t>
  </si>
  <si>
    <t>I-1146</t>
  </si>
  <si>
    <t>Tony Milner</t>
  </si>
  <si>
    <t>I-1147</t>
  </si>
  <si>
    <t>Peter Thompson</t>
  </si>
  <si>
    <t>I-1148</t>
  </si>
  <si>
    <t>Stephen Carlin</t>
  </si>
  <si>
    <t>I-1149</t>
  </si>
  <si>
    <t>Roy Lloyd</t>
  </si>
  <si>
    <t>I-1150</t>
  </si>
  <si>
    <t>Nick Gee</t>
  </si>
  <si>
    <t>I-1151</t>
  </si>
  <si>
    <t>I-1152</t>
  </si>
  <si>
    <t>Paul Mannion</t>
  </si>
  <si>
    <t>I-1153</t>
  </si>
  <si>
    <t>Jacob Percival</t>
  </si>
  <si>
    <t>I-1154</t>
  </si>
  <si>
    <t>I-1155</t>
  </si>
  <si>
    <t>I-1156</t>
  </si>
  <si>
    <t>Geoffrey Patel</t>
  </si>
  <si>
    <t>I-1157</t>
  </si>
  <si>
    <t>I-1158</t>
  </si>
  <si>
    <t>Rosemary Aziz</t>
  </si>
  <si>
    <t>I-1159</t>
  </si>
  <si>
    <t>Cordia Alston</t>
  </si>
  <si>
    <t>I-1160</t>
  </si>
  <si>
    <t>Kevin McLauchlin</t>
  </si>
  <si>
    <t>I-1161</t>
  </si>
  <si>
    <t>Dubai</t>
  </si>
  <si>
    <t>UAE</t>
  </si>
  <si>
    <t>Marie Whitfield</t>
  </si>
  <si>
    <t>I-1162</t>
  </si>
  <si>
    <t>Philip Dewar</t>
  </si>
  <si>
    <t>I-1163</t>
  </si>
  <si>
    <t>I-1164</t>
  </si>
  <si>
    <t>I-1165</t>
  </si>
  <si>
    <t>I-1166</t>
  </si>
  <si>
    <t>Andrew Hirst</t>
  </si>
  <si>
    <t>I-1167</t>
  </si>
  <si>
    <t>Robert Brook</t>
  </si>
  <si>
    <t>I-1168</t>
  </si>
  <si>
    <t>Malcolm Griffith</t>
  </si>
  <si>
    <t>I-1169</t>
  </si>
  <si>
    <t>Alison Younger</t>
  </si>
  <si>
    <t>I-1170</t>
  </si>
  <si>
    <t>Steven Batty</t>
  </si>
  <si>
    <t>I-1171</t>
  </si>
  <si>
    <t>I-1172</t>
  </si>
  <si>
    <t>I-1173</t>
  </si>
  <si>
    <t>Nicholas Knight</t>
  </si>
  <si>
    <t>I-1174</t>
  </si>
  <si>
    <t>I-1175</t>
  </si>
  <si>
    <t>David Philp</t>
  </si>
  <si>
    <t>I-1176</t>
  </si>
  <si>
    <t>Roy Nunes</t>
  </si>
  <si>
    <t>I-1177</t>
  </si>
  <si>
    <t>I-1178</t>
  </si>
  <si>
    <t>I-1179</t>
  </si>
  <si>
    <t>I-1180</t>
  </si>
  <si>
    <t>William Lant</t>
  </si>
  <si>
    <t>I-1181</t>
  </si>
  <si>
    <t>I-1182</t>
  </si>
  <si>
    <t>Santiago</t>
  </si>
  <si>
    <t>Chile</t>
  </si>
  <si>
    <t>Ram Mathews</t>
  </si>
  <si>
    <t>I-1183</t>
  </si>
  <si>
    <t>Naeem Perry</t>
  </si>
  <si>
    <t>I-1184</t>
  </si>
  <si>
    <t>Anthony Connolly</t>
  </si>
  <si>
    <t>I-1185</t>
  </si>
  <si>
    <t>I-1186</t>
  </si>
  <si>
    <t>Brenda Lightfoot</t>
  </si>
  <si>
    <t>I-1187</t>
  </si>
  <si>
    <t>Chloe Lyons</t>
  </si>
  <si>
    <t>I-1188</t>
  </si>
  <si>
    <t>I-1189</t>
  </si>
  <si>
    <t>I-1190</t>
  </si>
  <si>
    <t>Tony Green</t>
  </si>
  <si>
    <t>I-1191</t>
  </si>
  <si>
    <t>Armand Ahmed</t>
  </si>
  <si>
    <t>I-1192</t>
  </si>
  <si>
    <t>Geoffrey Shiner</t>
  </si>
  <si>
    <t>I-1193</t>
  </si>
  <si>
    <t>I-1194</t>
  </si>
  <si>
    <t>Isla Parsons</t>
  </si>
  <si>
    <t>I-1195</t>
  </si>
  <si>
    <t>I-1196</t>
  </si>
  <si>
    <t>I-1197</t>
  </si>
  <si>
    <t>Stephen Nolan</t>
  </si>
  <si>
    <t>I-1198</t>
  </si>
  <si>
    <t>Julia Hurren</t>
  </si>
  <si>
    <t>I-1199</t>
  </si>
  <si>
    <t>Simon Hirst</t>
  </si>
  <si>
    <t>I-1200</t>
  </si>
  <si>
    <t>I-1201</t>
  </si>
  <si>
    <t>I-1202</t>
  </si>
  <si>
    <t>I-1203</t>
  </si>
  <si>
    <t>Francis Hall</t>
  </si>
  <si>
    <t>I-1204</t>
  </si>
  <si>
    <t>I-1205</t>
  </si>
  <si>
    <t>Alan Evora</t>
  </si>
  <si>
    <t>I-1206</t>
  </si>
  <si>
    <t>Xun Simms</t>
  </si>
  <si>
    <t>I-1207</t>
  </si>
  <si>
    <t>Gustavo Taiwo</t>
  </si>
  <si>
    <t>I-1208</t>
  </si>
  <si>
    <t>James Hammond</t>
  </si>
  <si>
    <t>I-1209</t>
  </si>
  <si>
    <t>I-1210</t>
  </si>
  <si>
    <t>Barry Baldwin</t>
  </si>
  <si>
    <t>I-1211</t>
  </si>
  <si>
    <t>Elizabeth Holloway</t>
  </si>
  <si>
    <t>I-1212</t>
  </si>
  <si>
    <t>I-1213</t>
  </si>
  <si>
    <t>Peter Kelly</t>
  </si>
  <si>
    <t>I-1214</t>
  </si>
  <si>
    <t>I-1215</t>
  </si>
  <si>
    <t>I-1216</t>
  </si>
  <si>
    <t>Christopher Kitching</t>
  </si>
  <si>
    <t>I-1217</t>
  </si>
  <si>
    <t>I-1218</t>
  </si>
  <si>
    <t>Michael Patel</t>
  </si>
  <si>
    <t>I-1219</t>
  </si>
  <si>
    <t>Tracy Stanley</t>
  </si>
  <si>
    <t>I-1220</t>
  </si>
  <si>
    <t>Stuart Sykes</t>
  </si>
  <si>
    <t>I-1221</t>
  </si>
  <si>
    <t>I-1222</t>
  </si>
  <si>
    <t>Marie Foster</t>
  </si>
  <si>
    <t>I-1223</t>
  </si>
  <si>
    <t>Gary Acheampong</t>
  </si>
  <si>
    <t>I-1224</t>
  </si>
  <si>
    <t>I-1225</t>
  </si>
  <si>
    <t>John Osborne</t>
  </si>
  <si>
    <t>I-1226</t>
  </si>
  <si>
    <t>Paul Atkins</t>
  </si>
  <si>
    <t>I-1227</t>
  </si>
  <si>
    <t>Denise Rodgers</t>
  </si>
  <si>
    <t>I-1228</t>
  </si>
  <si>
    <t>I-1229</t>
  </si>
  <si>
    <t>Arthur Moncrieff</t>
  </si>
  <si>
    <t>I-1230</t>
  </si>
  <si>
    <t>I-1231</t>
  </si>
  <si>
    <t>I-1232</t>
  </si>
  <si>
    <t>Aidan Perrott</t>
  </si>
  <si>
    <t>I-1233</t>
  </si>
  <si>
    <t>Alexandra Wright</t>
  </si>
  <si>
    <t>I-1234</t>
  </si>
  <si>
    <t>Zhan Whitfield</t>
  </si>
  <si>
    <t>I-1235</t>
  </si>
  <si>
    <t>Daniel Henderson</t>
  </si>
  <si>
    <t>I-1236</t>
  </si>
  <si>
    <t>Barbara Love</t>
  </si>
  <si>
    <t>I-1237</t>
  </si>
  <si>
    <t>Paul Sherwin</t>
  </si>
  <si>
    <t>I-1238</t>
  </si>
  <si>
    <t>I-1239</t>
  </si>
  <si>
    <t>Nicole Marshall</t>
  </si>
  <si>
    <t>I-1240</t>
  </si>
  <si>
    <t>Susan Toye</t>
  </si>
  <si>
    <t>I-1241</t>
  </si>
  <si>
    <t>I-1242</t>
  </si>
  <si>
    <t>Natasha Carvalho</t>
  </si>
  <si>
    <t>I-1243</t>
  </si>
  <si>
    <t>Ronnette Stocks</t>
  </si>
  <si>
    <t>I-1244</t>
  </si>
  <si>
    <t>Pauline Pope</t>
  </si>
  <si>
    <t>I-1245</t>
  </si>
  <si>
    <t>Roger Scott</t>
  </si>
  <si>
    <t>I-1246</t>
  </si>
  <si>
    <t>I-1247</t>
  </si>
  <si>
    <t>Alison Storey</t>
  </si>
  <si>
    <t>I-1248</t>
  </si>
  <si>
    <t>I-1249</t>
  </si>
  <si>
    <t>Douglas Davies</t>
  </si>
  <si>
    <t>I-1250</t>
  </si>
  <si>
    <t>Susan Passey</t>
  </si>
  <si>
    <t>I-1251</t>
  </si>
  <si>
    <t>Bruce McPhee</t>
  </si>
  <si>
    <t>I-1252</t>
  </si>
  <si>
    <t>I-1253</t>
  </si>
  <si>
    <t>I-1254</t>
  </si>
  <si>
    <t>Bryan Mason</t>
  </si>
  <si>
    <t>I-1255</t>
  </si>
  <si>
    <t>Rebecca Delo</t>
  </si>
  <si>
    <t>I-1256</t>
  </si>
  <si>
    <t>I-1257</t>
  </si>
  <si>
    <t>I-1258</t>
  </si>
  <si>
    <t>Abu Moore</t>
  </si>
  <si>
    <t>I-1259</t>
  </si>
  <si>
    <t>I-1260</t>
  </si>
  <si>
    <t>I-1261</t>
  </si>
  <si>
    <t>Carole Owen</t>
  </si>
  <si>
    <t>I-1262</t>
  </si>
  <si>
    <t>Rachel Oliver</t>
  </si>
  <si>
    <t>I-1263</t>
  </si>
  <si>
    <t>I-1264</t>
  </si>
  <si>
    <t>Carl Snape</t>
  </si>
  <si>
    <t>I-1265</t>
  </si>
  <si>
    <t>John Bull</t>
  </si>
  <si>
    <t>I-1266</t>
  </si>
  <si>
    <t>Charles Ali</t>
  </si>
  <si>
    <t>I-1267</t>
  </si>
  <si>
    <t>Wolfgang Carvalho</t>
  </si>
  <si>
    <t>I-1268</t>
  </si>
  <si>
    <t>I-1269</t>
  </si>
  <si>
    <t>I-1270</t>
  </si>
  <si>
    <t>Gary Percival</t>
  </si>
  <si>
    <t>I-1271</t>
  </si>
  <si>
    <t>Gary Roberts</t>
  </si>
  <si>
    <t>I-1272</t>
  </si>
  <si>
    <t>Leonard Green</t>
  </si>
  <si>
    <t>I-1273</t>
  </si>
  <si>
    <t>Richard James</t>
  </si>
  <si>
    <t>I-1274</t>
  </si>
  <si>
    <t>I-1275</t>
  </si>
  <si>
    <t>Richard Rowe</t>
  </si>
  <si>
    <t>I-1276</t>
  </si>
  <si>
    <t>Bryan Clement</t>
  </si>
  <si>
    <t>I-1277</t>
  </si>
  <si>
    <t>Paresh Mathews</t>
  </si>
  <si>
    <t>I-1278</t>
  </si>
  <si>
    <t>Thomas Davies</t>
  </si>
  <si>
    <t>I-1279</t>
  </si>
  <si>
    <t>Ronald Curtis</t>
  </si>
  <si>
    <t>I-1280</t>
  </si>
  <si>
    <t>I-1281</t>
  </si>
  <si>
    <t>David Amos</t>
  </si>
  <si>
    <t>I-1282</t>
  </si>
  <si>
    <t>I-1283</t>
  </si>
  <si>
    <t>I-1284</t>
  </si>
  <si>
    <t>Colin Lima</t>
  </si>
  <si>
    <t>I-1285</t>
  </si>
  <si>
    <t>I-1286</t>
  </si>
  <si>
    <t>I-1287</t>
  </si>
  <si>
    <t>Christopher Hurren</t>
  </si>
  <si>
    <t>I-1288</t>
  </si>
  <si>
    <t>I-1289</t>
  </si>
  <si>
    <t>Neil Tubbs</t>
  </si>
  <si>
    <t>I-1290</t>
  </si>
  <si>
    <t>I-1291</t>
  </si>
  <si>
    <t>I-1292</t>
  </si>
  <si>
    <t>John Craig</t>
  </si>
  <si>
    <t>I-1293</t>
  </si>
  <si>
    <t>Richard Oliver</t>
  </si>
  <si>
    <t>I-1294</t>
  </si>
  <si>
    <t>Nicholas Timbrell</t>
  </si>
  <si>
    <t>I-1295</t>
  </si>
  <si>
    <t>I-1296</t>
  </si>
  <si>
    <t>Nicola Nathan</t>
  </si>
  <si>
    <t>I-1297</t>
  </si>
  <si>
    <t>I-1298</t>
  </si>
  <si>
    <t>Zoe Munday</t>
  </si>
  <si>
    <t>I-1299</t>
  </si>
  <si>
    <t>Paul Long</t>
  </si>
  <si>
    <t>I-1300</t>
  </si>
  <si>
    <t>Olivia Reynolds</t>
  </si>
  <si>
    <t>I-1301</t>
  </si>
  <si>
    <t>I-1302</t>
  </si>
  <si>
    <t>Eric Walker</t>
  </si>
  <si>
    <t>I-1303</t>
  </si>
  <si>
    <t>Andrew Jones</t>
  </si>
  <si>
    <t>I-1304</t>
  </si>
  <si>
    <t>Basil Nolan</t>
  </si>
  <si>
    <t>I-1305</t>
  </si>
  <si>
    <t>I-1306</t>
  </si>
  <si>
    <t>I-1307</t>
  </si>
  <si>
    <t>I-1308</t>
  </si>
  <si>
    <t>I-1309</t>
  </si>
  <si>
    <t>I-1310</t>
  </si>
  <si>
    <t>I-1311</t>
  </si>
  <si>
    <t>Damilola Raymond</t>
  </si>
  <si>
    <t>I-1312</t>
  </si>
  <si>
    <t>Christopher Lloyd</t>
  </si>
  <si>
    <t>I-1313</t>
  </si>
  <si>
    <t>James Neville</t>
  </si>
  <si>
    <t>I-1314</t>
  </si>
  <si>
    <t>I-1315</t>
  </si>
  <si>
    <t>I-1316</t>
  </si>
  <si>
    <t>I-1317</t>
  </si>
  <si>
    <t>I-1318</t>
  </si>
  <si>
    <t>I-1319</t>
  </si>
  <si>
    <t>I-1320</t>
  </si>
  <si>
    <t>I-1321</t>
  </si>
  <si>
    <t>I-1322</t>
  </si>
  <si>
    <t>I-1323</t>
  </si>
  <si>
    <t>Timothy Younger</t>
  </si>
  <si>
    <t>I-1324</t>
  </si>
  <si>
    <t>Philip Mishra</t>
  </si>
  <si>
    <t>I-1325</t>
  </si>
  <si>
    <t>I-1326</t>
  </si>
  <si>
    <t>I-1327</t>
  </si>
  <si>
    <t>I-1328</t>
  </si>
  <si>
    <t>I-1329</t>
  </si>
  <si>
    <t>I-1330</t>
  </si>
  <si>
    <t>I-1331</t>
  </si>
  <si>
    <t>Irene Skiba</t>
  </si>
  <si>
    <t>I-1332</t>
  </si>
  <si>
    <t>Francis Hughes</t>
  </si>
  <si>
    <t>I-1333</t>
  </si>
  <si>
    <t>I-1334</t>
  </si>
  <si>
    <t>Patricia Sewell</t>
  </si>
  <si>
    <t>I-1335</t>
  </si>
  <si>
    <t>I-1336</t>
  </si>
  <si>
    <t>I-1337</t>
  </si>
  <si>
    <t>I-1338</t>
  </si>
  <si>
    <t>Michelle Hunter</t>
  </si>
  <si>
    <t>I-1339</t>
  </si>
  <si>
    <t>I-1340</t>
  </si>
  <si>
    <t>Margaret Buck</t>
  </si>
  <si>
    <t>I-1341</t>
  </si>
  <si>
    <t>Gwyn Taylor</t>
  </si>
  <si>
    <t>I-1342</t>
  </si>
  <si>
    <t>Ronald Rowlands</t>
  </si>
  <si>
    <t>I-1343</t>
  </si>
  <si>
    <t>I-1344</t>
  </si>
  <si>
    <t>Kirsty Amos</t>
  </si>
  <si>
    <t>I-1345</t>
  </si>
  <si>
    <t>I-1346</t>
  </si>
  <si>
    <t>I-1347</t>
  </si>
  <si>
    <t>I-1348</t>
  </si>
  <si>
    <t>Rachel Clayton</t>
  </si>
  <si>
    <t>I-1349</t>
  </si>
  <si>
    <t>Rosalind Chandler</t>
  </si>
  <si>
    <t>I-1350</t>
  </si>
  <si>
    <t>Kelly Owen</t>
  </si>
  <si>
    <t>I-1351</t>
  </si>
  <si>
    <t>Emily Brierley</t>
  </si>
  <si>
    <t>I-1352</t>
  </si>
  <si>
    <t>I-1353</t>
  </si>
  <si>
    <t>Kenneth Bullion</t>
  </si>
  <si>
    <t>I-1354</t>
  </si>
  <si>
    <t>I-1355</t>
  </si>
  <si>
    <t>I-1356</t>
  </si>
  <si>
    <t>I-1357</t>
  </si>
  <si>
    <t>I-1358</t>
  </si>
  <si>
    <t>I-1359</t>
  </si>
  <si>
    <t>Mark Towey</t>
  </si>
  <si>
    <t>I-1360</t>
  </si>
  <si>
    <t>Ernie Dyer</t>
  </si>
  <si>
    <t>I-1361</t>
  </si>
  <si>
    <t>Stephen MacGregor</t>
  </si>
  <si>
    <t>I-1362</t>
  </si>
  <si>
    <t>Harold Lunn</t>
  </si>
  <si>
    <t>I-1363</t>
  </si>
  <si>
    <t>I-1364</t>
  </si>
  <si>
    <t>I-1365</t>
  </si>
  <si>
    <t>I-1366</t>
  </si>
  <si>
    <t>Richard Nash</t>
  </si>
  <si>
    <t>I-1367</t>
  </si>
  <si>
    <t>Paul Puri</t>
  </si>
  <si>
    <t>I-1368</t>
  </si>
  <si>
    <t>I-1369</t>
  </si>
  <si>
    <t>Ryan Goad</t>
  </si>
  <si>
    <t>I-1370</t>
  </si>
  <si>
    <t>Stuart Hunter</t>
  </si>
  <si>
    <t>I-1371</t>
  </si>
  <si>
    <t>Paul Salmon</t>
  </si>
  <si>
    <t>I-1372</t>
  </si>
  <si>
    <t>Terence Mirza</t>
  </si>
  <si>
    <t>I-1373</t>
  </si>
  <si>
    <t>I-1374</t>
  </si>
  <si>
    <t>Catherine Rahman</t>
  </si>
  <si>
    <t>I-1375</t>
  </si>
  <si>
    <t>I-1376</t>
  </si>
  <si>
    <t>Ellen Lillie</t>
  </si>
  <si>
    <t>I-1377</t>
  </si>
  <si>
    <t>I-1378</t>
  </si>
  <si>
    <t>I-1379</t>
  </si>
  <si>
    <t>Emma Gibbons</t>
  </si>
  <si>
    <t>I-1380</t>
  </si>
  <si>
    <t>I-1381</t>
  </si>
  <si>
    <t>I-1382</t>
  </si>
  <si>
    <t>I-1383</t>
  </si>
  <si>
    <t>I-1384</t>
  </si>
  <si>
    <t>Steven Douglas</t>
  </si>
  <si>
    <t>I-1385</t>
  </si>
  <si>
    <t>I-1386</t>
  </si>
  <si>
    <t>I-1387</t>
  </si>
  <si>
    <t>I-1388</t>
  </si>
  <si>
    <t>Marcus Jacob</t>
  </si>
  <si>
    <t>I-1389</t>
  </si>
  <si>
    <t>I-1390</t>
  </si>
  <si>
    <t>I-1391</t>
  </si>
  <si>
    <t>I-1392</t>
  </si>
  <si>
    <t>I-1393</t>
  </si>
  <si>
    <t>I-1394</t>
  </si>
  <si>
    <t>David Finnie</t>
  </si>
  <si>
    <t>I-1395</t>
  </si>
  <si>
    <t>I-1396</t>
  </si>
  <si>
    <t>Michael Rodgers</t>
  </si>
  <si>
    <t>I-1397</t>
  </si>
  <si>
    <t>Karen Hopewell</t>
  </si>
  <si>
    <t>I-1398</t>
  </si>
  <si>
    <t>I-1399</t>
  </si>
  <si>
    <t>I-1400</t>
  </si>
  <si>
    <t>I-1401</t>
  </si>
  <si>
    <t>Rachel Blane</t>
  </si>
  <si>
    <t>I-1402</t>
  </si>
  <si>
    <t>Golam Reid</t>
  </si>
  <si>
    <t>I-1403</t>
  </si>
  <si>
    <t>I-1404</t>
  </si>
  <si>
    <t>James Anthony</t>
  </si>
  <si>
    <t>I-1405</t>
  </si>
  <si>
    <t>Nick Blacklock</t>
  </si>
  <si>
    <t>I-1406</t>
  </si>
  <si>
    <t>I-1407</t>
  </si>
  <si>
    <t>Martin Mishra</t>
  </si>
  <si>
    <t>I-1408</t>
  </si>
  <si>
    <t>Heather Murray</t>
  </si>
  <si>
    <t>I-1409</t>
  </si>
  <si>
    <t>Alan Procter</t>
  </si>
  <si>
    <t>I-1410</t>
  </si>
  <si>
    <t>I-1411</t>
  </si>
  <si>
    <t>I-1412</t>
  </si>
  <si>
    <t>I-1413</t>
  </si>
  <si>
    <t>Julia Ferguson</t>
  </si>
  <si>
    <t>I-1414</t>
  </si>
  <si>
    <t>I-1415</t>
  </si>
  <si>
    <t>Robert Harris</t>
  </si>
  <si>
    <t>I-1416</t>
  </si>
  <si>
    <t>David Rodrigues</t>
  </si>
  <si>
    <t>I-1417</t>
  </si>
  <si>
    <t>Claire Brooks</t>
  </si>
  <si>
    <t>I-1418</t>
  </si>
  <si>
    <t>Penelope Norton</t>
  </si>
  <si>
    <t>I-1419</t>
  </si>
  <si>
    <t>I-1420</t>
  </si>
  <si>
    <t>Raymond Denning</t>
  </si>
  <si>
    <t>I-1421</t>
  </si>
  <si>
    <t>Valerie Pereira</t>
  </si>
  <si>
    <t>I-1422</t>
  </si>
  <si>
    <t>I-1423</t>
  </si>
  <si>
    <t>Paul Drage</t>
  </si>
  <si>
    <t>I-1424</t>
  </si>
  <si>
    <t>Pauline Taylor</t>
  </si>
  <si>
    <t>I-1425</t>
  </si>
  <si>
    <t>Valerie Hook</t>
  </si>
  <si>
    <t>I-1426</t>
  </si>
  <si>
    <t>I-1427</t>
  </si>
  <si>
    <t>I-1428</t>
  </si>
  <si>
    <t>I-1429</t>
  </si>
  <si>
    <t>Ian Borowski</t>
  </si>
  <si>
    <t>I-1430</t>
  </si>
  <si>
    <t>I-1431</t>
  </si>
  <si>
    <t>Harold Green</t>
  </si>
  <si>
    <t>I-1432</t>
  </si>
  <si>
    <t>I-1433</t>
  </si>
  <si>
    <t>David Hubble</t>
  </si>
  <si>
    <t>I-1434</t>
  </si>
  <si>
    <t>William Cruse</t>
  </si>
  <si>
    <t>I-1435</t>
  </si>
  <si>
    <t>Michael Toy</t>
  </si>
  <si>
    <t>I-1436</t>
  </si>
  <si>
    <t>Harold Charters</t>
  </si>
  <si>
    <t>I-1437</t>
  </si>
  <si>
    <t>Jason Edmund</t>
  </si>
  <si>
    <t>I-1438</t>
  </si>
  <si>
    <t>Melanie Fletcher</t>
  </si>
  <si>
    <t>I-1439</t>
  </si>
  <si>
    <t>I-1440</t>
  </si>
  <si>
    <t>I-1441</t>
  </si>
  <si>
    <t>I-1442</t>
  </si>
  <si>
    <t>I-1443</t>
  </si>
  <si>
    <t>Ian Grant</t>
  </si>
  <si>
    <t>I-1444</t>
  </si>
  <si>
    <t>I-1445</t>
  </si>
  <si>
    <t>I-1446</t>
  </si>
  <si>
    <t>I-1447</t>
  </si>
  <si>
    <t>Jodie Fairhurst</t>
  </si>
  <si>
    <t>I-1448</t>
  </si>
  <si>
    <t>I-1449</t>
  </si>
  <si>
    <t>Joanne Ripley</t>
  </si>
  <si>
    <t>I-1450</t>
  </si>
  <si>
    <t>I-1451</t>
  </si>
  <si>
    <t>Martin Birch</t>
  </si>
  <si>
    <t>I-1452</t>
  </si>
  <si>
    <t>Basil Bell</t>
  </si>
  <si>
    <t>I-1453</t>
  </si>
  <si>
    <t>I-1454</t>
  </si>
  <si>
    <t>I-1455</t>
  </si>
  <si>
    <t>Kyle Anderson</t>
  </si>
  <si>
    <t>I-1456</t>
  </si>
  <si>
    <t>I-1457</t>
  </si>
  <si>
    <t>Roy Connelly</t>
  </si>
  <si>
    <t>I-1458</t>
  </si>
  <si>
    <t>Julia Hammond</t>
  </si>
  <si>
    <t>I-1459</t>
  </si>
  <si>
    <t>I-1460</t>
  </si>
  <si>
    <t>Maureen Reynolds</t>
  </si>
  <si>
    <t>I-1461</t>
  </si>
  <si>
    <t>Donald Higgs</t>
  </si>
  <si>
    <t>I-1462</t>
  </si>
  <si>
    <t>I-1463</t>
  </si>
  <si>
    <t>I-1464</t>
  </si>
  <si>
    <t>David Power</t>
  </si>
  <si>
    <t>I-1465</t>
  </si>
  <si>
    <t>I-1466</t>
  </si>
  <si>
    <t>Simon Snape</t>
  </si>
  <si>
    <t>I-1467</t>
  </si>
  <si>
    <t>Martin Gee</t>
  </si>
  <si>
    <t>I-1468</t>
  </si>
  <si>
    <t>I-1469</t>
  </si>
  <si>
    <t>I-1470</t>
  </si>
  <si>
    <t>I-1471</t>
  </si>
  <si>
    <t>Robert Polhill</t>
  </si>
  <si>
    <t>I-1472</t>
  </si>
  <si>
    <t>I-1473</t>
  </si>
  <si>
    <t>I-1474</t>
  </si>
  <si>
    <t>I-1475</t>
  </si>
  <si>
    <t>I-1476</t>
  </si>
  <si>
    <t>Thomas Taylor</t>
  </si>
  <si>
    <t>I-1477</t>
  </si>
  <si>
    <t>Stephen Muhammad</t>
  </si>
  <si>
    <t>I-1478</t>
  </si>
  <si>
    <t>Robert James</t>
  </si>
  <si>
    <t>I-1479</t>
  </si>
  <si>
    <t>I-1480</t>
  </si>
  <si>
    <t>I-1481</t>
  </si>
  <si>
    <t>I-1482</t>
  </si>
  <si>
    <t>I-1483</t>
  </si>
  <si>
    <t>I-1484</t>
  </si>
  <si>
    <t>Richard Anderson</t>
  </si>
  <si>
    <t>I-1485</t>
  </si>
  <si>
    <t>James Gahagan</t>
  </si>
  <si>
    <t>I-1486</t>
  </si>
  <si>
    <t>I-1487</t>
  </si>
  <si>
    <t>I-1488</t>
  </si>
  <si>
    <t>Alice Canning</t>
  </si>
  <si>
    <t>I-1489</t>
  </si>
  <si>
    <t>I-1490</t>
  </si>
  <si>
    <t>Ronald Bettley</t>
  </si>
  <si>
    <t>I-1491</t>
  </si>
  <si>
    <t>I-1492</t>
  </si>
  <si>
    <t>Jeremy Morrow</t>
  </si>
  <si>
    <t>I-1493</t>
  </si>
  <si>
    <t>I-1494</t>
  </si>
  <si>
    <t>Mark Brook</t>
  </si>
  <si>
    <t>I-1495</t>
  </si>
  <si>
    <t>Stuart Anderson</t>
  </si>
  <si>
    <t>I-1496</t>
  </si>
  <si>
    <t>Jordan Andrews</t>
  </si>
  <si>
    <t>I-1497</t>
  </si>
  <si>
    <t>I-1498</t>
  </si>
  <si>
    <t>Helen Watt</t>
  </si>
  <si>
    <t>I-1499</t>
  </si>
  <si>
    <t>Paul Skiba</t>
  </si>
  <si>
    <t>I-1500</t>
  </si>
  <si>
    <t>John Gunter</t>
  </si>
  <si>
    <t>I-1501</t>
  </si>
  <si>
    <t>Kevin Ross</t>
  </si>
  <si>
    <t>I-1502</t>
  </si>
  <si>
    <t>I-1503</t>
  </si>
  <si>
    <t>Ian Coates</t>
  </si>
  <si>
    <t>I-1504</t>
  </si>
  <si>
    <t>I-1505</t>
  </si>
  <si>
    <t>I-1506</t>
  </si>
  <si>
    <t>I-1507</t>
  </si>
  <si>
    <t>I-1508</t>
  </si>
  <si>
    <t>I-1509</t>
  </si>
  <si>
    <t>I-1510</t>
  </si>
  <si>
    <t>I-1511</t>
  </si>
  <si>
    <t>I-1512</t>
  </si>
  <si>
    <t>I-1513</t>
  </si>
  <si>
    <t>I-1514</t>
  </si>
  <si>
    <t>Lisa Wood</t>
  </si>
  <si>
    <t>I-1515</t>
  </si>
  <si>
    <t>Peter Walker</t>
  </si>
  <si>
    <t>I-1516</t>
  </si>
  <si>
    <t>Barbara McDevitt</t>
  </si>
  <si>
    <t>I-1517</t>
  </si>
  <si>
    <t>I-1518</t>
  </si>
  <si>
    <t>I-1519</t>
  </si>
  <si>
    <t>I-1520</t>
  </si>
  <si>
    <t>Kevin Styles</t>
  </si>
  <si>
    <t>I-1521</t>
  </si>
  <si>
    <t>Margaret Philp</t>
  </si>
  <si>
    <t>I-1522</t>
  </si>
  <si>
    <t>I-1523</t>
  </si>
  <si>
    <t>I-1524</t>
  </si>
  <si>
    <t>I-1525</t>
  </si>
  <si>
    <t>Steven Green</t>
  </si>
  <si>
    <t>I-1526</t>
  </si>
  <si>
    <t>I-1527</t>
  </si>
  <si>
    <t>I-1528</t>
  </si>
  <si>
    <t>I-1529</t>
  </si>
  <si>
    <t>Shelley Lock</t>
  </si>
  <si>
    <t>I-1530</t>
  </si>
  <si>
    <t>I-1531</t>
  </si>
  <si>
    <t>I-1532</t>
  </si>
  <si>
    <t>David Johnson</t>
  </si>
  <si>
    <t>I-1533</t>
  </si>
  <si>
    <t>I-1534</t>
  </si>
  <si>
    <t>I-1535</t>
  </si>
  <si>
    <t>I-1536</t>
  </si>
  <si>
    <t>I-1537</t>
  </si>
  <si>
    <t>I-1538</t>
  </si>
  <si>
    <t>I-1539</t>
  </si>
  <si>
    <t>Mark Searle</t>
  </si>
  <si>
    <t>I-1540</t>
  </si>
  <si>
    <t>Richard Hughes</t>
  </si>
  <si>
    <t>I-1541</t>
  </si>
  <si>
    <t>I-1542</t>
  </si>
  <si>
    <t>I-1543</t>
  </si>
  <si>
    <t>I-1544</t>
  </si>
  <si>
    <t>I-1545</t>
  </si>
  <si>
    <t>I-1546</t>
  </si>
  <si>
    <t>I-1547</t>
  </si>
  <si>
    <t>I-1548</t>
  </si>
  <si>
    <t>Matthew Crowe</t>
  </si>
  <si>
    <t>I-1549</t>
  </si>
  <si>
    <t>I-1550</t>
  </si>
  <si>
    <t>Roy Cooper</t>
  </si>
  <si>
    <t>I-1551</t>
  </si>
  <si>
    <t>I-1552</t>
  </si>
  <si>
    <t>I-1553</t>
  </si>
  <si>
    <t>I-1554</t>
  </si>
  <si>
    <t>I-1555</t>
  </si>
  <si>
    <t>I-1556</t>
  </si>
  <si>
    <t>I-1557</t>
  </si>
  <si>
    <t>I-1558</t>
  </si>
  <si>
    <t>Anthony Procter</t>
  </si>
  <si>
    <t>I-1559</t>
  </si>
  <si>
    <t>I-1560</t>
  </si>
  <si>
    <t>I-1561</t>
  </si>
  <si>
    <t>I-1562</t>
  </si>
  <si>
    <t>I-1563</t>
  </si>
  <si>
    <t>I-1564</t>
  </si>
  <si>
    <t>Richard Foy</t>
  </si>
  <si>
    <t>I-1565</t>
  </si>
  <si>
    <t>I-1566</t>
  </si>
  <si>
    <t>I-1567</t>
  </si>
  <si>
    <t>Paul Hirst</t>
  </si>
  <si>
    <t>I-1568</t>
  </si>
  <si>
    <t>Philip Tubbs</t>
  </si>
  <si>
    <t>I-1569</t>
  </si>
  <si>
    <t>I-1570</t>
  </si>
  <si>
    <t>Alan Grant</t>
  </si>
  <si>
    <t>I-1571</t>
  </si>
  <si>
    <t>I-1572</t>
  </si>
  <si>
    <t>I-1573</t>
  </si>
  <si>
    <t>I-1574</t>
  </si>
  <si>
    <t>Daniel Battersby</t>
  </si>
  <si>
    <t>I-1575</t>
  </si>
  <si>
    <t>I-1576</t>
  </si>
  <si>
    <t>Abdul Amos</t>
  </si>
  <si>
    <t>I-1577</t>
  </si>
  <si>
    <t>Rose Rowntree</t>
  </si>
  <si>
    <t>I-1578</t>
  </si>
  <si>
    <t>I-1579</t>
  </si>
  <si>
    <t>George Stevenson</t>
  </si>
  <si>
    <t>I-1580</t>
  </si>
  <si>
    <t>Kevin Curtis</t>
  </si>
  <si>
    <t>I-1581</t>
  </si>
  <si>
    <t>I-1582</t>
  </si>
  <si>
    <t>I-1583</t>
  </si>
  <si>
    <t>I-1584</t>
  </si>
  <si>
    <t>Kate Nash</t>
  </si>
  <si>
    <t>I-1585</t>
  </si>
  <si>
    <t>I-1586</t>
  </si>
  <si>
    <t>I-1587</t>
  </si>
  <si>
    <t>Christopher Griffith</t>
  </si>
  <si>
    <t>I-1588</t>
  </si>
  <si>
    <t>Peter Jago</t>
  </si>
  <si>
    <t>I-1589</t>
  </si>
  <si>
    <t>I-1590</t>
  </si>
  <si>
    <t>Jacqueline Green</t>
  </si>
  <si>
    <t>I-1591</t>
  </si>
  <si>
    <t>I-1592</t>
  </si>
  <si>
    <t>Jeremy Bannister</t>
  </si>
  <si>
    <t>I-1593</t>
  </si>
  <si>
    <t>Richard Dewar</t>
  </si>
  <si>
    <t>I-1594</t>
  </si>
  <si>
    <t>I-1595</t>
  </si>
  <si>
    <t>I-1596</t>
  </si>
  <si>
    <t>John Verma</t>
  </si>
  <si>
    <t>I-1597</t>
  </si>
  <si>
    <t>I-1598</t>
  </si>
  <si>
    <t>I-1599</t>
  </si>
  <si>
    <t>I-1600</t>
  </si>
  <si>
    <t>I-1601</t>
  </si>
  <si>
    <t>I-1602</t>
  </si>
  <si>
    <t>I-1603</t>
  </si>
  <si>
    <t>I-1604</t>
  </si>
  <si>
    <t>I-1605</t>
  </si>
  <si>
    <t>Olive Foster</t>
  </si>
  <si>
    <t>I-1606</t>
  </si>
  <si>
    <t>Jonathan Will</t>
  </si>
  <si>
    <t>I-1607</t>
  </si>
  <si>
    <t>I-1608</t>
  </si>
  <si>
    <t>Nicholas Goude</t>
  </si>
  <si>
    <t>I-1609</t>
  </si>
  <si>
    <t>I-1610</t>
  </si>
  <si>
    <t>I-1611</t>
  </si>
  <si>
    <t>I-1612</t>
  </si>
  <si>
    <t>I-1613</t>
  </si>
  <si>
    <t>Robert Stocks</t>
  </si>
  <si>
    <t>I-1614</t>
  </si>
  <si>
    <t>Kevin Goad</t>
  </si>
  <si>
    <t>I-1615</t>
  </si>
  <si>
    <t>Terence Jones</t>
  </si>
  <si>
    <t>I-1616</t>
  </si>
  <si>
    <t>I-1617</t>
  </si>
  <si>
    <t>I-1618</t>
  </si>
  <si>
    <t>I-1619</t>
  </si>
  <si>
    <t>I-1620</t>
  </si>
  <si>
    <t>I-1621</t>
  </si>
  <si>
    <t>Suzanna Davies</t>
  </si>
  <si>
    <t>I-1622</t>
  </si>
  <si>
    <t>I-1623</t>
  </si>
  <si>
    <t>I-1624</t>
  </si>
  <si>
    <t>I-1625</t>
  </si>
  <si>
    <t>I-1626</t>
  </si>
  <si>
    <t>I-1627</t>
  </si>
  <si>
    <t>I-1628</t>
  </si>
  <si>
    <t>I-1629</t>
  </si>
  <si>
    <t>I-1630</t>
  </si>
  <si>
    <t>I-1631</t>
  </si>
  <si>
    <t>Lucy Downs</t>
  </si>
  <si>
    <t>I-1632</t>
  </si>
  <si>
    <t>I-1633</t>
  </si>
  <si>
    <t>Austin Parsons</t>
  </si>
  <si>
    <t>I-1634</t>
  </si>
  <si>
    <t>I-1635</t>
  </si>
  <si>
    <t>I-1636</t>
  </si>
  <si>
    <t>Jesus Timmins</t>
  </si>
  <si>
    <t>I-1637</t>
  </si>
  <si>
    <t>I-1638</t>
  </si>
  <si>
    <t>Gary Mistry</t>
  </si>
  <si>
    <t>I-1639</t>
  </si>
  <si>
    <t>Michael Wood</t>
  </si>
  <si>
    <t>I-1640</t>
  </si>
  <si>
    <t>I-1641</t>
  </si>
  <si>
    <t>I-1642</t>
  </si>
  <si>
    <t>I-1643</t>
  </si>
  <si>
    <t>I-1644</t>
  </si>
  <si>
    <t>Anthony Rothery</t>
  </si>
  <si>
    <t>I-1645</t>
  </si>
  <si>
    <t>Iftikhar Haywood</t>
  </si>
  <si>
    <t>I-1646</t>
  </si>
  <si>
    <t>I-1647</t>
  </si>
  <si>
    <t>I-1648</t>
  </si>
  <si>
    <t>I-1649</t>
  </si>
  <si>
    <t>I-1650</t>
  </si>
  <si>
    <t>I-1651</t>
  </si>
  <si>
    <t>I-1652</t>
  </si>
  <si>
    <t>I-1653</t>
  </si>
  <si>
    <t>I-1654</t>
  </si>
  <si>
    <t>I-1655</t>
  </si>
  <si>
    <t>I-1656</t>
  </si>
  <si>
    <t>I-1657</t>
  </si>
  <si>
    <t>I-1658</t>
  </si>
  <si>
    <t>George Sherwin</t>
  </si>
  <si>
    <t>I-1659</t>
  </si>
  <si>
    <t>I-1660</t>
  </si>
  <si>
    <t>Ken Mishra</t>
  </si>
  <si>
    <t>I-1661</t>
  </si>
  <si>
    <t>Amelia Scott</t>
  </si>
  <si>
    <t>I-1662</t>
  </si>
  <si>
    <t>Stephen Neville</t>
  </si>
  <si>
    <t>I-1663</t>
  </si>
  <si>
    <t>I-1664</t>
  </si>
  <si>
    <t>I-1665</t>
  </si>
  <si>
    <t>Alexander Uddin</t>
  </si>
  <si>
    <t>I-1666</t>
  </si>
  <si>
    <t>I-1667</t>
  </si>
  <si>
    <t>I-1668</t>
  </si>
  <si>
    <t>I-1669</t>
  </si>
  <si>
    <t>I-1670</t>
  </si>
  <si>
    <t>I-1671</t>
  </si>
  <si>
    <t>I-1672</t>
  </si>
  <si>
    <t>Robert Faulkner</t>
  </si>
  <si>
    <t>I-1673</t>
  </si>
  <si>
    <t>I-1674</t>
  </si>
  <si>
    <t>Rachel Howard</t>
  </si>
  <si>
    <t>I-1675</t>
  </si>
  <si>
    <t>I-1676</t>
  </si>
  <si>
    <t>I-1677</t>
  </si>
  <si>
    <t>John Curtis</t>
  </si>
  <si>
    <t>I-1678</t>
  </si>
  <si>
    <t>Catherine Gagg</t>
  </si>
  <si>
    <t>I-1679</t>
  </si>
  <si>
    <t>I-1680</t>
  </si>
  <si>
    <t>Colin Patel</t>
  </si>
  <si>
    <t>I-1681</t>
  </si>
  <si>
    <t>Robert Tattersall</t>
  </si>
  <si>
    <t>I-1682</t>
  </si>
  <si>
    <t>Diane Batty</t>
  </si>
  <si>
    <t>I-1683</t>
  </si>
  <si>
    <t>I-1684</t>
  </si>
  <si>
    <t>I-1685</t>
  </si>
  <si>
    <t>I-1686</t>
  </si>
  <si>
    <t>I-1687</t>
  </si>
  <si>
    <t>I-1688</t>
  </si>
  <si>
    <t>I-1689</t>
  </si>
  <si>
    <t>Frank Murray</t>
  </si>
  <si>
    <t>I-1690</t>
  </si>
  <si>
    <t>I-1691</t>
  </si>
  <si>
    <t>I-1692</t>
  </si>
  <si>
    <t>Noel Bull</t>
  </si>
  <si>
    <t>I-1693</t>
  </si>
  <si>
    <t>I-1694</t>
  </si>
  <si>
    <t>I-1695</t>
  </si>
  <si>
    <t>I-1696</t>
  </si>
  <si>
    <t>I-1697</t>
  </si>
  <si>
    <t>Lloyd Norton</t>
  </si>
  <si>
    <t>I-1698</t>
  </si>
  <si>
    <t>Glenys Raymond</t>
  </si>
  <si>
    <t>I-1699</t>
  </si>
  <si>
    <t>I-1700</t>
  </si>
  <si>
    <t>I-1701</t>
  </si>
  <si>
    <t>I-1702</t>
  </si>
  <si>
    <t>I-1703</t>
  </si>
  <si>
    <t>Heather Beck</t>
  </si>
  <si>
    <t>I-1704</t>
  </si>
  <si>
    <t>I-1705</t>
  </si>
  <si>
    <t>I-1706</t>
  </si>
  <si>
    <t>I-1707</t>
  </si>
  <si>
    <t>I-1708</t>
  </si>
  <si>
    <t>I-1709</t>
  </si>
  <si>
    <t>Nicola Hewitt</t>
  </si>
  <si>
    <t>I-1710</t>
  </si>
  <si>
    <t>I-1711</t>
  </si>
  <si>
    <t>I-1712</t>
  </si>
  <si>
    <t>I-1713</t>
  </si>
  <si>
    <t>I-1714</t>
  </si>
  <si>
    <t>I-1715</t>
  </si>
  <si>
    <t>I-1716</t>
  </si>
  <si>
    <t>I-1717</t>
  </si>
  <si>
    <t>I-1718</t>
  </si>
  <si>
    <t>I-1719</t>
  </si>
  <si>
    <t>I-1720</t>
  </si>
  <si>
    <t>I-1721</t>
  </si>
  <si>
    <t>I-1722</t>
  </si>
  <si>
    <t>Nicola Williams</t>
  </si>
  <si>
    <t>I-1723</t>
  </si>
  <si>
    <t>Marie Hewitt</t>
  </si>
  <si>
    <t>I-1724</t>
  </si>
  <si>
    <t>I-1725</t>
  </si>
  <si>
    <t>I-1726</t>
  </si>
  <si>
    <t>I-1727</t>
  </si>
  <si>
    <t>I-1728</t>
  </si>
  <si>
    <t>I-1729</t>
  </si>
  <si>
    <t>I-1730</t>
  </si>
  <si>
    <t>I-1731</t>
  </si>
  <si>
    <t>I-1732</t>
  </si>
  <si>
    <t>Emma Westbrook</t>
  </si>
  <si>
    <t>I-1733</t>
  </si>
  <si>
    <t>I-1734</t>
  </si>
  <si>
    <t>Susan Goude</t>
  </si>
  <si>
    <t>I-1735</t>
  </si>
  <si>
    <t>I-1736</t>
  </si>
  <si>
    <t>I-1737</t>
  </si>
  <si>
    <t>I-1738</t>
  </si>
  <si>
    <t>I-1739</t>
  </si>
  <si>
    <t>I-1740</t>
  </si>
  <si>
    <t>I-1741</t>
  </si>
  <si>
    <t>I-1742</t>
  </si>
  <si>
    <t>I-1743</t>
  </si>
  <si>
    <t>I-1744</t>
  </si>
  <si>
    <t>Frances Weller</t>
  </si>
  <si>
    <t>I-1745</t>
  </si>
  <si>
    <t>I-1746</t>
  </si>
  <si>
    <t>Barry Smith</t>
  </si>
  <si>
    <t>I-1747</t>
  </si>
  <si>
    <t>I-1748</t>
  </si>
  <si>
    <t>I-1749</t>
  </si>
  <si>
    <t>Phillip Clarke</t>
  </si>
  <si>
    <t>I-1750</t>
  </si>
  <si>
    <t>I-1751</t>
  </si>
  <si>
    <t>I-1752</t>
  </si>
  <si>
    <t>Susan Luker</t>
  </si>
  <si>
    <t>I-1753</t>
  </si>
  <si>
    <t>I-1754</t>
  </si>
  <si>
    <t>I-1755</t>
  </si>
  <si>
    <t>Bruce Neville</t>
  </si>
  <si>
    <t>I-1756</t>
  </si>
  <si>
    <t>Martin Timmins</t>
  </si>
  <si>
    <t>I-1757</t>
  </si>
  <si>
    <t>I-1758</t>
  </si>
  <si>
    <t>I-1759</t>
  </si>
  <si>
    <t>I-1760</t>
  </si>
  <si>
    <t>I-1761</t>
  </si>
  <si>
    <t>I-1762</t>
  </si>
  <si>
    <t>I-1763</t>
  </si>
  <si>
    <t>I-1764</t>
  </si>
  <si>
    <t>James Stephen</t>
  </si>
  <si>
    <t>I-1765</t>
  </si>
  <si>
    <t>I-1766</t>
  </si>
  <si>
    <t>David Townsend</t>
  </si>
  <si>
    <t>I-1767</t>
  </si>
  <si>
    <t>I-1768</t>
  </si>
  <si>
    <t>I-1769</t>
  </si>
  <si>
    <t>I-1770</t>
  </si>
  <si>
    <t>Paul Munday</t>
  </si>
  <si>
    <t>I-1771</t>
  </si>
  <si>
    <t>I-1772</t>
  </si>
  <si>
    <t>I-1773</t>
  </si>
  <si>
    <t>I-1774</t>
  </si>
  <si>
    <t>I-1775</t>
  </si>
  <si>
    <t>I-1776</t>
  </si>
  <si>
    <t>I-1777</t>
  </si>
  <si>
    <t>I-1778</t>
  </si>
  <si>
    <t>Nick Denny</t>
  </si>
  <si>
    <t>I-1779</t>
  </si>
  <si>
    <t>David Dorey</t>
  </si>
  <si>
    <t>I-1780</t>
  </si>
  <si>
    <t>I-1781</t>
  </si>
  <si>
    <t>I-1782</t>
  </si>
  <si>
    <t>David Romero</t>
  </si>
  <si>
    <t>I-1783</t>
  </si>
  <si>
    <t>I-1784</t>
  </si>
  <si>
    <t>Phillip Humphreys</t>
  </si>
  <si>
    <t>I-1785</t>
  </si>
  <si>
    <t>Robert Salisbury</t>
  </si>
  <si>
    <t>I-1786</t>
  </si>
  <si>
    <t>I-1787</t>
  </si>
  <si>
    <t>I-1788</t>
  </si>
  <si>
    <t>Edward Jenkins</t>
  </si>
  <si>
    <t>I-1789</t>
  </si>
  <si>
    <t>Ron Goodman</t>
  </si>
  <si>
    <t>I-1790</t>
  </si>
  <si>
    <t>I-1791</t>
  </si>
  <si>
    <t>Saffron Cruse</t>
  </si>
  <si>
    <t>I-1792</t>
  </si>
  <si>
    <t>I-1793</t>
  </si>
  <si>
    <t>I-1794</t>
  </si>
  <si>
    <t>I-1795</t>
  </si>
  <si>
    <t>I-1796</t>
  </si>
  <si>
    <t>I-1797</t>
  </si>
  <si>
    <t>I-1798</t>
  </si>
  <si>
    <t>I-1799</t>
  </si>
  <si>
    <t>Fatima James</t>
  </si>
  <si>
    <t>I-1800</t>
  </si>
  <si>
    <t>I-1801</t>
  </si>
  <si>
    <t>I-1802</t>
  </si>
  <si>
    <t>I-1803</t>
  </si>
  <si>
    <t>I-1804</t>
  </si>
  <si>
    <t>I-1805</t>
  </si>
  <si>
    <t>I-1806</t>
  </si>
  <si>
    <t>I-1807</t>
  </si>
  <si>
    <t>I-1808</t>
  </si>
  <si>
    <t>I-1809</t>
  </si>
  <si>
    <t>I-1810</t>
  </si>
  <si>
    <t>I-1811</t>
  </si>
  <si>
    <t>I-1812</t>
  </si>
  <si>
    <t>Rory Bullion</t>
  </si>
  <si>
    <t>I-1813</t>
  </si>
  <si>
    <t>I-1814</t>
  </si>
  <si>
    <t>I-1815</t>
  </si>
  <si>
    <t>Paul Power</t>
  </si>
  <si>
    <t>I-1816</t>
  </si>
  <si>
    <t>I-1817</t>
  </si>
  <si>
    <t>I-1818</t>
  </si>
  <si>
    <t>I-1819</t>
  </si>
  <si>
    <t>I-1820</t>
  </si>
  <si>
    <t>I-1821</t>
  </si>
  <si>
    <t>I-1822</t>
  </si>
  <si>
    <t>I-1823</t>
  </si>
  <si>
    <t>I-1824</t>
  </si>
  <si>
    <t>I-1825</t>
  </si>
  <si>
    <t>I-1826</t>
  </si>
  <si>
    <t>Ketan Bryan</t>
  </si>
  <si>
    <t>I-1827</t>
  </si>
  <si>
    <t>I-1828</t>
  </si>
  <si>
    <t>I-1829</t>
  </si>
  <si>
    <t>I-1830</t>
  </si>
  <si>
    <t>I-1831</t>
  </si>
  <si>
    <t>I-1832</t>
  </si>
  <si>
    <t>Noel Hardy</t>
  </si>
  <si>
    <t>I-1833</t>
  </si>
  <si>
    <t>Kyle Walter</t>
  </si>
  <si>
    <t>I-1834</t>
  </si>
  <si>
    <t>Gillian Rodrigues</t>
  </si>
  <si>
    <t>I-1835</t>
  </si>
  <si>
    <t>I-1836</t>
  </si>
  <si>
    <t>Nicola Rea</t>
  </si>
  <si>
    <t>I-1837</t>
  </si>
  <si>
    <t>I-1838</t>
  </si>
  <si>
    <t>Peter Allan</t>
  </si>
  <si>
    <t>I-1839</t>
  </si>
  <si>
    <t>I-1840</t>
  </si>
  <si>
    <t>I-1841</t>
  </si>
  <si>
    <t>I-1842</t>
  </si>
  <si>
    <t>I-1843</t>
  </si>
  <si>
    <t>I-1844</t>
  </si>
  <si>
    <t>I-1845</t>
  </si>
  <si>
    <t>I-1846</t>
  </si>
  <si>
    <t>I-1847</t>
  </si>
  <si>
    <t>I-1848</t>
  </si>
  <si>
    <t>I-1849</t>
  </si>
  <si>
    <t>I-1850</t>
  </si>
  <si>
    <t>I-1851</t>
  </si>
  <si>
    <t>I-1852</t>
  </si>
  <si>
    <t>I-1853</t>
  </si>
  <si>
    <t>I-1854</t>
  </si>
  <si>
    <t>I-1855</t>
  </si>
  <si>
    <t>I-1856</t>
  </si>
  <si>
    <t>I-1857</t>
  </si>
  <si>
    <t>I-1858</t>
  </si>
  <si>
    <t>I-1859</t>
  </si>
  <si>
    <t>Baljinder Anderson</t>
  </si>
  <si>
    <t>I-1860</t>
  </si>
  <si>
    <t>I-1861</t>
  </si>
  <si>
    <t>I-1862</t>
  </si>
  <si>
    <t>I-1863</t>
  </si>
  <si>
    <t>I-1864</t>
  </si>
  <si>
    <t>I-1865</t>
  </si>
  <si>
    <t>I-1866</t>
  </si>
  <si>
    <t>I-1867</t>
  </si>
  <si>
    <t>I-1868</t>
  </si>
  <si>
    <t>I-1869</t>
  </si>
  <si>
    <t>I-1870</t>
  </si>
  <si>
    <t>I-1871</t>
  </si>
  <si>
    <t>I-1872</t>
  </si>
  <si>
    <t>I-1873</t>
  </si>
  <si>
    <t>I-1874</t>
  </si>
  <si>
    <t>I-1875</t>
  </si>
  <si>
    <t>I-1876</t>
  </si>
  <si>
    <t>I-1877</t>
  </si>
  <si>
    <t>I-1878</t>
  </si>
  <si>
    <t>I-1879</t>
  </si>
  <si>
    <t>I-1880</t>
  </si>
  <si>
    <t>I-1881</t>
  </si>
  <si>
    <t>I-1882</t>
  </si>
  <si>
    <t>I-1883</t>
  </si>
  <si>
    <t>I-1884</t>
  </si>
  <si>
    <t>I-1885</t>
  </si>
  <si>
    <t>Brendon Sykes</t>
  </si>
  <si>
    <t>I-1886</t>
  </si>
  <si>
    <t>I-1887</t>
  </si>
  <si>
    <t>April Childs</t>
  </si>
  <si>
    <t>I-1888</t>
  </si>
  <si>
    <t>Andrew Harris</t>
  </si>
  <si>
    <t>I-1889</t>
  </si>
  <si>
    <t>I-1890</t>
  </si>
  <si>
    <t>Maureen Haymes</t>
  </si>
  <si>
    <t>I-1891</t>
  </si>
  <si>
    <t>I-1892</t>
  </si>
  <si>
    <t>Rita Jenkins</t>
  </si>
  <si>
    <t>I-1893</t>
  </si>
  <si>
    <t>I-1894</t>
  </si>
  <si>
    <t>Gillian Harris</t>
  </si>
  <si>
    <t>I-1895</t>
  </si>
  <si>
    <t>I-1896</t>
  </si>
  <si>
    <t>I-1897</t>
  </si>
  <si>
    <t>I-1898</t>
  </si>
  <si>
    <t>I-1899</t>
  </si>
  <si>
    <t>I-1900</t>
  </si>
  <si>
    <t>David Grey</t>
  </si>
  <si>
    <t>I-1901</t>
  </si>
  <si>
    <t>I-1902</t>
  </si>
  <si>
    <t>William Collins</t>
  </si>
  <si>
    <t>I-1903</t>
  </si>
  <si>
    <t>I-1904</t>
  </si>
  <si>
    <t>I-1905</t>
  </si>
  <si>
    <t>I-1906</t>
  </si>
  <si>
    <t>I-1907</t>
  </si>
  <si>
    <t>I-1908</t>
  </si>
  <si>
    <t>I-1909</t>
  </si>
  <si>
    <t>Arthur Carley</t>
  </si>
  <si>
    <t>I-1910</t>
  </si>
  <si>
    <t>I-1911</t>
  </si>
  <si>
    <t>I-1912</t>
  </si>
  <si>
    <t>I-1913</t>
  </si>
  <si>
    <t>Heather Donald</t>
  </si>
  <si>
    <t>I-1914</t>
  </si>
  <si>
    <t>I-1915</t>
  </si>
  <si>
    <t>I-1916</t>
  </si>
  <si>
    <t>I-1917</t>
  </si>
  <si>
    <t>I-1918</t>
  </si>
  <si>
    <t>I-1919</t>
  </si>
  <si>
    <t>I-1920</t>
  </si>
  <si>
    <t>I-1921</t>
  </si>
  <si>
    <t>I-1922</t>
  </si>
  <si>
    <t>I-1923</t>
  </si>
  <si>
    <t>I-1924</t>
  </si>
  <si>
    <t>I-1925</t>
  </si>
  <si>
    <t>I-1926</t>
  </si>
  <si>
    <t>I-1927</t>
  </si>
  <si>
    <t>I-1928</t>
  </si>
  <si>
    <t>I-1929</t>
  </si>
  <si>
    <t>I-1930</t>
  </si>
  <si>
    <t>I-1931</t>
  </si>
  <si>
    <t>Allyson Parker</t>
  </si>
  <si>
    <t>I-1932</t>
  </si>
  <si>
    <t>Alexander Rowntree</t>
  </si>
  <si>
    <t>I-1933</t>
  </si>
  <si>
    <t>I-1934</t>
  </si>
  <si>
    <t>I-1935</t>
  </si>
  <si>
    <t>I-1936</t>
  </si>
  <si>
    <t>I-1937</t>
  </si>
  <si>
    <t>I-1938</t>
  </si>
  <si>
    <t>I-1939</t>
  </si>
  <si>
    <t>I-1940</t>
  </si>
  <si>
    <t>I-1941</t>
  </si>
  <si>
    <t>Dell Lockwood</t>
  </si>
  <si>
    <t>I-1942</t>
  </si>
  <si>
    <t>I-1943</t>
  </si>
  <si>
    <t>I-1944</t>
  </si>
  <si>
    <t>I-1945</t>
  </si>
  <si>
    <t>I-1946</t>
  </si>
  <si>
    <t>I-1947</t>
  </si>
  <si>
    <t>Rachel Deignan</t>
  </si>
  <si>
    <t>I-1948</t>
  </si>
  <si>
    <t>I-1949</t>
  </si>
  <si>
    <t>Russell Thorley</t>
  </si>
  <si>
    <t>I-1950</t>
  </si>
  <si>
    <t>I-1951</t>
  </si>
  <si>
    <t>I-1952</t>
  </si>
  <si>
    <t>I-1953</t>
  </si>
  <si>
    <t>I-1954</t>
  </si>
  <si>
    <t>I-1955</t>
  </si>
  <si>
    <t>I-1956</t>
  </si>
  <si>
    <t>I-1957</t>
  </si>
  <si>
    <t>I-1958</t>
  </si>
  <si>
    <t>I-1959</t>
  </si>
  <si>
    <t>I-1960</t>
  </si>
  <si>
    <t>I-1961</t>
  </si>
  <si>
    <t>I-1962</t>
  </si>
  <si>
    <t>I-1963</t>
  </si>
  <si>
    <t>David Isaacs</t>
  </si>
  <si>
    <t>I-1964</t>
  </si>
  <si>
    <t>I-1965</t>
  </si>
  <si>
    <t>Johanna Collins</t>
  </si>
  <si>
    <t>I-1966</t>
  </si>
  <si>
    <t>I-1967</t>
  </si>
  <si>
    <t>I-1968</t>
  </si>
  <si>
    <t>I-1969</t>
  </si>
  <si>
    <t>I-1970</t>
  </si>
  <si>
    <t>Ryan Pearce</t>
  </si>
  <si>
    <t>I-1971</t>
  </si>
  <si>
    <t>I-1972</t>
  </si>
  <si>
    <t>I-1973</t>
  </si>
  <si>
    <t>I-1974</t>
  </si>
  <si>
    <t>I-1975</t>
  </si>
  <si>
    <t>I-1976</t>
  </si>
  <si>
    <t>I-1977</t>
  </si>
  <si>
    <t>I-1978</t>
  </si>
  <si>
    <t>I-1979</t>
  </si>
  <si>
    <t>I-1980</t>
  </si>
  <si>
    <t>Selwyn Kitching</t>
  </si>
  <si>
    <t>I-1981</t>
  </si>
  <si>
    <t>I-1982</t>
  </si>
  <si>
    <t>I-1983</t>
  </si>
  <si>
    <t>I-1984</t>
  </si>
  <si>
    <t>I-1985</t>
  </si>
  <si>
    <t>I-1986</t>
  </si>
  <si>
    <t>I-1987</t>
  </si>
  <si>
    <t>I-1988</t>
  </si>
  <si>
    <t>I-1989</t>
  </si>
  <si>
    <t>I-1990</t>
  </si>
  <si>
    <t>I-1991</t>
  </si>
  <si>
    <t>I-1992</t>
  </si>
  <si>
    <t>Caroline Gee</t>
  </si>
  <si>
    <t>I-1993</t>
  </si>
  <si>
    <t>I-1994</t>
  </si>
  <si>
    <t>I-1995</t>
  </si>
  <si>
    <t>I-1996</t>
  </si>
  <si>
    <t>Paul Benton</t>
  </si>
  <si>
    <t>I-1997</t>
  </si>
  <si>
    <t>Mark Holmes</t>
  </si>
  <si>
    <t>I-1998</t>
  </si>
  <si>
    <t>I-1999</t>
  </si>
  <si>
    <t>Carol Cormack</t>
  </si>
  <si>
    <t>I-2000</t>
  </si>
  <si>
    <t>I-2001</t>
  </si>
  <si>
    <t>I-2002</t>
  </si>
  <si>
    <t>I-2003</t>
  </si>
  <si>
    <t>I-2004</t>
  </si>
  <si>
    <t>I-2005</t>
  </si>
  <si>
    <t>I-2006</t>
  </si>
  <si>
    <t>I-2007</t>
  </si>
  <si>
    <t>Derek Anderson</t>
  </si>
  <si>
    <t>I-2008</t>
  </si>
  <si>
    <t>I-2009</t>
  </si>
  <si>
    <t>I-2010</t>
  </si>
  <si>
    <t>I-2011</t>
  </si>
  <si>
    <t>Nicola Wright</t>
  </si>
  <si>
    <t>I-2012</t>
  </si>
  <si>
    <t>I-2013</t>
  </si>
  <si>
    <t>I-2014</t>
  </si>
  <si>
    <t>I-2015</t>
  </si>
  <si>
    <t>I-2016</t>
  </si>
  <si>
    <t>John Hetherington</t>
  </si>
  <si>
    <t>I-2017</t>
  </si>
  <si>
    <t>Ian Christian</t>
  </si>
  <si>
    <t>I-2018</t>
  </si>
  <si>
    <t>I-2019</t>
  </si>
  <si>
    <t>I-2020</t>
  </si>
  <si>
    <t>I-2021</t>
  </si>
  <si>
    <t>I-2022</t>
  </si>
  <si>
    <t>I-2023</t>
  </si>
  <si>
    <t>I-2024</t>
  </si>
  <si>
    <t>I-2025</t>
  </si>
  <si>
    <t>I-2026</t>
  </si>
  <si>
    <t>I-2027</t>
  </si>
  <si>
    <t>I-2028</t>
  </si>
  <si>
    <t>I-2029</t>
  </si>
  <si>
    <t>I-2030</t>
  </si>
  <si>
    <t>I-2031</t>
  </si>
  <si>
    <t>I-2032</t>
  </si>
  <si>
    <t>I-2033</t>
  </si>
  <si>
    <t>I-2034</t>
  </si>
  <si>
    <t>I-2035</t>
  </si>
  <si>
    <t>I-2036</t>
  </si>
  <si>
    <t>I-2037</t>
  </si>
  <si>
    <t>I-2038</t>
  </si>
  <si>
    <t>I-2039</t>
  </si>
  <si>
    <t>I-2040</t>
  </si>
  <si>
    <t>I-2041</t>
  </si>
  <si>
    <t>I-2042</t>
  </si>
  <si>
    <t>Richard Kay</t>
  </si>
  <si>
    <t>I-2043</t>
  </si>
  <si>
    <t>I-2044</t>
  </si>
  <si>
    <t>I-2045</t>
  </si>
  <si>
    <t>I-2046</t>
  </si>
  <si>
    <t>I-2047</t>
  </si>
  <si>
    <t>I-2048</t>
  </si>
  <si>
    <t>I-2049</t>
  </si>
  <si>
    <t>I-2050</t>
  </si>
  <si>
    <t>I-2051</t>
  </si>
  <si>
    <t>I-2052</t>
  </si>
  <si>
    <t>I-2053</t>
  </si>
  <si>
    <t>I-2054</t>
  </si>
  <si>
    <t>I-2055</t>
  </si>
  <si>
    <t>I-2056</t>
  </si>
  <si>
    <t>I-2057</t>
  </si>
  <si>
    <t>I-2058</t>
  </si>
  <si>
    <t>I-2059</t>
  </si>
  <si>
    <t>I-2060</t>
  </si>
  <si>
    <t>I-2061</t>
  </si>
  <si>
    <t>I-2062</t>
  </si>
  <si>
    <t>I-2063</t>
  </si>
  <si>
    <t>I-2064</t>
  </si>
  <si>
    <t>I-2065</t>
  </si>
  <si>
    <t>I-2066</t>
  </si>
  <si>
    <t>I-2067</t>
  </si>
  <si>
    <t>I-2068</t>
  </si>
  <si>
    <t>I-2069</t>
  </si>
  <si>
    <t>I-2070</t>
  </si>
  <si>
    <t>I-2071</t>
  </si>
  <si>
    <t>I-2072</t>
  </si>
  <si>
    <t>I-2073</t>
  </si>
  <si>
    <t>I-2074</t>
  </si>
  <si>
    <t>I-2075</t>
  </si>
  <si>
    <t>I-2076</t>
  </si>
  <si>
    <t>I-2077</t>
  </si>
  <si>
    <t>I-2078</t>
  </si>
  <si>
    <t>I-2079</t>
  </si>
  <si>
    <t>I-2080</t>
  </si>
  <si>
    <t>I-2081</t>
  </si>
  <si>
    <t>Nicole Ford</t>
  </si>
  <si>
    <t>I-2082</t>
  </si>
  <si>
    <t>I-2083</t>
  </si>
  <si>
    <t>I-2084</t>
  </si>
  <si>
    <t>I-2085</t>
  </si>
  <si>
    <t>I-2086</t>
  </si>
  <si>
    <t>I-2087</t>
  </si>
  <si>
    <t>Alastair Mills</t>
  </si>
  <si>
    <t>I-2088</t>
  </si>
  <si>
    <t>I-2089</t>
  </si>
  <si>
    <t>I-2090</t>
  </si>
  <si>
    <t>I-2091</t>
  </si>
  <si>
    <t>I-2092</t>
  </si>
  <si>
    <t>I-2093</t>
  </si>
  <si>
    <t>I-2094</t>
  </si>
  <si>
    <t>I-2095</t>
  </si>
  <si>
    <t>I-2096</t>
  </si>
  <si>
    <t>I-2097</t>
  </si>
  <si>
    <t>I-2098</t>
  </si>
  <si>
    <t>I-2099</t>
  </si>
  <si>
    <t>I-2100</t>
  </si>
  <si>
    <t>I-2101</t>
  </si>
  <si>
    <t>I-2102</t>
  </si>
  <si>
    <t>Darren Webb</t>
  </si>
  <si>
    <t>I-2103</t>
  </si>
  <si>
    <t>I-2104</t>
  </si>
  <si>
    <t>I-2105</t>
  </si>
  <si>
    <t>I-2106</t>
  </si>
  <si>
    <t>I-2107</t>
  </si>
  <si>
    <t>I-2108</t>
  </si>
  <si>
    <t>I-2109</t>
  </si>
  <si>
    <t>I-2110</t>
  </si>
  <si>
    <t>I-2111</t>
  </si>
  <si>
    <t>I-2112</t>
  </si>
  <si>
    <t>I-2113</t>
  </si>
  <si>
    <t>I-2114</t>
  </si>
  <si>
    <t>I-2115</t>
  </si>
  <si>
    <t>I-2116</t>
  </si>
  <si>
    <t>I-2117</t>
  </si>
  <si>
    <t>I-2118</t>
  </si>
  <si>
    <t>I-2119</t>
  </si>
  <si>
    <t>I-2120</t>
  </si>
  <si>
    <t>I-2121</t>
  </si>
  <si>
    <t>I-2122</t>
  </si>
  <si>
    <t>I-2123</t>
  </si>
  <si>
    <t>I-2124</t>
  </si>
  <si>
    <t>I-2125</t>
  </si>
  <si>
    <t>I-2126</t>
  </si>
  <si>
    <t>I-2127</t>
  </si>
  <si>
    <t>I-2128</t>
  </si>
  <si>
    <t>I-2129</t>
  </si>
  <si>
    <t>I-2130</t>
  </si>
  <si>
    <t>I-2131</t>
  </si>
  <si>
    <t>I-2132</t>
  </si>
  <si>
    <t>I-2133</t>
  </si>
  <si>
    <t>I-2134</t>
  </si>
  <si>
    <t>I-2135</t>
  </si>
  <si>
    <t>Kevin Long</t>
  </si>
  <si>
    <t>I-2136</t>
  </si>
  <si>
    <t>I-2137</t>
  </si>
  <si>
    <t>I-2138</t>
  </si>
  <si>
    <t>I-2139</t>
  </si>
  <si>
    <t>I-2140</t>
  </si>
  <si>
    <t>I-2141</t>
  </si>
  <si>
    <t>Barbara Scott</t>
  </si>
  <si>
    <t>I-2142</t>
  </si>
  <si>
    <t>I-2143</t>
  </si>
  <si>
    <t>I-2144</t>
  </si>
  <si>
    <t>I-2145</t>
  </si>
  <si>
    <t>I-2146</t>
  </si>
  <si>
    <t>I-2147</t>
  </si>
  <si>
    <t>I-2148</t>
  </si>
  <si>
    <t>I-2149</t>
  </si>
  <si>
    <t>I-2150</t>
  </si>
  <si>
    <t>I-2151</t>
  </si>
  <si>
    <t>I-2152</t>
  </si>
  <si>
    <t>I-2153</t>
  </si>
  <si>
    <t>I-2154</t>
  </si>
  <si>
    <t>I-2155</t>
  </si>
  <si>
    <t>I-2156</t>
  </si>
  <si>
    <t>I-2157</t>
  </si>
  <si>
    <t>I-2158</t>
  </si>
  <si>
    <t>I-2159</t>
  </si>
  <si>
    <t>Keith Drage</t>
  </si>
  <si>
    <t>I-2160</t>
  </si>
  <si>
    <t>I-2161</t>
  </si>
  <si>
    <t>I-2162</t>
  </si>
  <si>
    <t>I-2163</t>
  </si>
  <si>
    <t>I-2164</t>
  </si>
  <si>
    <t>I-2165</t>
  </si>
  <si>
    <t>I-2166</t>
  </si>
  <si>
    <t>I-2167</t>
  </si>
  <si>
    <t>I-2168</t>
  </si>
  <si>
    <t>Jonathan Pereira</t>
  </si>
  <si>
    <t>I-2169</t>
  </si>
  <si>
    <t>I-2170</t>
  </si>
  <si>
    <t>I-2171</t>
  </si>
  <si>
    <t>I-2172</t>
  </si>
  <si>
    <t>I-2173</t>
  </si>
  <si>
    <t>Roger Silvester</t>
  </si>
  <si>
    <t>I-2174</t>
  </si>
  <si>
    <t>I-2175</t>
  </si>
  <si>
    <t>I-2176</t>
  </si>
  <si>
    <t>I-2177</t>
  </si>
  <si>
    <t>I-2178</t>
  </si>
  <si>
    <t>I-2179</t>
  </si>
  <si>
    <t>I-2180</t>
  </si>
  <si>
    <t>I-2181</t>
  </si>
  <si>
    <t>I-2182</t>
  </si>
  <si>
    <t>I-2183</t>
  </si>
  <si>
    <t>I-2184</t>
  </si>
  <si>
    <t>I-2185</t>
  </si>
  <si>
    <t>I-2186</t>
  </si>
  <si>
    <t>I-2187</t>
  </si>
  <si>
    <t>I-2188</t>
  </si>
  <si>
    <t>George Smith</t>
  </si>
  <si>
    <t>I-2189</t>
  </si>
  <si>
    <t>I-2190</t>
  </si>
  <si>
    <t>I-2191</t>
  </si>
  <si>
    <t>Mark Sayer</t>
  </si>
  <si>
    <t>I-2192</t>
  </si>
  <si>
    <t>I-2193</t>
  </si>
  <si>
    <t>I-2194</t>
  </si>
  <si>
    <t>I-2195</t>
  </si>
  <si>
    <t>I-2196</t>
  </si>
  <si>
    <t>I-2197</t>
  </si>
  <si>
    <t>David Adams</t>
  </si>
  <si>
    <t>I-2198</t>
  </si>
  <si>
    <t>I-2199</t>
  </si>
  <si>
    <t>I-2200</t>
  </si>
  <si>
    <t>I-2201</t>
  </si>
  <si>
    <t>I-2202</t>
  </si>
  <si>
    <t>I-2203</t>
  </si>
  <si>
    <t>I-2204</t>
  </si>
  <si>
    <t>I-2205</t>
  </si>
  <si>
    <t>I-2206</t>
  </si>
  <si>
    <t>I-2207</t>
  </si>
  <si>
    <t>I-2208</t>
  </si>
  <si>
    <t>I-2209</t>
  </si>
  <si>
    <t>I-2210</t>
  </si>
  <si>
    <t>I-2211</t>
  </si>
  <si>
    <t>I-2212</t>
  </si>
  <si>
    <t>I-2213</t>
  </si>
  <si>
    <t>I-2214</t>
  </si>
  <si>
    <t>I-2215</t>
  </si>
  <si>
    <t>I-2216</t>
  </si>
  <si>
    <t>I-2217</t>
  </si>
  <si>
    <t>I-2218</t>
  </si>
  <si>
    <t>Sandra Rew</t>
  </si>
  <si>
    <t>I-2219</t>
  </si>
  <si>
    <t>I-2220</t>
  </si>
  <si>
    <t>I-2221</t>
  </si>
  <si>
    <t>I-2222</t>
  </si>
  <si>
    <t>I-2223</t>
  </si>
  <si>
    <t>Lloyd Barr</t>
  </si>
  <si>
    <t>I-2224</t>
  </si>
  <si>
    <t>I-2225</t>
  </si>
  <si>
    <t>I-2226</t>
  </si>
  <si>
    <t>I-2227</t>
  </si>
  <si>
    <t>I-2228</t>
  </si>
  <si>
    <t>I-2229</t>
  </si>
  <si>
    <t>I-2230</t>
  </si>
  <si>
    <t>I-2231</t>
  </si>
  <si>
    <t>I-2232</t>
  </si>
  <si>
    <t>I-2233</t>
  </si>
  <si>
    <t>Frank Sewell</t>
  </si>
  <si>
    <t>I-2234</t>
  </si>
  <si>
    <t>I-2235</t>
  </si>
  <si>
    <t>I-2236</t>
  </si>
  <si>
    <t>I-2237</t>
  </si>
  <si>
    <t>I-2238</t>
  </si>
  <si>
    <t>I-2239</t>
  </si>
  <si>
    <t>I-2240</t>
  </si>
  <si>
    <t>I-2241</t>
  </si>
  <si>
    <t>I-2242</t>
  </si>
  <si>
    <t>I-2243</t>
  </si>
  <si>
    <t>I-2244</t>
  </si>
  <si>
    <t>I-2245</t>
  </si>
  <si>
    <t>I-2246</t>
  </si>
  <si>
    <t>I-2247</t>
  </si>
  <si>
    <t>I-2248</t>
  </si>
  <si>
    <t>I-2249</t>
  </si>
  <si>
    <t>I-2250</t>
  </si>
  <si>
    <t>I-2251</t>
  </si>
  <si>
    <t>I-2252</t>
  </si>
  <si>
    <t>I-2253</t>
  </si>
  <si>
    <t>Noel Burn</t>
  </si>
  <si>
    <t>I-2254</t>
  </si>
  <si>
    <t>I-2255</t>
  </si>
  <si>
    <t>I-2256</t>
  </si>
  <si>
    <t>I-2257</t>
  </si>
  <si>
    <t>Johanna Mirza</t>
  </si>
  <si>
    <t>I-2258</t>
  </si>
  <si>
    <t>I-2259</t>
  </si>
  <si>
    <t>I-2260</t>
  </si>
  <si>
    <t>I-2261</t>
  </si>
  <si>
    <t>I-2262</t>
  </si>
  <si>
    <t>I-2263</t>
  </si>
  <si>
    <t>Denise Harris</t>
  </si>
  <si>
    <t>I-2264</t>
  </si>
  <si>
    <t>I-2265</t>
  </si>
  <si>
    <t>Helen Cooke</t>
  </si>
  <si>
    <t>I-2266</t>
  </si>
  <si>
    <t>Anthony Green</t>
  </si>
  <si>
    <t>I-2267</t>
  </si>
  <si>
    <t>Lisa Pepper</t>
  </si>
  <si>
    <t>I-2268</t>
  </si>
  <si>
    <t>I-2269</t>
  </si>
  <si>
    <t>I-2270</t>
  </si>
  <si>
    <t>I-2271</t>
  </si>
  <si>
    <t>I-2272</t>
  </si>
  <si>
    <t>I-2273</t>
  </si>
  <si>
    <t>I-2274</t>
  </si>
  <si>
    <t>I-2275</t>
  </si>
  <si>
    <t>I-2276</t>
  </si>
  <si>
    <t>I-2277</t>
  </si>
  <si>
    <t>I-2278</t>
  </si>
  <si>
    <t>I-2279</t>
  </si>
  <si>
    <t>Gillian Crawley</t>
  </si>
  <si>
    <t>I-2280</t>
  </si>
  <si>
    <t>I-2281</t>
  </si>
  <si>
    <t>I-2282</t>
  </si>
  <si>
    <t>I-2283</t>
  </si>
  <si>
    <t>I-2284</t>
  </si>
  <si>
    <t>I-2285</t>
  </si>
  <si>
    <t>I-2286</t>
  </si>
  <si>
    <t>I-2287</t>
  </si>
  <si>
    <t>I-2288</t>
  </si>
  <si>
    <t>I-2289</t>
  </si>
  <si>
    <t>I-2290</t>
  </si>
  <si>
    <t>I-2291</t>
  </si>
  <si>
    <t>I-2292</t>
  </si>
  <si>
    <t>I-2293</t>
  </si>
  <si>
    <t>I-2294</t>
  </si>
  <si>
    <t>I-2295</t>
  </si>
  <si>
    <t>I-2296</t>
  </si>
  <si>
    <t>I-2297</t>
  </si>
  <si>
    <t>I-2298</t>
  </si>
  <si>
    <t>I-2299</t>
  </si>
  <si>
    <t>I-2300</t>
  </si>
  <si>
    <t>James Lam</t>
  </si>
  <si>
    <t>I-2301</t>
  </si>
  <si>
    <t>I-2302</t>
  </si>
  <si>
    <t>I-2303</t>
  </si>
  <si>
    <t>I-2304</t>
  </si>
  <si>
    <t>I-2305</t>
  </si>
  <si>
    <t>Sarah Houghton</t>
  </si>
  <si>
    <t>I-2306</t>
  </si>
  <si>
    <t>Alison Lazar</t>
  </si>
  <si>
    <t>I-2307</t>
  </si>
  <si>
    <t>I-2308</t>
  </si>
  <si>
    <t>I-2309</t>
  </si>
  <si>
    <t>I-2310</t>
  </si>
  <si>
    <t>I-2311</t>
  </si>
  <si>
    <t>I-2312</t>
  </si>
  <si>
    <t>I-2313</t>
  </si>
  <si>
    <t>I-2314</t>
  </si>
  <si>
    <t>Russell Reynolds</t>
  </si>
  <si>
    <t>I-2315</t>
  </si>
  <si>
    <t>I-2316</t>
  </si>
  <si>
    <t>I-2317</t>
  </si>
  <si>
    <t>I-2318</t>
  </si>
  <si>
    <t>I-2319</t>
  </si>
  <si>
    <t>I-2320</t>
  </si>
  <si>
    <t>I-2321</t>
  </si>
  <si>
    <t>I-2322</t>
  </si>
  <si>
    <t>I-2323</t>
  </si>
  <si>
    <t>I-2324</t>
  </si>
  <si>
    <t>I-2325</t>
  </si>
  <si>
    <t>I-2326</t>
  </si>
  <si>
    <t>I-2327</t>
  </si>
  <si>
    <t>I-2328</t>
  </si>
  <si>
    <t>I-2329</t>
  </si>
  <si>
    <t>I-2330</t>
  </si>
  <si>
    <t>I-2331</t>
  </si>
  <si>
    <t>I-2332</t>
  </si>
  <si>
    <t>I-2333</t>
  </si>
  <si>
    <t>I-2334</t>
  </si>
  <si>
    <t>I-2335</t>
  </si>
  <si>
    <t>I-2336</t>
  </si>
  <si>
    <t>I-2337</t>
  </si>
  <si>
    <t>I-2338</t>
  </si>
  <si>
    <t>I-2339</t>
  </si>
  <si>
    <t>I-2340</t>
  </si>
  <si>
    <t>I-2341</t>
  </si>
  <si>
    <t>I-2342</t>
  </si>
  <si>
    <t>I-2343</t>
  </si>
  <si>
    <t>I-2344</t>
  </si>
  <si>
    <t>I-2345</t>
  </si>
  <si>
    <t>I-2346</t>
  </si>
  <si>
    <t>I-2347</t>
  </si>
  <si>
    <t>Charles Jago</t>
  </si>
  <si>
    <t>I-2348</t>
  </si>
  <si>
    <t>I-2349</t>
  </si>
  <si>
    <t>I-2350</t>
  </si>
  <si>
    <t>I-2351</t>
  </si>
  <si>
    <t>Denise Docherty</t>
  </si>
  <si>
    <t>I-2352</t>
  </si>
  <si>
    <t>I-2353</t>
  </si>
  <si>
    <t>I-2354</t>
  </si>
  <si>
    <t>I-2355</t>
  </si>
  <si>
    <t>I-2356</t>
  </si>
  <si>
    <t>I-2357</t>
  </si>
  <si>
    <t>I-2358</t>
  </si>
  <si>
    <t>I-2359</t>
  </si>
  <si>
    <t>I-2360</t>
  </si>
  <si>
    <t>I-2361</t>
  </si>
  <si>
    <t>I-2362</t>
  </si>
  <si>
    <t>I-2363</t>
  </si>
  <si>
    <t>I-2364</t>
  </si>
  <si>
    <t>I-2365</t>
  </si>
  <si>
    <t>I-2366</t>
  </si>
  <si>
    <t>I-2367</t>
  </si>
  <si>
    <t>I-2368</t>
  </si>
  <si>
    <t>I-2369</t>
  </si>
  <si>
    <t>I-2370</t>
  </si>
  <si>
    <t>I-2371</t>
  </si>
  <si>
    <t>I-2372</t>
  </si>
  <si>
    <t>Paul Smith</t>
  </si>
  <si>
    <t>I-2373</t>
  </si>
  <si>
    <t>I-2374</t>
  </si>
  <si>
    <t>I-2375</t>
  </si>
  <si>
    <t>I-2376</t>
  </si>
  <si>
    <t>I-2377</t>
  </si>
  <si>
    <t>I-2378</t>
  </si>
  <si>
    <t>I-2379</t>
  </si>
  <si>
    <t>I-2380</t>
  </si>
  <si>
    <t>I-2381</t>
  </si>
  <si>
    <t>I-2382</t>
  </si>
  <si>
    <t>I-2383</t>
  </si>
  <si>
    <t>I-2384</t>
  </si>
  <si>
    <t>I-2385</t>
  </si>
  <si>
    <t>I-2386</t>
  </si>
  <si>
    <t>I-2387</t>
  </si>
  <si>
    <t>I-2388</t>
  </si>
  <si>
    <t>I-2389</t>
  </si>
  <si>
    <t>I-2390</t>
  </si>
  <si>
    <t>John Whitehead</t>
  </si>
  <si>
    <t>I-2391</t>
  </si>
  <si>
    <t>I-2392</t>
  </si>
  <si>
    <t>I-2393</t>
  </si>
  <si>
    <t>I-2394</t>
  </si>
  <si>
    <t>I-2395</t>
  </si>
  <si>
    <t>I-2396</t>
  </si>
  <si>
    <t>I-2397</t>
  </si>
  <si>
    <t>I-2398</t>
  </si>
  <si>
    <t>I-2399</t>
  </si>
  <si>
    <t>I-2400</t>
  </si>
  <si>
    <t>I-2401</t>
  </si>
  <si>
    <t>I-2402</t>
  </si>
  <si>
    <t>I-2403</t>
  </si>
  <si>
    <t>I-2404</t>
  </si>
  <si>
    <t>I-2405</t>
  </si>
  <si>
    <t>I-2406</t>
  </si>
  <si>
    <t>I-2407</t>
  </si>
  <si>
    <t>I-2408</t>
  </si>
  <si>
    <t>I-2409</t>
  </si>
  <si>
    <t>I-2410</t>
  </si>
  <si>
    <t>I-2411</t>
  </si>
  <si>
    <t>I-2412</t>
  </si>
  <si>
    <t>I-2413</t>
  </si>
  <si>
    <t>I-2414</t>
  </si>
  <si>
    <t>I-2415</t>
  </si>
  <si>
    <t>I-2416</t>
  </si>
  <si>
    <t>I-2417</t>
  </si>
  <si>
    <t>I-2418</t>
  </si>
  <si>
    <t>I-2419</t>
  </si>
  <si>
    <t>I-2420</t>
  </si>
  <si>
    <t>I-2421</t>
  </si>
  <si>
    <t>I-2422</t>
  </si>
  <si>
    <t>I-2423</t>
  </si>
  <si>
    <t>I-2424</t>
  </si>
  <si>
    <t>I-2425</t>
  </si>
  <si>
    <t>I-2426</t>
  </si>
  <si>
    <t>I-2427</t>
  </si>
  <si>
    <t>I-2428</t>
  </si>
  <si>
    <t>I-2429</t>
  </si>
  <si>
    <t>I-2430</t>
  </si>
  <si>
    <t>I-2431</t>
  </si>
  <si>
    <t>I-2432</t>
  </si>
  <si>
    <t>I-2433</t>
  </si>
  <si>
    <t>I-2434</t>
  </si>
  <si>
    <t>I-2435</t>
  </si>
  <si>
    <t>I-2436</t>
  </si>
  <si>
    <t>I-2437</t>
  </si>
  <si>
    <t>I-2438</t>
  </si>
  <si>
    <t>I-2439</t>
  </si>
  <si>
    <t>I-2440</t>
  </si>
  <si>
    <t>I-2441</t>
  </si>
  <si>
    <t>I-2442</t>
  </si>
  <si>
    <t>I-2443</t>
  </si>
  <si>
    <t>I-2444</t>
  </si>
  <si>
    <t>Kevin Ahmed</t>
  </si>
  <si>
    <t>I-2445</t>
  </si>
  <si>
    <t>I-2446</t>
  </si>
  <si>
    <t>I-2447</t>
  </si>
  <si>
    <t>I-2448</t>
  </si>
  <si>
    <t>I-2449</t>
  </si>
  <si>
    <t>I-2450</t>
  </si>
  <si>
    <t>I-2451</t>
  </si>
  <si>
    <t>I-2452</t>
  </si>
  <si>
    <t>I-2453</t>
  </si>
  <si>
    <t>I-2454</t>
  </si>
  <si>
    <t>I-2455</t>
  </si>
  <si>
    <t>I-2456</t>
  </si>
  <si>
    <t>I-2457</t>
  </si>
  <si>
    <t>I-2458</t>
  </si>
  <si>
    <t>I-2459</t>
  </si>
  <si>
    <t>I-2460</t>
  </si>
  <si>
    <t>I-2461</t>
  </si>
  <si>
    <t>I-2462</t>
  </si>
  <si>
    <t>I-2463</t>
  </si>
  <si>
    <t>I-2464</t>
  </si>
  <si>
    <t>I-2465</t>
  </si>
  <si>
    <t>I-2466</t>
  </si>
  <si>
    <t>I-2467</t>
  </si>
  <si>
    <t>I-2468</t>
  </si>
  <si>
    <t>I-2469</t>
  </si>
  <si>
    <t>I-2470</t>
  </si>
  <si>
    <t>I-2471</t>
  </si>
  <si>
    <t>I-2472</t>
  </si>
  <si>
    <t>I-2473</t>
  </si>
  <si>
    <t>I-2474</t>
  </si>
  <si>
    <t>I-2475</t>
  </si>
  <si>
    <t>I-2476</t>
  </si>
  <si>
    <t>I-2477</t>
  </si>
  <si>
    <t>I-2478</t>
  </si>
  <si>
    <t>I-2479</t>
  </si>
  <si>
    <t>I-2480</t>
  </si>
  <si>
    <t>I-2481</t>
  </si>
  <si>
    <t>I-2482</t>
  </si>
  <si>
    <t>I-2483</t>
  </si>
  <si>
    <t>I-2484</t>
  </si>
  <si>
    <t>I-2485</t>
  </si>
  <si>
    <t>I-2486</t>
  </si>
  <si>
    <t>I-2487</t>
  </si>
  <si>
    <t>I-2488</t>
  </si>
  <si>
    <t>I-2489</t>
  </si>
  <si>
    <t>I-2490</t>
  </si>
  <si>
    <t>I-2491</t>
  </si>
  <si>
    <t>I-2492</t>
  </si>
  <si>
    <t>I-2493</t>
  </si>
  <si>
    <t>I-2494</t>
  </si>
  <si>
    <t>I-2495</t>
  </si>
  <si>
    <t>I-2496</t>
  </si>
  <si>
    <t>I-2497</t>
  </si>
  <si>
    <t>I-2498</t>
  </si>
  <si>
    <t>I-2499</t>
  </si>
  <si>
    <t>I-2500</t>
  </si>
  <si>
    <t>I-2501</t>
  </si>
  <si>
    <t>I-2502</t>
  </si>
  <si>
    <t>I-2503</t>
  </si>
  <si>
    <t>I-2504</t>
  </si>
  <si>
    <t>I-2505</t>
  </si>
  <si>
    <t>I-2506</t>
  </si>
  <si>
    <t>I-2507</t>
  </si>
  <si>
    <t>I-2508</t>
  </si>
  <si>
    <t>I-2509</t>
  </si>
  <si>
    <t>I-2510</t>
  </si>
  <si>
    <t>I-2511</t>
  </si>
  <si>
    <t>I-2512</t>
  </si>
  <si>
    <t>I-2513</t>
  </si>
  <si>
    <t>I-2514</t>
  </si>
  <si>
    <t>I-2515</t>
  </si>
  <si>
    <t>I-2516</t>
  </si>
  <si>
    <t>I-2517</t>
  </si>
  <si>
    <t>I-2518</t>
  </si>
  <si>
    <t>I-2519</t>
  </si>
  <si>
    <t>I-2520</t>
  </si>
  <si>
    <t>I-2521</t>
  </si>
  <si>
    <t>I-2522</t>
  </si>
  <si>
    <t>I-2523</t>
  </si>
  <si>
    <t>I-2524</t>
  </si>
  <si>
    <t>I-2525</t>
  </si>
  <si>
    <t>I-2526</t>
  </si>
  <si>
    <t>I-2527</t>
  </si>
  <si>
    <t>I-2528</t>
  </si>
  <si>
    <t>I-2529</t>
  </si>
  <si>
    <t>I-2530</t>
  </si>
  <si>
    <t>I-2531</t>
  </si>
  <si>
    <t>I-2532</t>
  </si>
  <si>
    <t>I-2533</t>
  </si>
  <si>
    <t>I-2534</t>
  </si>
  <si>
    <t>I-2535</t>
  </si>
  <si>
    <t>Richard Batty</t>
  </si>
  <si>
    <t>I-2536</t>
  </si>
  <si>
    <t>I-2537</t>
  </si>
  <si>
    <t>I-2538</t>
  </si>
  <si>
    <t>I-2539</t>
  </si>
  <si>
    <t>I-2540</t>
  </si>
  <si>
    <t>I-2541</t>
  </si>
  <si>
    <t>I-2542</t>
  </si>
  <si>
    <t>I-2543</t>
  </si>
  <si>
    <t>I-2544</t>
  </si>
  <si>
    <t>I-2545</t>
  </si>
  <si>
    <t>I-2546</t>
  </si>
  <si>
    <t>I-2547</t>
  </si>
  <si>
    <t>I-2548</t>
  </si>
  <si>
    <t>I-2549</t>
  </si>
  <si>
    <t>I-2550</t>
  </si>
  <si>
    <t>I-2551</t>
  </si>
  <si>
    <t>I-2552</t>
  </si>
  <si>
    <t>I-2553</t>
  </si>
  <si>
    <t>I-2554</t>
  </si>
  <si>
    <t>I-2555</t>
  </si>
  <si>
    <t>I-2556</t>
  </si>
  <si>
    <t>I-2557</t>
  </si>
  <si>
    <t>I-2558</t>
  </si>
  <si>
    <t>I-2559</t>
  </si>
  <si>
    <t>I-2560</t>
  </si>
  <si>
    <t>I-2561</t>
  </si>
  <si>
    <t>I-2562</t>
  </si>
  <si>
    <t>I-2563</t>
  </si>
  <si>
    <t>I-2564</t>
  </si>
  <si>
    <t>Pauline Pluck</t>
  </si>
  <si>
    <t>I-2565</t>
  </si>
  <si>
    <t>I-2566</t>
  </si>
  <si>
    <t>I-2567</t>
  </si>
  <si>
    <t>I-2568</t>
  </si>
  <si>
    <t>I-2569</t>
  </si>
  <si>
    <t>I-2570</t>
  </si>
  <si>
    <t>I-2571</t>
  </si>
  <si>
    <t>I-2572</t>
  </si>
  <si>
    <t>I-2573</t>
  </si>
  <si>
    <t>I-2574</t>
  </si>
  <si>
    <t>I-2575</t>
  </si>
  <si>
    <t>I-2576</t>
  </si>
  <si>
    <t>I-2577</t>
  </si>
  <si>
    <t>I-2578</t>
  </si>
  <si>
    <t>I-2579</t>
  </si>
  <si>
    <t>I-2580</t>
  </si>
  <si>
    <t>I-2581</t>
  </si>
  <si>
    <t>I-2582</t>
  </si>
  <si>
    <t>I-2583</t>
  </si>
  <si>
    <t>I-2584</t>
  </si>
  <si>
    <t>I-2585</t>
  </si>
  <si>
    <t>I-2586</t>
  </si>
  <si>
    <t>I-2587</t>
  </si>
  <si>
    <t>I-2588</t>
  </si>
  <si>
    <t>I-2589</t>
  </si>
  <si>
    <t>I-2590</t>
  </si>
  <si>
    <t>I-2591</t>
  </si>
  <si>
    <t>I-2592</t>
  </si>
  <si>
    <t>I-2593</t>
  </si>
  <si>
    <t>I-2594</t>
  </si>
  <si>
    <t>I-2595</t>
  </si>
  <si>
    <t>Vancouver</t>
  </si>
  <si>
    <t>Ram Thomas</t>
  </si>
  <si>
    <t>I-2596</t>
  </si>
  <si>
    <t>I-2597</t>
  </si>
  <si>
    <t>I-2598</t>
  </si>
  <si>
    <t>I-2599</t>
  </si>
  <si>
    <t>I-2600</t>
  </si>
  <si>
    <t>I-2601</t>
  </si>
  <si>
    <t>I-2602</t>
  </si>
  <si>
    <t>I-2603</t>
  </si>
  <si>
    <t>I-2604</t>
  </si>
  <si>
    <t>I-2605</t>
  </si>
  <si>
    <t>I-2606</t>
  </si>
  <si>
    <t>Helen Kenny</t>
  </si>
  <si>
    <t>I-2607</t>
  </si>
  <si>
    <t>I-2608</t>
  </si>
  <si>
    <t>I-2609</t>
  </si>
  <si>
    <t>I-2610</t>
  </si>
  <si>
    <t>Tom Clark</t>
  </si>
  <si>
    <t>I-2611</t>
  </si>
  <si>
    <t>I-2612</t>
  </si>
  <si>
    <t>Rochester</t>
  </si>
  <si>
    <t>Michael Lauder</t>
  </si>
  <si>
    <t>I-2613</t>
  </si>
  <si>
    <t>I-2614</t>
  </si>
  <si>
    <t>I-2615</t>
  </si>
  <si>
    <t>I-2616</t>
  </si>
  <si>
    <t>I-2617</t>
  </si>
  <si>
    <t>I-2618</t>
  </si>
  <si>
    <t>I-2619</t>
  </si>
  <si>
    <t>I-2620</t>
  </si>
  <si>
    <t>Christopher Grey</t>
  </si>
  <si>
    <t>I-2621</t>
  </si>
  <si>
    <t>I-2622</t>
  </si>
  <si>
    <t>I-2623</t>
  </si>
  <si>
    <t>I-2624</t>
  </si>
  <si>
    <t>I-2625</t>
  </si>
  <si>
    <t>I-2626</t>
  </si>
  <si>
    <t>I-2627</t>
  </si>
  <si>
    <t>I-2628</t>
  </si>
  <si>
    <t>I-2629</t>
  </si>
  <si>
    <t>I-2630</t>
  </si>
  <si>
    <t>I-2631</t>
  </si>
  <si>
    <t>I-2632</t>
  </si>
  <si>
    <t>I-2633</t>
  </si>
  <si>
    <t>I-2634</t>
  </si>
  <si>
    <t>I-2635</t>
  </si>
  <si>
    <t>I-2636</t>
  </si>
  <si>
    <t>I-2637</t>
  </si>
  <si>
    <t>I-2638</t>
  </si>
  <si>
    <t>I-2639</t>
  </si>
  <si>
    <t>Margaret McGregor</t>
  </si>
  <si>
    <t>I-2640</t>
  </si>
  <si>
    <t>I-2641</t>
  </si>
  <si>
    <t>I-2642</t>
  </si>
  <si>
    <t>I-2643</t>
  </si>
  <si>
    <t>I-2644</t>
  </si>
  <si>
    <t>I-2645</t>
  </si>
  <si>
    <t>I-2646</t>
  </si>
  <si>
    <t>I-2647</t>
  </si>
  <si>
    <t>I-2648</t>
  </si>
  <si>
    <t>I-2649</t>
  </si>
  <si>
    <t>Pauline Gagg</t>
  </si>
  <si>
    <t>I-2650</t>
  </si>
  <si>
    <t>I-2651</t>
  </si>
  <si>
    <t>James Bard</t>
  </si>
  <si>
    <t>I-2652</t>
  </si>
  <si>
    <t>I-2653</t>
  </si>
  <si>
    <t>Christopher Kille</t>
  </si>
  <si>
    <t>I-2654</t>
  </si>
  <si>
    <t>I-2655</t>
  </si>
  <si>
    <t>I-2656</t>
  </si>
  <si>
    <t>I-2657</t>
  </si>
  <si>
    <t>Houston</t>
  </si>
  <si>
    <t>David Salmon</t>
  </si>
  <si>
    <t>I-2658</t>
  </si>
  <si>
    <t>I-2659</t>
  </si>
  <si>
    <t>I-2660</t>
  </si>
  <si>
    <t>I-2661</t>
  </si>
  <si>
    <t>I-2662</t>
  </si>
  <si>
    <t>I-2663</t>
  </si>
  <si>
    <t>I-2664</t>
  </si>
  <si>
    <t>I-2665</t>
  </si>
  <si>
    <t>I-2666</t>
  </si>
  <si>
    <t>I-2667</t>
  </si>
  <si>
    <t>I-2668</t>
  </si>
  <si>
    <t>I-2669</t>
  </si>
  <si>
    <t>I-2670</t>
  </si>
  <si>
    <t>I-2671</t>
  </si>
  <si>
    <t>I-2672</t>
  </si>
  <si>
    <t>I-2673</t>
  </si>
  <si>
    <t>I-2674</t>
  </si>
  <si>
    <t>I-2675</t>
  </si>
  <si>
    <t>I-2676</t>
  </si>
  <si>
    <t>I-2677</t>
  </si>
  <si>
    <t>I-2678</t>
  </si>
  <si>
    <t>I-2679</t>
  </si>
  <si>
    <t>I-2680</t>
  </si>
  <si>
    <t>I-2681</t>
  </si>
  <si>
    <t>I-2682</t>
  </si>
  <si>
    <t>I-2683</t>
  </si>
  <si>
    <t>I-2684</t>
  </si>
  <si>
    <t>I-2685</t>
  </si>
  <si>
    <t>I-2686</t>
  </si>
  <si>
    <t>I-2687</t>
  </si>
  <si>
    <t>I-2688</t>
  </si>
  <si>
    <t>I-2689</t>
  </si>
  <si>
    <t>I-2690</t>
  </si>
  <si>
    <t>I-2691</t>
  </si>
  <si>
    <t>I-2692</t>
  </si>
  <si>
    <t>I-2693</t>
  </si>
  <si>
    <t>Helen Deignan</t>
  </si>
  <si>
    <t>I-2694</t>
  </si>
  <si>
    <t>I-2695</t>
  </si>
  <si>
    <t>I-2696</t>
  </si>
  <si>
    <t>I-2697</t>
  </si>
  <si>
    <t>I-2698</t>
  </si>
  <si>
    <t>Rosemary Hatcher</t>
  </si>
  <si>
    <t>I-2699</t>
  </si>
  <si>
    <t>I-2700</t>
  </si>
  <si>
    <t>I-2701</t>
  </si>
  <si>
    <t>I-2702</t>
  </si>
  <si>
    <t>I-2703</t>
  </si>
  <si>
    <t>I-2704</t>
  </si>
  <si>
    <t>I-2705</t>
  </si>
  <si>
    <t>Russell Wood</t>
  </si>
  <si>
    <t>I-2706</t>
  </si>
  <si>
    <t>I-2707</t>
  </si>
  <si>
    <t>I-2708</t>
  </si>
  <si>
    <t>I-2709</t>
  </si>
  <si>
    <t>I-2710</t>
  </si>
  <si>
    <t>I-2711</t>
  </si>
  <si>
    <t>I-2712</t>
  </si>
  <si>
    <t>I-2713</t>
  </si>
  <si>
    <t>I-2714</t>
  </si>
  <si>
    <t>I-2715</t>
  </si>
  <si>
    <t>I-2716</t>
  </si>
  <si>
    <t>I-2717</t>
  </si>
  <si>
    <t>I-2718</t>
  </si>
  <si>
    <t>I-2719</t>
  </si>
  <si>
    <t>Rachel Snape</t>
  </si>
  <si>
    <t>I-2720</t>
  </si>
  <si>
    <t>I-2721</t>
  </si>
  <si>
    <t>I-2722</t>
  </si>
  <si>
    <t>I-2723</t>
  </si>
  <si>
    <t>I-2724</t>
  </si>
  <si>
    <t>I-2725</t>
  </si>
  <si>
    <t>I-2726</t>
  </si>
  <si>
    <t>I-2727</t>
  </si>
  <si>
    <t>I-2728</t>
  </si>
  <si>
    <t>I-2729</t>
  </si>
  <si>
    <t>I-2730</t>
  </si>
  <si>
    <t>I-2731</t>
  </si>
  <si>
    <t>I-2732</t>
  </si>
  <si>
    <t>I-2733</t>
  </si>
  <si>
    <t>I-2734</t>
  </si>
  <si>
    <t>I-2735</t>
  </si>
  <si>
    <t>I-2736</t>
  </si>
  <si>
    <t>I-2737</t>
  </si>
  <si>
    <t>Iftikhar Styles</t>
  </si>
  <si>
    <t>I-2738</t>
  </si>
  <si>
    <t>I-2739</t>
  </si>
  <si>
    <t>I-2740</t>
  </si>
  <si>
    <t>I-2741</t>
  </si>
  <si>
    <t>Douglas Bond</t>
  </si>
  <si>
    <t>I-2742</t>
  </si>
  <si>
    <t>Richard Clayton</t>
  </si>
  <si>
    <t>I-2743</t>
  </si>
  <si>
    <t>I-2744</t>
  </si>
  <si>
    <t>I-2745</t>
  </si>
  <si>
    <t>I-2746</t>
  </si>
  <si>
    <t>I-2747</t>
  </si>
  <si>
    <t>I-2748</t>
  </si>
  <si>
    <t>I-2749</t>
  </si>
  <si>
    <t>I-2750</t>
  </si>
  <si>
    <t>I-2751</t>
  </si>
  <si>
    <t>I-2752</t>
  </si>
  <si>
    <t>I-2753</t>
  </si>
  <si>
    <t>I-2754</t>
  </si>
  <si>
    <t>I-2755</t>
  </si>
  <si>
    <t>I-2756</t>
  </si>
  <si>
    <t>Stephen Brown</t>
  </si>
  <si>
    <t>I-2757</t>
  </si>
  <si>
    <t>I-2758</t>
  </si>
  <si>
    <t>I-2759</t>
  </si>
  <si>
    <t>I-2760</t>
  </si>
  <si>
    <t>I-2761</t>
  </si>
  <si>
    <t>I-2762</t>
  </si>
  <si>
    <t>I-2763</t>
  </si>
  <si>
    <t>I-2764</t>
  </si>
  <si>
    <t>I-2765</t>
  </si>
  <si>
    <t>I-2766</t>
  </si>
  <si>
    <t>I-2767</t>
  </si>
  <si>
    <t>Brian Clarke</t>
  </si>
  <si>
    <t>I-2768</t>
  </si>
  <si>
    <t>I-2769</t>
  </si>
  <si>
    <t>I-2770</t>
  </si>
  <si>
    <t>I-2771</t>
  </si>
  <si>
    <t>I-2772</t>
  </si>
  <si>
    <t>I-2773</t>
  </si>
  <si>
    <t>I-2774</t>
  </si>
  <si>
    <t>Savita Simpson</t>
  </si>
  <si>
    <t>I-2775</t>
  </si>
  <si>
    <t>I-2776</t>
  </si>
  <si>
    <t>I-2777</t>
  </si>
  <si>
    <t>I-2778</t>
  </si>
  <si>
    <t>I-2779</t>
  </si>
  <si>
    <t>I-2780</t>
  </si>
  <si>
    <t>Paul Martin</t>
  </si>
  <si>
    <t>I-2781</t>
  </si>
  <si>
    <t>I-2782</t>
  </si>
  <si>
    <t>I-2783</t>
  </si>
  <si>
    <t>I-2784</t>
  </si>
  <si>
    <t>I-2785</t>
  </si>
  <si>
    <t>I-2786</t>
  </si>
  <si>
    <t>I-2787</t>
  </si>
  <si>
    <t>Paul Faulkner</t>
  </si>
  <si>
    <t>I-2788</t>
  </si>
  <si>
    <t>I-2789</t>
  </si>
  <si>
    <t>I-2790</t>
  </si>
  <si>
    <t>I-2791</t>
  </si>
  <si>
    <t>I-2792</t>
  </si>
  <si>
    <t>I-2793</t>
  </si>
  <si>
    <t>I-2794</t>
  </si>
  <si>
    <t>I-2795</t>
  </si>
  <si>
    <t>I-2796</t>
  </si>
  <si>
    <t>I-2797</t>
  </si>
  <si>
    <t>I-2798</t>
  </si>
  <si>
    <t>I-2799</t>
  </si>
  <si>
    <t>I-2800</t>
  </si>
  <si>
    <t>I-2801</t>
  </si>
  <si>
    <t>I-2802</t>
  </si>
  <si>
    <t>I-2803</t>
  </si>
  <si>
    <t>I-2804</t>
  </si>
  <si>
    <t>I-2805</t>
  </si>
  <si>
    <t>I-2806</t>
  </si>
  <si>
    <t>I-2807</t>
  </si>
  <si>
    <t>I-2808</t>
  </si>
  <si>
    <t>I-2809</t>
  </si>
  <si>
    <t>I-2810</t>
  </si>
  <si>
    <t>I-2811</t>
  </si>
  <si>
    <t>I-2812</t>
  </si>
  <si>
    <t>I-2813</t>
  </si>
  <si>
    <t>I-2814</t>
  </si>
  <si>
    <t>I-2815</t>
  </si>
  <si>
    <t>I-2816</t>
  </si>
  <si>
    <t>I-2817</t>
  </si>
  <si>
    <t>I-2818</t>
  </si>
  <si>
    <t>I-2819</t>
  </si>
  <si>
    <t>I-2820</t>
  </si>
  <si>
    <t>I-2821</t>
  </si>
  <si>
    <t>I-2822</t>
  </si>
  <si>
    <t>Jeremy Percival</t>
  </si>
  <si>
    <t>I-2823</t>
  </si>
  <si>
    <t>I-2824</t>
  </si>
  <si>
    <t>Timothy Fraser</t>
  </si>
  <si>
    <t>I-2825</t>
  </si>
  <si>
    <t>I-2826</t>
  </si>
  <si>
    <t>I-2827</t>
  </si>
  <si>
    <t>I-2828</t>
  </si>
  <si>
    <t>I-2829</t>
  </si>
  <si>
    <t>I-2830</t>
  </si>
  <si>
    <t>I-2831</t>
  </si>
  <si>
    <t>I-2832</t>
  </si>
  <si>
    <t>I-2833</t>
  </si>
  <si>
    <t>I-2834</t>
  </si>
  <si>
    <t>I-2835</t>
  </si>
  <si>
    <t>I-2836</t>
  </si>
  <si>
    <t>I-2837</t>
  </si>
  <si>
    <t>Sophie Petersen</t>
  </si>
  <si>
    <t>I-2838</t>
  </si>
  <si>
    <t>I-2839</t>
  </si>
  <si>
    <t>Peter Carley</t>
  </si>
  <si>
    <t>I-2840</t>
  </si>
  <si>
    <t>I-2841</t>
  </si>
  <si>
    <t>I-2842</t>
  </si>
  <si>
    <t>I-2843</t>
  </si>
  <si>
    <t>I-2844</t>
  </si>
  <si>
    <t>I-2845</t>
  </si>
  <si>
    <t>I-2846</t>
  </si>
  <si>
    <t>I-2847</t>
  </si>
  <si>
    <t>I-2848</t>
  </si>
  <si>
    <t>I-2849</t>
  </si>
  <si>
    <t>I-2850</t>
  </si>
  <si>
    <t>I-2851</t>
  </si>
  <si>
    <t>I-2852</t>
  </si>
  <si>
    <t>I-2853</t>
  </si>
  <si>
    <t>Elaine Ricketts</t>
  </si>
  <si>
    <t>I-2854</t>
  </si>
  <si>
    <t>I-2855</t>
  </si>
  <si>
    <t>I-2856</t>
  </si>
  <si>
    <t>I-2857</t>
  </si>
  <si>
    <t>I-2858</t>
  </si>
  <si>
    <t>I-2859</t>
  </si>
  <si>
    <t>I-2860</t>
  </si>
  <si>
    <t>I-2861</t>
  </si>
  <si>
    <t>I-2862</t>
  </si>
  <si>
    <t>I-2863</t>
  </si>
  <si>
    <t>I-2864</t>
  </si>
  <si>
    <t>Andi Liu</t>
  </si>
  <si>
    <t>I-2865</t>
  </si>
  <si>
    <t>I-2866</t>
  </si>
  <si>
    <t>I-2867</t>
  </si>
  <si>
    <t>I-2868</t>
  </si>
  <si>
    <t>I-2869</t>
  </si>
  <si>
    <t>I-2870</t>
  </si>
  <si>
    <t>I-2871</t>
  </si>
  <si>
    <t>I-2872</t>
  </si>
  <si>
    <t>I-2873</t>
  </si>
  <si>
    <t>I-2874</t>
  </si>
  <si>
    <t>I-2875</t>
  </si>
  <si>
    <t>I-2876</t>
  </si>
  <si>
    <t>I-2877</t>
  </si>
  <si>
    <t>I-2878</t>
  </si>
  <si>
    <t>I-2879</t>
  </si>
  <si>
    <t>I-2880</t>
  </si>
  <si>
    <t>Alison Hallows</t>
  </si>
  <si>
    <t>I-2881</t>
  </si>
  <si>
    <t>I-2882</t>
  </si>
  <si>
    <t>I-2883</t>
  </si>
  <si>
    <t>I-2884</t>
  </si>
  <si>
    <t>I-2885</t>
  </si>
  <si>
    <t>I-2886</t>
  </si>
  <si>
    <t>I-2887</t>
  </si>
  <si>
    <t>I-2888</t>
  </si>
  <si>
    <t>I-2889</t>
  </si>
  <si>
    <t>Barbara Langdon</t>
  </si>
  <si>
    <t>I-2890</t>
  </si>
  <si>
    <t>I-2891</t>
  </si>
  <si>
    <t>I-2892</t>
  </si>
  <si>
    <t>I-2893</t>
  </si>
  <si>
    <t>I-2894</t>
  </si>
  <si>
    <t>I-2895</t>
  </si>
  <si>
    <t>I-2896</t>
  </si>
  <si>
    <t>I-2897</t>
  </si>
  <si>
    <t>I-2898</t>
  </si>
  <si>
    <t>I-2899</t>
  </si>
  <si>
    <t>I-2900</t>
  </si>
  <si>
    <t>I-2901</t>
  </si>
  <si>
    <t>I-2902</t>
  </si>
  <si>
    <t>I-2903</t>
  </si>
  <si>
    <t>I-2904</t>
  </si>
  <si>
    <t>I-2905</t>
  </si>
  <si>
    <t>I-2906</t>
  </si>
  <si>
    <t>I-2907</t>
  </si>
  <si>
    <t>I-2908</t>
  </si>
  <si>
    <t>I-2909</t>
  </si>
  <si>
    <t>I-2910</t>
  </si>
  <si>
    <t>I-2911</t>
  </si>
  <si>
    <t>I-2912</t>
  </si>
  <si>
    <t>I-2913</t>
  </si>
  <si>
    <t>I-2914</t>
  </si>
  <si>
    <t>I-2915</t>
  </si>
  <si>
    <t>I-2916</t>
  </si>
  <si>
    <t>I-2917</t>
  </si>
  <si>
    <t>I-2918</t>
  </si>
  <si>
    <t>I-2919</t>
  </si>
  <si>
    <t>I-2920</t>
  </si>
  <si>
    <t>I-2921</t>
  </si>
  <si>
    <t>I-2922</t>
  </si>
  <si>
    <t>I-2923</t>
  </si>
  <si>
    <t>I-2924</t>
  </si>
  <si>
    <t>I-2925</t>
  </si>
  <si>
    <t>I-2926</t>
  </si>
  <si>
    <t>I-2927</t>
  </si>
  <si>
    <t>I-2928</t>
  </si>
  <si>
    <t>I-2929</t>
  </si>
  <si>
    <t>I-2930</t>
  </si>
  <si>
    <t>I-2931</t>
  </si>
  <si>
    <t>I-2932</t>
  </si>
  <si>
    <t>I-2933</t>
  </si>
  <si>
    <t>I-2934</t>
  </si>
  <si>
    <t>I-2935</t>
  </si>
  <si>
    <t>I-2936</t>
  </si>
  <si>
    <t>I-2937</t>
  </si>
  <si>
    <t>I-2938</t>
  </si>
  <si>
    <t>I-2939</t>
  </si>
  <si>
    <t>I-2940</t>
  </si>
  <si>
    <t>I-2941</t>
  </si>
  <si>
    <t>I-2942</t>
  </si>
  <si>
    <t>I-2943</t>
  </si>
  <si>
    <t>I-2944</t>
  </si>
  <si>
    <t>I-2945</t>
  </si>
  <si>
    <t>I-2946</t>
  </si>
  <si>
    <t>I-2947</t>
  </si>
  <si>
    <t>I-2948</t>
  </si>
  <si>
    <t>I-2949</t>
  </si>
  <si>
    <t>I-2950</t>
  </si>
  <si>
    <t>I-2951</t>
  </si>
  <si>
    <t>I-2952</t>
  </si>
  <si>
    <t>I-2953</t>
  </si>
  <si>
    <t>I-2954</t>
  </si>
  <si>
    <t>I-2955</t>
  </si>
  <si>
    <t>I-2956</t>
  </si>
  <si>
    <t>I-2957</t>
  </si>
  <si>
    <t>I-2958</t>
  </si>
  <si>
    <t>I-2959</t>
  </si>
  <si>
    <t>Sharon Hubble</t>
  </si>
  <si>
    <t>I-2960</t>
  </si>
  <si>
    <t>I-2961</t>
  </si>
  <si>
    <t>I-2962</t>
  </si>
  <si>
    <t>I-2963</t>
  </si>
  <si>
    <t>Rita Schaffer</t>
  </si>
  <si>
    <t>I-2964</t>
  </si>
  <si>
    <t>I-2965</t>
  </si>
  <si>
    <t>I-2966</t>
  </si>
  <si>
    <t>I-2967</t>
  </si>
  <si>
    <t>I-2968</t>
  </si>
  <si>
    <t>I-2969</t>
  </si>
  <si>
    <t>I-2970</t>
  </si>
  <si>
    <t>I-2971</t>
  </si>
  <si>
    <t>I-2972</t>
  </si>
  <si>
    <t>I-2973</t>
  </si>
  <si>
    <t>I-2974</t>
  </si>
  <si>
    <t>I-2975</t>
  </si>
  <si>
    <t>I-2976</t>
  </si>
  <si>
    <t>I-2977</t>
  </si>
  <si>
    <t>I-2978</t>
  </si>
  <si>
    <t>I-2979</t>
  </si>
  <si>
    <t>I-2980</t>
  </si>
  <si>
    <t>I-2981</t>
  </si>
  <si>
    <t>I-2982</t>
  </si>
  <si>
    <t>I-2983</t>
  </si>
  <si>
    <t>I-2984</t>
  </si>
  <si>
    <t>I-2985</t>
  </si>
  <si>
    <t>I-2986</t>
  </si>
  <si>
    <t>I-2987</t>
  </si>
  <si>
    <t>I-2988</t>
  </si>
  <si>
    <t>I-2989</t>
  </si>
  <si>
    <t>I-2990</t>
  </si>
  <si>
    <t>I-2991</t>
  </si>
  <si>
    <t>I-2992</t>
  </si>
  <si>
    <t>I-2993</t>
  </si>
  <si>
    <t>I-2994</t>
  </si>
  <si>
    <t>I-2995</t>
  </si>
  <si>
    <t>I-2996</t>
  </si>
  <si>
    <t>I-2997</t>
  </si>
  <si>
    <t>I-2998</t>
  </si>
  <si>
    <t>I-2999</t>
  </si>
  <si>
    <t>I-3000</t>
  </si>
  <si>
    <t>I-3001</t>
  </si>
  <si>
    <t>I-3002</t>
  </si>
  <si>
    <t>I-3003</t>
  </si>
  <si>
    <t>I-3004</t>
  </si>
  <si>
    <t>I-3005</t>
  </si>
  <si>
    <t>I-3006</t>
  </si>
  <si>
    <t>I-3007</t>
  </si>
  <si>
    <t>I-3008</t>
  </si>
  <si>
    <t>I-3009</t>
  </si>
  <si>
    <t>I-3010</t>
  </si>
  <si>
    <t>I-3011</t>
  </si>
  <si>
    <t>I-3012</t>
  </si>
  <si>
    <t>I-3013</t>
  </si>
  <si>
    <t>I-3014</t>
  </si>
  <si>
    <t>I-3015</t>
  </si>
  <si>
    <t>I-3016</t>
  </si>
  <si>
    <t>I-3017</t>
  </si>
  <si>
    <t>I-3018</t>
  </si>
  <si>
    <t>I-3019</t>
  </si>
  <si>
    <t>I-3020</t>
  </si>
  <si>
    <t>I-3021</t>
  </si>
  <si>
    <t>I-3022</t>
  </si>
  <si>
    <t>I-3023</t>
  </si>
  <si>
    <t>I-3024</t>
  </si>
  <si>
    <t>I-3025</t>
  </si>
  <si>
    <t>I-3026</t>
  </si>
  <si>
    <t>I-3027</t>
  </si>
  <si>
    <t>I-3028</t>
  </si>
  <si>
    <t>Richard Bard</t>
  </si>
  <si>
    <t>I-3029</t>
  </si>
  <si>
    <t>I-3030</t>
  </si>
  <si>
    <t>I-3031</t>
  </si>
  <si>
    <t>I-3032</t>
  </si>
  <si>
    <t>I-3033</t>
  </si>
  <si>
    <t>I-3034</t>
  </si>
  <si>
    <t>I-3035</t>
  </si>
  <si>
    <t>I-3036</t>
  </si>
  <si>
    <t>I-3037</t>
  </si>
  <si>
    <t>I-3038</t>
  </si>
  <si>
    <t>I-3039</t>
  </si>
  <si>
    <t>I-3040</t>
  </si>
  <si>
    <t>I-3041</t>
  </si>
  <si>
    <t>I-3042</t>
  </si>
  <si>
    <t>I-3043</t>
  </si>
  <si>
    <t>I-3044</t>
  </si>
  <si>
    <t>I-3045</t>
  </si>
  <si>
    <t>I-3046</t>
  </si>
  <si>
    <t>I-3047</t>
  </si>
  <si>
    <t>I-3048</t>
  </si>
  <si>
    <t>I-3049</t>
  </si>
  <si>
    <t>I-3050</t>
  </si>
  <si>
    <t>John Ali</t>
  </si>
  <si>
    <t>I-3051</t>
  </si>
  <si>
    <t>I-3052</t>
  </si>
  <si>
    <t>I-3053</t>
  </si>
  <si>
    <t>I-3054</t>
  </si>
  <si>
    <t>I-3055</t>
  </si>
  <si>
    <t>Maxine Stockdale</t>
  </si>
  <si>
    <t>I-3056</t>
  </si>
  <si>
    <t>I-3057</t>
  </si>
  <si>
    <t>I-3058</t>
  </si>
  <si>
    <t>I-3059</t>
  </si>
  <si>
    <t>I-3060</t>
  </si>
  <si>
    <t>I-3061</t>
  </si>
  <si>
    <t>I-3062</t>
  </si>
  <si>
    <t>I-3063</t>
  </si>
  <si>
    <t>I-3064</t>
  </si>
  <si>
    <t>I-3065</t>
  </si>
  <si>
    <t>I-3066</t>
  </si>
  <si>
    <t>I-3067</t>
  </si>
  <si>
    <t>I-3068</t>
  </si>
  <si>
    <t>I-3069</t>
  </si>
  <si>
    <t>I-3070</t>
  </si>
  <si>
    <t>I-3071</t>
  </si>
  <si>
    <t>I-3072</t>
  </si>
  <si>
    <t>I-3073</t>
  </si>
  <si>
    <t>I-3074</t>
  </si>
  <si>
    <t>I-3075</t>
  </si>
  <si>
    <t>I-3076</t>
  </si>
  <si>
    <t>I-3077</t>
  </si>
  <si>
    <t>I-3078</t>
  </si>
  <si>
    <t>I-3079</t>
  </si>
  <si>
    <t>I-3080</t>
  </si>
  <si>
    <t>I-3081</t>
  </si>
  <si>
    <t>I-3082</t>
  </si>
  <si>
    <t>I-3083</t>
  </si>
  <si>
    <t>I-3084</t>
  </si>
  <si>
    <t>I-3085</t>
  </si>
  <si>
    <t>I-3086</t>
  </si>
  <si>
    <t>I-3087</t>
  </si>
  <si>
    <t>I-3088</t>
  </si>
  <si>
    <t>I-3089</t>
  </si>
  <si>
    <t>I-3090</t>
  </si>
  <si>
    <t>I-3091</t>
  </si>
  <si>
    <t>I-3092</t>
  </si>
  <si>
    <t>I-3093</t>
  </si>
  <si>
    <t>I-3094</t>
  </si>
  <si>
    <t>I-3095</t>
  </si>
  <si>
    <t>I-3096</t>
  </si>
  <si>
    <t>I-3097</t>
  </si>
  <si>
    <t>I-3098</t>
  </si>
  <si>
    <t>I-3099</t>
  </si>
  <si>
    <t>I-3100</t>
  </si>
  <si>
    <t>I-3101</t>
  </si>
  <si>
    <t>I-3102</t>
  </si>
  <si>
    <t>I-3103</t>
  </si>
  <si>
    <t>I-3104</t>
  </si>
  <si>
    <t>I-3105</t>
  </si>
  <si>
    <t>I-3106</t>
  </si>
  <si>
    <t>I-3107</t>
  </si>
  <si>
    <t>I-3108</t>
  </si>
  <si>
    <t>I-3109</t>
  </si>
  <si>
    <t>I-3110</t>
  </si>
  <si>
    <t>I-3111</t>
  </si>
  <si>
    <t>I-3112</t>
  </si>
  <si>
    <t>I-3113</t>
  </si>
  <si>
    <t>I-3114</t>
  </si>
  <si>
    <t>I-3115</t>
  </si>
  <si>
    <t>I-3116</t>
  </si>
  <si>
    <t>I-3117</t>
  </si>
  <si>
    <t>I-3118</t>
  </si>
  <si>
    <t>I-3119</t>
  </si>
  <si>
    <t>I-3120</t>
  </si>
  <si>
    <t>I-3121</t>
  </si>
  <si>
    <t>I-3122</t>
  </si>
  <si>
    <t>I-3123</t>
  </si>
  <si>
    <t>I-3124</t>
  </si>
  <si>
    <t>I-3125</t>
  </si>
  <si>
    <t>I-3126</t>
  </si>
  <si>
    <t>I-3127</t>
  </si>
  <si>
    <t>I-3128</t>
  </si>
  <si>
    <t>I-3129</t>
  </si>
  <si>
    <t>I-3130</t>
  </si>
  <si>
    <t>I-3131</t>
  </si>
  <si>
    <t>I-3132</t>
  </si>
  <si>
    <t>I-3133</t>
  </si>
  <si>
    <t>I-3134</t>
  </si>
  <si>
    <t>I-3135</t>
  </si>
  <si>
    <t>I-3136</t>
  </si>
  <si>
    <t>I-3137</t>
  </si>
  <si>
    <t>I-3138</t>
  </si>
  <si>
    <t>I-3139</t>
  </si>
  <si>
    <t>I-3140</t>
  </si>
  <si>
    <t>I-3141</t>
  </si>
  <si>
    <t>I-3142</t>
  </si>
  <si>
    <t>I-3143</t>
  </si>
  <si>
    <t>I-3144</t>
  </si>
  <si>
    <t>I-3145</t>
  </si>
  <si>
    <t>I-3146</t>
  </si>
  <si>
    <t>I-3147</t>
  </si>
  <si>
    <t>I-3148</t>
  </si>
  <si>
    <t>I-3149</t>
  </si>
  <si>
    <t>I-3150</t>
  </si>
  <si>
    <t>I-3151</t>
  </si>
  <si>
    <t>I-3152</t>
  </si>
  <si>
    <t>I-3153</t>
  </si>
  <si>
    <t>I-3154</t>
  </si>
  <si>
    <t>I-3155</t>
  </si>
  <si>
    <t>I-3156</t>
  </si>
  <si>
    <t>I-3157</t>
  </si>
  <si>
    <t>I-3158</t>
  </si>
  <si>
    <t>I-3159</t>
  </si>
  <si>
    <t>I-3160</t>
  </si>
  <si>
    <t>I-3161</t>
  </si>
  <si>
    <t>I-3162</t>
  </si>
  <si>
    <t>I-3163</t>
  </si>
  <si>
    <t>Glenys Muhammad</t>
  </si>
  <si>
    <t>I-3164</t>
  </si>
  <si>
    <t>I-3165</t>
  </si>
  <si>
    <t>I-3166</t>
  </si>
  <si>
    <t>I-3167</t>
  </si>
  <si>
    <t>I-3168</t>
  </si>
  <si>
    <t>I-3169</t>
  </si>
  <si>
    <t>I-3170</t>
  </si>
  <si>
    <t>I-3171</t>
  </si>
  <si>
    <t>I-3172</t>
  </si>
  <si>
    <t>I-3173</t>
  </si>
  <si>
    <t>I-3174</t>
  </si>
  <si>
    <t>Christine Rowe</t>
  </si>
  <si>
    <t>I-3175</t>
  </si>
  <si>
    <t>I-3176</t>
  </si>
  <si>
    <t>I-3177</t>
  </si>
  <si>
    <t>I-3178</t>
  </si>
  <si>
    <t>I-3179</t>
  </si>
  <si>
    <t>I-3180</t>
  </si>
  <si>
    <t>I-3181</t>
  </si>
  <si>
    <t>I-3182</t>
  </si>
  <si>
    <t>I-3183</t>
  </si>
  <si>
    <t>I-3184</t>
  </si>
  <si>
    <t>I-3185</t>
  </si>
  <si>
    <t>I-3186</t>
  </si>
  <si>
    <t>I-3187</t>
  </si>
  <si>
    <t>I-3188</t>
  </si>
  <si>
    <t>I-3189</t>
  </si>
  <si>
    <t>I-3190</t>
  </si>
  <si>
    <t>I-3191</t>
  </si>
  <si>
    <t>I-3192</t>
  </si>
  <si>
    <t>I-3193</t>
  </si>
  <si>
    <t>I-3194</t>
  </si>
  <si>
    <t>I-3195</t>
  </si>
  <si>
    <t>I-3196</t>
  </si>
  <si>
    <t>I-3197</t>
  </si>
  <si>
    <t>I-3198</t>
  </si>
  <si>
    <t>I-3199</t>
  </si>
  <si>
    <t>I-3200</t>
  </si>
  <si>
    <t>I-3201</t>
  </si>
  <si>
    <t>I-3202</t>
  </si>
  <si>
    <t>I-3203</t>
  </si>
  <si>
    <t>I-3204</t>
  </si>
  <si>
    <t>I-3205</t>
  </si>
  <si>
    <t>I-3206</t>
  </si>
  <si>
    <t>I-3207</t>
  </si>
  <si>
    <t>I-3208</t>
  </si>
  <si>
    <t>I-3209</t>
  </si>
  <si>
    <t>I-3210</t>
  </si>
  <si>
    <t>I-3211</t>
  </si>
  <si>
    <t>I-3212</t>
  </si>
  <si>
    <t>I-3213</t>
  </si>
  <si>
    <t>I-3214</t>
  </si>
  <si>
    <t>I-3215</t>
  </si>
  <si>
    <t>I-3216</t>
  </si>
  <si>
    <t>I-3217</t>
  </si>
  <si>
    <t>I-3218</t>
  </si>
  <si>
    <t>I-3219</t>
  </si>
  <si>
    <t>I-3220</t>
  </si>
  <si>
    <t>I-3221</t>
  </si>
  <si>
    <t>I-3222</t>
  </si>
  <si>
    <t>I-3223</t>
  </si>
  <si>
    <t>I-3224</t>
  </si>
  <si>
    <t>I-3225</t>
  </si>
  <si>
    <t>I-3226</t>
  </si>
  <si>
    <t>I-3227</t>
  </si>
  <si>
    <t>Julie Pope</t>
  </si>
  <si>
    <t>I-3228</t>
  </si>
  <si>
    <t>I-3229</t>
  </si>
  <si>
    <t>I-3230</t>
  </si>
  <si>
    <t>I-3231</t>
  </si>
  <si>
    <t>I-3232</t>
  </si>
  <si>
    <t>I-3233</t>
  </si>
  <si>
    <t>I-3234</t>
  </si>
  <si>
    <t>I-3235</t>
  </si>
  <si>
    <t>I-3236</t>
  </si>
  <si>
    <t>I-3237</t>
  </si>
  <si>
    <t>I-3238</t>
  </si>
  <si>
    <t>Mark Evans</t>
  </si>
  <si>
    <t>I-3239</t>
  </si>
  <si>
    <t>I-3240</t>
  </si>
  <si>
    <t>I-3241</t>
  </si>
  <si>
    <t>I-3242</t>
  </si>
  <si>
    <t>I-3243</t>
  </si>
  <si>
    <t>I-3244</t>
  </si>
  <si>
    <t>I-3245</t>
  </si>
  <si>
    <t>I-3246</t>
  </si>
  <si>
    <t>I-3247</t>
  </si>
  <si>
    <t>I-3248</t>
  </si>
  <si>
    <t>I-3249</t>
  </si>
  <si>
    <t>I-3250</t>
  </si>
  <si>
    <t>I-3251</t>
  </si>
  <si>
    <t>I-3252</t>
  </si>
  <si>
    <t>I-3253</t>
  </si>
  <si>
    <t>I-3254</t>
  </si>
  <si>
    <t>I-3255</t>
  </si>
  <si>
    <t>I-3256</t>
  </si>
  <si>
    <t>I-3257</t>
  </si>
  <si>
    <t>I-3258</t>
  </si>
  <si>
    <t>I-3259</t>
  </si>
  <si>
    <t>I-3260</t>
  </si>
  <si>
    <t>I-3261</t>
  </si>
  <si>
    <t>I-3262</t>
  </si>
  <si>
    <t>I-3263</t>
  </si>
  <si>
    <t>I-3264</t>
  </si>
  <si>
    <t>I-3265</t>
  </si>
  <si>
    <t>I-3266</t>
  </si>
  <si>
    <t>Steven Roberts</t>
  </si>
  <si>
    <t>I-3267</t>
  </si>
  <si>
    <t>I-3268</t>
  </si>
  <si>
    <t>I-3269</t>
  </si>
  <si>
    <t>I-3270</t>
  </si>
  <si>
    <t>I-3271</t>
  </si>
  <si>
    <t>I-3272</t>
  </si>
  <si>
    <t>I-3273</t>
  </si>
  <si>
    <t>I-3274</t>
  </si>
  <si>
    <t>I-3275</t>
  </si>
  <si>
    <t>I-3276</t>
  </si>
  <si>
    <t>I-3277</t>
  </si>
  <si>
    <t>I-3278</t>
  </si>
  <si>
    <t>I-3279</t>
  </si>
  <si>
    <t>I-3280</t>
  </si>
  <si>
    <t>I-3281</t>
  </si>
  <si>
    <t>I-3282</t>
  </si>
  <si>
    <t>I-3283</t>
  </si>
  <si>
    <t>I-3284</t>
  </si>
  <si>
    <t>I-3285</t>
  </si>
  <si>
    <t>I-3286</t>
  </si>
  <si>
    <t>I-3287</t>
  </si>
  <si>
    <t>I-3288</t>
  </si>
  <si>
    <t>I-3289</t>
  </si>
  <si>
    <t>I-3290</t>
  </si>
  <si>
    <t>I-3291</t>
  </si>
  <si>
    <t>I-3292</t>
  </si>
  <si>
    <t>I-3293</t>
  </si>
  <si>
    <t>I-3294</t>
  </si>
  <si>
    <t>I-3295</t>
  </si>
  <si>
    <t>I-3296</t>
  </si>
  <si>
    <t>I-3297</t>
  </si>
  <si>
    <t>I-3298</t>
  </si>
  <si>
    <t>I-3299</t>
  </si>
  <si>
    <t>I-3300</t>
  </si>
  <si>
    <t>I-3301</t>
  </si>
  <si>
    <t>I-3302</t>
  </si>
  <si>
    <t>I-3303</t>
  </si>
  <si>
    <t>I-3304</t>
  </si>
  <si>
    <t>I-3305</t>
  </si>
  <si>
    <t>I-3306</t>
  </si>
  <si>
    <t>Frank Cowden</t>
  </si>
  <si>
    <t>I-3307</t>
  </si>
  <si>
    <t>I-3308</t>
  </si>
  <si>
    <t>John Gibb</t>
  </si>
  <si>
    <t>I-3309</t>
  </si>
  <si>
    <t>I-3310</t>
  </si>
  <si>
    <t>I-3311</t>
  </si>
  <si>
    <t>I-3312</t>
  </si>
  <si>
    <t>I-3313</t>
  </si>
  <si>
    <t>I-3314</t>
  </si>
  <si>
    <t>I-3315</t>
  </si>
  <si>
    <t>I-3316</t>
  </si>
  <si>
    <t>Alexandra Mukherjee</t>
  </si>
  <si>
    <t>I-3317</t>
  </si>
  <si>
    <t>I-3318</t>
  </si>
  <si>
    <t>I-3319</t>
  </si>
  <si>
    <t>I-3320</t>
  </si>
  <si>
    <t>I-3321</t>
  </si>
  <si>
    <t>I-3322</t>
  </si>
  <si>
    <t>I-3323</t>
  </si>
  <si>
    <t>I-3324</t>
  </si>
  <si>
    <t>I-3325</t>
  </si>
  <si>
    <t>I-3326</t>
  </si>
  <si>
    <t>I-3327</t>
  </si>
  <si>
    <t>I-3328</t>
  </si>
  <si>
    <t>I-3329</t>
  </si>
  <si>
    <t>I-3330</t>
  </si>
  <si>
    <t>I-3331</t>
  </si>
  <si>
    <t>I-3332</t>
  </si>
  <si>
    <t>I-3333</t>
  </si>
  <si>
    <t>I-3334</t>
  </si>
  <si>
    <t>I-3335</t>
  </si>
  <si>
    <t>I-3336</t>
  </si>
  <si>
    <t>I-3337</t>
  </si>
  <si>
    <t>I-3338</t>
  </si>
  <si>
    <t>I-3339</t>
  </si>
  <si>
    <t>Discount Amount</t>
  </si>
  <si>
    <t xml:space="preserve">Net Revenue </t>
  </si>
  <si>
    <t>Month</t>
  </si>
  <si>
    <t>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</si>
</sst>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0" fontId="1" fillId="0" borderId="0" xfId="0" applyNumberFormat="1" applyFont="1"/>
    <xf numFmtId="0" fontId="1" fillId="0" borderId="0" xfId="0" applyFont="1" applyAlignment="1">
      <alignment horizontal="center"/>
    </xf>
    <xf numFmtId="0" fontId="0" fillId="0" borderId="0" xfId="0" applyAlignment="1">
      <alignment horizontal="center"/>
    </xf>
    <xf numFmtId="164" fontId="1" fillId="0" borderId="0" xfId="0" applyNumberFormat="1" applyFont="1"/>
    <xf numFmtId="164" fontId="0" fillId="0" borderId="0" xfId="0" applyNumberFormat="1" applyAlignment="1">
      <alignment horizontal="right"/>
    </xf>
    <xf numFmtId="164" fontId="1" fillId="0" borderId="0" xfId="0" applyNumberFormat="1" applyFont="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pivotTable" Target="pivotTables/pivotTabl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sharedStrings" Target="sharedStrings.xml"/><Relationship Id="rId28" Type="http://schemas.openxmlformats.org/officeDocument/2006/relationships/customXml" Target="../customXml/item3.xml"/><Relationship Id="rId10" Type="http://schemas.microsoft.com/office/2007/relationships/slicerCache" Target="slicerCaches/slicerCache4.xml"/><Relationship Id="rId19" Type="http://schemas.openxmlformats.org/officeDocument/2006/relationships/pivotTable" Target="pivotTables/pivotTable2.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5"/>
              <c:pt idx="0">
                <c:v>Argentina</c:v>
              </c:pt>
              <c:pt idx="1">
                <c:v>Australia</c:v>
              </c:pt>
              <c:pt idx="2">
                <c:v>Austria</c:v>
              </c:pt>
              <c:pt idx="3">
                <c:v>Brazil</c:v>
              </c:pt>
              <c:pt idx="4">
                <c:v>Canada</c:v>
              </c:pt>
              <c:pt idx="5">
                <c:v>Chile</c:v>
              </c:pt>
              <c:pt idx="6">
                <c:v>China</c:v>
              </c:pt>
              <c:pt idx="7">
                <c:v>Colombia</c:v>
              </c:pt>
              <c:pt idx="8">
                <c:v>Czech Republic</c:v>
              </c:pt>
              <c:pt idx="9">
                <c:v>Egypt</c:v>
              </c:pt>
              <c:pt idx="10">
                <c:v>France</c:v>
              </c:pt>
              <c:pt idx="11">
                <c:v>Germany</c:v>
              </c:pt>
              <c:pt idx="12">
                <c:v>Greece</c:v>
              </c:pt>
              <c:pt idx="13">
                <c:v>India</c:v>
              </c:pt>
              <c:pt idx="14">
                <c:v>Ireland</c:v>
              </c:pt>
              <c:pt idx="15">
                <c:v>Israel</c:v>
              </c:pt>
              <c:pt idx="16">
                <c:v>Italy</c:v>
              </c:pt>
              <c:pt idx="17">
                <c:v>Japan</c:v>
              </c:pt>
              <c:pt idx="18">
                <c:v>Malaysia</c:v>
              </c:pt>
              <c:pt idx="19">
                <c:v>Mexico</c:v>
              </c:pt>
              <c:pt idx="20">
                <c:v>Netherlands</c:v>
              </c:pt>
              <c:pt idx="21">
                <c:v>Peru</c:v>
              </c:pt>
              <c:pt idx="22">
                <c:v>Poland</c:v>
              </c:pt>
              <c:pt idx="23">
                <c:v>Romania</c:v>
              </c:pt>
              <c:pt idx="24">
                <c:v>Russia</c:v>
              </c:pt>
              <c:pt idx="25">
                <c:v>Saudi Arabia</c:v>
              </c:pt>
              <c:pt idx="26">
                <c:v>South Africa</c:v>
              </c:pt>
              <c:pt idx="27">
                <c:v>South Korea</c:v>
              </c:pt>
              <c:pt idx="28">
                <c:v>Spain</c:v>
              </c:pt>
              <c:pt idx="29">
                <c:v>Thailand</c:v>
              </c:pt>
              <c:pt idx="30">
                <c:v>Turkey</c:v>
              </c:pt>
              <c:pt idx="31">
                <c:v>UAE</c:v>
              </c:pt>
              <c:pt idx="32">
                <c:v>UK</c:v>
              </c:pt>
              <c:pt idx="33">
                <c:v>USA</c:v>
              </c:pt>
              <c:pt idx="34">
                <c:v>Vietnam</c:v>
              </c:pt>
            </c:strLit>
          </c:cat>
          <c:val>
            <c:numLit>
              <c:formatCode>General</c:formatCode>
              <c:ptCount val="35"/>
              <c:pt idx="0">
                <c:v>13340.048700000007</c:v>
              </c:pt>
              <c:pt idx="1">
                <c:v>12864.323000000002</c:v>
              </c:pt>
              <c:pt idx="2">
                <c:v>11935.174599999998</c:v>
              </c:pt>
              <c:pt idx="3">
                <c:v>10998.235000000001</c:v>
              </c:pt>
              <c:pt idx="4">
                <c:v>13952.991000000002</c:v>
              </c:pt>
              <c:pt idx="5">
                <c:v>11089.236299999999</c:v>
              </c:pt>
              <c:pt idx="6">
                <c:v>31632.279700000006</c:v>
              </c:pt>
              <c:pt idx="7">
                <c:v>13933.188799999998</c:v>
              </c:pt>
              <c:pt idx="8">
                <c:v>15205.707500000002</c:v>
              </c:pt>
              <c:pt idx="9">
                <c:v>11339.452500000001</c:v>
              </c:pt>
              <c:pt idx="10">
                <c:v>14481.477799999999</c:v>
              </c:pt>
              <c:pt idx="11">
                <c:v>14667.775500000002</c:v>
              </c:pt>
              <c:pt idx="12">
                <c:v>9567.3307999999997</c:v>
              </c:pt>
              <c:pt idx="13">
                <c:v>27382.153099999989</c:v>
              </c:pt>
              <c:pt idx="14">
                <c:v>15930.553599999999</c:v>
              </c:pt>
              <c:pt idx="15">
                <c:v>22650.733300000007</c:v>
              </c:pt>
              <c:pt idx="16">
                <c:v>10081.232299999998</c:v>
              </c:pt>
              <c:pt idx="17">
                <c:v>26900.549300000006</c:v>
              </c:pt>
              <c:pt idx="18">
                <c:v>11351.0119</c:v>
              </c:pt>
              <c:pt idx="19">
                <c:v>25591.591899999996</c:v>
              </c:pt>
              <c:pt idx="20">
                <c:v>12865.401099999997</c:v>
              </c:pt>
              <c:pt idx="21">
                <c:v>10112.410400000001</c:v>
              </c:pt>
              <c:pt idx="22">
                <c:v>12638.249100000001</c:v>
              </c:pt>
              <c:pt idx="23">
                <c:v>11685.687699999997</c:v>
              </c:pt>
              <c:pt idx="24">
                <c:v>19031.3004</c:v>
              </c:pt>
              <c:pt idx="25">
                <c:v>9964.9143000000022</c:v>
              </c:pt>
              <c:pt idx="26">
                <c:v>14191.2376</c:v>
              </c:pt>
              <c:pt idx="27">
                <c:v>13907.616799999994</c:v>
              </c:pt>
              <c:pt idx="28">
                <c:v>15686.624799999998</c:v>
              </c:pt>
              <c:pt idx="29">
                <c:v>12314.000500000004</c:v>
              </c:pt>
              <c:pt idx="30">
                <c:v>10979.0424</c:v>
              </c:pt>
              <c:pt idx="31">
                <c:v>9826.2354000000014</c:v>
              </c:pt>
              <c:pt idx="32">
                <c:v>26644.691500000012</c:v>
              </c:pt>
              <c:pt idx="33">
                <c:v>79749.518300000011</c:v>
              </c:pt>
              <c:pt idx="34">
                <c:v>9072.742400000001</c:v>
              </c:pt>
            </c:numLit>
          </c:val>
          <c:extLst>
            <c:ext xmlns:c16="http://schemas.microsoft.com/office/drawing/2014/chart" uri="{C3380CC4-5D6E-409C-BE32-E72D297353CC}">
              <c16:uniqueId val="{00000000-97AB-4684-BD9A-42FCA83B22E4}"/>
            </c:ext>
          </c:extLst>
        </c:ser>
        <c:dLbls>
          <c:showLegendKey val="0"/>
          <c:showVal val="0"/>
          <c:showCatName val="0"/>
          <c:showSerName val="0"/>
          <c:showPercent val="0"/>
          <c:showBubbleSize val="0"/>
        </c:dLbls>
        <c:gapWidth val="219"/>
        <c:axId val="38021711"/>
        <c:axId val="38022671"/>
      </c:barChart>
      <c:catAx>
        <c:axId val="380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2671"/>
        <c:crosses val="autoZero"/>
        <c:auto val="1"/>
        <c:lblAlgn val="ctr"/>
        <c:lblOffset val="100"/>
        <c:noMultiLvlLbl val="0"/>
      </c:catAx>
      <c:valAx>
        <c:axId val="3802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60"/>
              <c:pt idx="0">
                <c:v>Mar-2017</c:v>
              </c:pt>
              <c:pt idx="1">
                <c:v>Dec-2014</c:v>
              </c:pt>
              <c:pt idx="2">
                <c:v>Dec-2015</c:v>
              </c:pt>
              <c:pt idx="3">
                <c:v>May-2016</c:v>
              </c:pt>
              <c:pt idx="4">
                <c:v>Aug-2015</c:v>
              </c:pt>
              <c:pt idx="5">
                <c:v>Jan-2016</c:v>
              </c:pt>
              <c:pt idx="6">
                <c:v>Sep-2018</c:v>
              </c:pt>
              <c:pt idx="7">
                <c:v>Jun-2017</c:v>
              </c:pt>
              <c:pt idx="8">
                <c:v>Jan-2017</c:v>
              </c:pt>
              <c:pt idx="9">
                <c:v>Nov-2016</c:v>
              </c:pt>
              <c:pt idx="10">
                <c:v>Nov-2018</c:v>
              </c:pt>
              <c:pt idx="11">
                <c:v>Apr-2018</c:v>
              </c:pt>
              <c:pt idx="12">
                <c:v>Oct-2018</c:v>
              </c:pt>
              <c:pt idx="13">
                <c:v>Feb-2014</c:v>
              </c:pt>
              <c:pt idx="14">
                <c:v>Feb-2018</c:v>
              </c:pt>
              <c:pt idx="15">
                <c:v>Jul-2016</c:v>
              </c:pt>
              <c:pt idx="16">
                <c:v>Jul-2018</c:v>
              </c:pt>
              <c:pt idx="17">
                <c:v>Jun-2014</c:v>
              </c:pt>
              <c:pt idx="18">
                <c:v>Nov-2015</c:v>
              </c:pt>
              <c:pt idx="19">
                <c:v>May-2018</c:v>
              </c:pt>
              <c:pt idx="20">
                <c:v>Mar-2016</c:v>
              </c:pt>
              <c:pt idx="21">
                <c:v>Jun-2015</c:v>
              </c:pt>
              <c:pt idx="22">
                <c:v>Feb-2017</c:v>
              </c:pt>
              <c:pt idx="23">
                <c:v>Sep-2015</c:v>
              </c:pt>
              <c:pt idx="24">
                <c:v>Apr-2015</c:v>
              </c:pt>
              <c:pt idx="25">
                <c:v>Mar-2014</c:v>
              </c:pt>
              <c:pt idx="26">
                <c:v>Aug-2016</c:v>
              </c:pt>
              <c:pt idx="27">
                <c:v>Oct-2016</c:v>
              </c:pt>
              <c:pt idx="28">
                <c:v>May-2017</c:v>
              </c:pt>
              <c:pt idx="29">
                <c:v>Dec-2017</c:v>
              </c:pt>
              <c:pt idx="30">
                <c:v>Feb-2015</c:v>
              </c:pt>
              <c:pt idx="31">
                <c:v>Jul-2014</c:v>
              </c:pt>
              <c:pt idx="32">
                <c:v>Dec-2016</c:v>
              </c:pt>
              <c:pt idx="33">
                <c:v>Jun-2018</c:v>
              </c:pt>
              <c:pt idx="34">
                <c:v>Jul-2015</c:v>
              </c:pt>
              <c:pt idx="35">
                <c:v>Jan-2018</c:v>
              </c:pt>
              <c:pt idx="36">
                <c:v>Aug-2014</c:v>
              </c:pt>
              <c:pt idx="37">
                <c:v>Oct-2014</c:v>
              </c:pt>
              <c:pt idx="38">
                <c:v>Dec-2018</c:v>
              </c:pt>
              <c:pt idx="39">
                <c:v>Nov-2014</c:v>
              </c:pt>
              <c:pt idx="40">
                <c:v>Feb-2016</c:v>
              </c:pt>
              <c:pt idx="41">
                <c:v>Sep-2017</c:v>
              </c:pt>
              <c:pt idx="42">
                <c:v>Sep-2014</c:v>
              </c:pt>
              <c:pt idx="43">
                <c:v>May-2015</c:v>
              </c:pt>
              <c:pt idx="44">
                <c:v>Apr-2014</c:v>
              </c:pt>
              <c:pt idx="45">
                <c:v>Apr-2016</c:v>
              </c:pt>
              <c:pt idx="46">
                <c:v>Mar-2018</c:v>
              </c:pt>
              <c:pt idx="47">
                <c:v>Sep-2016</c:v>
              </c:pt>
              <c:pt idx="48">
                <c:v>Aug-2018</c:v>
              </c:pt>
              <c:pt idx="49">
                <c:v>Jan-2014</c:v>
              </c:pt>
              <c:pt idx="50">
                <c:v>May-2014</c:v>
              </c:pt>
              <c:pt idx="51">
                <c:v>Jan-2015</c:v>
              </c:pt>
              <c:pt idx="52">
                <c:v>Mar-2015</c:v>
              </c:pt>
              <c:pt idx="53">
                <c:v>Aug-2017</c:v>
              </c:pt>
              <c:pt idx="54">
                <c:v>Jun-2016</c:v>
              </c:pt>
              <c:pt idx="55">
                <c:v>Oct-2015</c:v>
              </c:pt>
              <c:pt idx="56">
                <c:v>Nov-2017</c:v>
              </c:pt>
              <c:pt idx="57">
                <c:v>Oct-2017</c:v>
              </c:pt>
              <c:pt idx="58">
                <c:v>Apr-2017</c:v>
              </c:pt>
              <c:pt idx="59">
                <c:v>Jul-2017</c:v>
              </c:pt>
            </c:strLit>
          </c:cat>
          <c:val>
            <c:numLit>
              <c:formatCode>General</c:formatCode>
              <c:ptCount val="60"/>
              <c:pt idx="0">
                <c:v>3346.3044000000004</c:v>
              </c:pt>
              <c:pt idx="1">
                <c:v>4231.9917000000005</c:v>
              </c:pt>
              <c:pt idx="2">
                <c:v>4363.5546000000004</c:v>
              </c:pt>
              <c:pt idx="3">
                <c:v>5072.4293999999991</c:v>
              </c:pt>
              <c:pt idx="4">
                <c:v>5368.9184999999998</c:v>
              </c:pt>
              <c:pt idx="5">
                <c:v>5587.9411000000018</c:v>
              </c:pt>
              <c:pt idx="6">
                <c:v>5607.7206999999989</c:v>
              </c:pt>
              <c:pt idx="7">
                <c:v>7077.2662</c:v>
              </c:pt>
              <c:pt idx="8">
                <c:v>7417.8152</c:v>
              </c:pt>
              <c:pt idx="9">
                <c:v>7920.8088000000016</c:v>
              </c:pt>
              <c:pt idx="10">
                <c:v>7982.3296</c:v>
              </c:pt>
              <c:pt idx="11">
                <c:v>8022.1704999999984</c:v>
              </c:pt>
              <c:pt idx="12">
                <c:v>8071.6547999999984</c:v>
              </c:pt>
              <c:pt idx="13">
                <c:v>8342.6593999999986</c:v>
              </c:pt>
              <c:pt idx="14">
                <c:v>8482.9387999999999</c:v>
              </c:pt>
              <c:pt idx="15">
                <c:v>8516.9275999999991</c:v>
              </c:pt>
              <c:pt idx="16">
                <c:v>8553.6722000000027</c:v>
              </c:pt>
              <c:pt idx="17">
                <c:v>8554.3896000000022</c:v>
              </c:pt>
              <c:pt idx="18">
                <c:v>8592.8492999999999</c:v>
              </c:pt>
              <c:pt idx="19">
                <c:v>8672.7674000000006</c:v>
              </c:pt>
              <c:pt idx="20">
                <c:v>8802.8755999999976</c:v>
              </c:pt>
              <c:pt idx="21">
                <c:v>8903.1359999999986</c:v>
              </c:pt>
              <c:pt idx="22">
                <c:v>9026.2382999999973</c:v>
              </c:pt>
              <c:pt idx="23">
                <c:v>9303.7806</c:v>
              </c:pt>
              <c:pt idx="24">
                <c:v>9434.8276000000023</c:v>
              </c:pt>
              <c:pt idx="25">
                <c:v>9459.4087999999974</c:v>
              </c:pt>
              <c:pt idx="26">
                <c:v>9516.5468999999975</c:v>
              </c:pt>
              <c:pt idx="27">
                <c:v>9675.827000000003</c:v>
              </c:pt>
              <c:pt idx="28">
                <c:v>9801.8725999999988</c:v>
              </c:pt>
              <c:pt idx="29">
                <c:v>9930.8465999999971</c:v>
              </c:pt>
              <c:pt idx="30">
                <c:v>10011.2255</c:v>
              </c:pt>
              <c:pt idx="31">
                <c:v>10013.845800000001</c:v>
              </c:pt>
              <c:pt idx="32">
                <c:v>10100.231300000001</c:v>
              </c:pt>
              <c:pt idx="33">
                <c:v>10101.870099999998</c:v>
              </c:pt>
              <c:pt idx="34">
                <c:v>10138.266199999998</c:v>
              </c:pt>
              <c:pt idx="35">
                <c:v>10410.177</c:v>
              </c:pt>
              <c:pt idx="36">
                <c:v>10434.080500000002</c:v>
              </c:pt>
              <c:pt idx="37">
                <c:v>10488.912499999999</c:v>
              </c:pt>
              <c:pt idx="38">
                <c:v>10527.075000000001</c:v>
              </c:pt>
              <c:pt idx="39">
                <c:v>11011.8205</c:v>
              </c:pt>
              <c:pt idx="40">
                <c:v>11021.469300000001</c:v>
              </c:pt>
              <c:pt idx="41">
                <c:v>11375.697900000001</c:v>
              </c:pt>
              <c:pt idx="42">
                <c:v>11596.475900000003</c:v>
              </c:pt>
              <c:pt idx="43">
                <c:v>11711.506200000002</c:v>
              </c:pt>
              <c:pt idx="44">
                <c:v>12129.989199999998</c:v>
              </c:pt>
              <c:pt idx="45">
                <c:v>12160.1077</c:v>
              </c:pt>
              <c:pt idx="46">
                <c:v>12275.649899999999</c:v>
              </c:pt>
              <c:pt idx="47">
                <c:v>12278.589399999995</c:v>
              </c:pt>
              <c:pt idx="48">
                <c:v>12402.452100000002</c:v>
              </c:pt>
              <c:pt idx="49">
                <c:v>12614.975599999998</c:v>
              </c:pt>
              <c:pt idx="50">
                <c:v>12626.898199999996</c:v>
              </c:pt>
              <c:pt idx="51">
                <c:v>12706.143700000002</c:v>
              </c:pt>
              <c:pt idx="52">
                <c:v>12799.490000000003</c:v>
              </c:pt>
              <c:pt idx="53">
                <c:v>12854.406800000002</c:v>
              </c:pt>
              <c:pt idx="54">
                <c:v>13450.850999999999</c:v>
              </c:pt>
              <c:pt idx="55">
                <c:v>14002.300799999999</c:v>
              </c:pt>
              <c:pt idx="56">
                <c:v>14224.839300000001</c:v>
              </c:pt>
              <c:pt idx="57">
                <c:v>14429.886299999998</c:v>
              </c:pt>
              <c:pt idx="58">
                <c:v>14913.768099999998</c:v>
              </c:pt>
              <c:pt idx="59">
                <c:v>15109.247699999996</c:v>
              </c:pt>
            </c:numLit>
          </c:val>
          <c:smooth val="0"/>
          <c:extLst>
            <c:ext xmlns:c16="http://schemas.microsoft.com/office/drawing/2014/chart" uri="{C3380CC4-5D6E-409C-BE32-E72D297353CC}">
              <c16:uniqueId val="{00000000-EF45-42BD-8745-236E10F9D640}"/>
            </c:ext>
          </c:extLst>
        </c:ser>
        <c:dLbls>
          <c:showLegendKey val="0"/>
          <c:showVal val="0"/>
          <c:showCatName val="0"/>
          <c:showSerName val="0"/>
          <c:showPercent val="0"/>
          <c:showBubbleSize val="0"/>
        </c:dLbls>
        <c:marker val="1"/>
        <c:smooth val="0"/>
        <c:axId val="916440143"/>
        <c:axId val="202336751"/>
      </c:lineChart>
      <c:catAx>
        <c:axId val="91644014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6751"/>
        <c:crosses val="autoZero"/>
        <c:auto val="1"/>
        <c:lblAlgn val="ctr"/>
        <c:lblOffset val="100"/>
        <c:noMultiLvlLbl val="0"/>
        <c:extLst>
          <c:ext xmlns:c15="http://schemas.microsoft.com/office/drawing/2012/chart" uri="{F40574EE-89B7-4290-83BB-5DA773EAF853}">
            <c15:numFmt c:formatCode="General" c:sourceLinked="1"/>
          </c:ext>
        </c:extLst>
      </c:catAx>
      <c:valAx>
        <c:axId val="20233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4014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[parnit.xlsx]PivotChartTable1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Salesperson's</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10"/>
              <c:pt idx="0">
                <c:v>Richard Clayton</c:v>
              </c:pt>
              <c:pt idx="1">
                <c:v>Pauline Gagg</c:v>
              </c:pt>
              <c:pt idx="2">
                <c:v>Ryan Pearce</c:v>
              </c:pt>
              <c:pt idx="3">
                <c:v>George Sherwin</c:v>
              </c:pt>
              <c:pt idx="4">
                <c:v>Helen Kenny</c:v>
              </c:pt>
              <c:pt idx="5">
                <c:v>Rita Schaffer</c:v>
              </c:pt>
              <c:pt idx="6">
                <c:v>Maxine Stockdale</c:v>
              </c:pt>
              <c:pt idx="7">
                <c:v>Carole Owen</c:v>
              </c:pt>
              <c:pt idx="8">
                <c:v>John Hetherington</c:v>
              </c:pt>
              <c:pt idx="9">
                <c:v>Douglas Bond</c:v>
              </c:pt>
              <c:pt idx="10">
                <c:v>Rachel Deignan</c:v>
              </c:pt>
              <c:pt idx="11">
                <c:v>Iftikhar Styles</c:v>
              </c:pt>
              <c:pt idx="12">
                <c:v>Julie Pope</c:v>
              </c:pt>
              <c:pt idx="13">
                <c:v>Richard Bard</c:v>
              </c:pt>
              <c:pt idx="14">
                <c:v>Helen Deignan</c:v>
              </c:pt>
              <c:pt idx="15">
                <c:v>Abu Moore</c:v>
              </c:pt>
              <c:pt idx="16">
                <c:v>Tom Clark</c:v>
              </c:pt>
              <c:pt idx="17">
                <c:v>Mark Evans</c:v>
              </c:pt>
              <c:pt idx="18">
                <c:v>Alison Hallows</c:v>
              </c:pt>
              <c:pt idx="19">
                <c:v>Arthur Moncrieff</c:v>
              </c:pt>
              <c:pt idx="20">
                <c:v>Mark Holmes</c:v>
              </c:pt>
              <c:pt idx="21">
                <c:v>Terence Jones</c:v>
              </c:pt>
              <c:pt idx="22">
                <c:v>Noel Burn</c:v>
              </c:pt>
              <c:pt idx="23">
                <c:v>Paul Smith</c:v>
              </c:pt>
              <c:pt idx="24">
                <c:v>Jodie Fairhurst</c:v>
              </c:pt>
              <c:pt idx="25">
                <c:v>Barbara Langdon</c:v>
              </c:pt>
              <c:pt idx="26">
                <c:v>Mayank Ali</c:v>
              </c:pt>
              <c:pt idx="27">
                <c:v>Kevin Long</c:v>
              </c:pt>
              <c:pt idx="28">
                <c:v>Gustavo Taiwo</c:v>
              </c:pt>
              <c:pt idx="29">
                <c:v>William Collins</c:v>
              </c:pt>
              <c:pt idx="30">
                <c:v>Irene Skiba</c:v>
              </c:pt>
              <c:pt idx="31">
                <c:v>Russell Reynolds</c:v>
              </c:pt>
              <c:pt idx="32">
                <c:v>Michelle Hunter</c:v>
              </c:pt>
              <c:pt idx="33">
                <c:v>Nicola Rea</c:v>
              </c:pt>
              <c:pt idx="34">
                <c:v>Claire Storey</c:v>
              </c:pt>
              <c:pt idx="35">
                <c:v>Barbara Love</c:v>
              </c:pt>
              <c:pt idx="36">
                <c:v>Rosalind Chandler</c:v>
              </c:pt>
              <c:pt idx="37">
                <c:v>Frank Cowden</c:v>
              </c:pt>
              <c:pt idx="38">
                <c:v>John Ali</c:v>
              </c:pt>
              <c:pt idx="39">
                <c:v>Mark Sayer</c:v>
              </c:pt>
              <c:pt idx="40">
                <c:v>Jesus Timmins</c:v>
              </c:pt>
              <c:pt idx="41">
                <c:v>Gary Mistry</c:v>
              </c:pt>
              <c:pt idx="42">
                <c:v>Margaret McGregor</c:v>
              </c:pt>
              <c:pt idx="43">
                <c:v>Timothy Fraser</c:v>
              </c:pt>
              <c:pt idx="44">
                <c:v>Phillip Humphreys</c:v>
              </c:pt>
              <c:pt idx="45">
                <c:v>Jeremy Morrow</c:v>
              </c:pt>
              <c:pt idx="46">
                <c:v>Lisa Manning</c:v>
              </c:pt>
              <c:pt idx="47">
                <c:v>Kevin Goad</c:v>
              </c:pt>
              <c:pt idx="48">
                <c:v>Michael Lauder</c:v>
              </c:pt>
              <c:pt idx="49">
                <c:v>Andrew Harris</c:v>
              </c:pt>
              <c:pt idx="50">
                <c:v>Xun Simms</c:v>
              </c:pt>
              <c:pt idx="51">
                <c:v>Kevin Ahmed</c:v>
              </c:pt>
              <c:pt idx="52">
                <c:v>Heather Donald</c:v>
              </c:pt>
              <c:pt idx="53">
                <c:v>Isla Parsons</c:v>
              </c:pt>
              <c:pt idx="54">
                <c:v>Robert Jenkins</c:v>
              </c:pt>
              <c:pt idx="55">
                <c:v>Raymond Denning</c:v>
              </c:pt>
              <c:pt idx="56">
                <c:v>John Whitehead</c:v>
              </c:pt>
              <c:pt idx="57">
                <c:v>Olivia Reynolds</c:v>
              </c:pt>
              <c:pt idx="58">
                <c:v>Damien Smith</c:v>
              </c:pt>
              <c:pt idx="59">
                <c:v>Caroline Gee</c:v>
              </c:pt>
              <c:pt idx="60">
                <c:v>Alexander Rowntree</c:v>
              </c:pt>
              <c:pt idx="61">
                <c:v>Savita Simpson</c:v>
              </c:pt>
              <c:pt idx="62">
                <c:v>John Gibb</c:v>
              </c:pt>
              <c:pt idx="63">
                <c:v>Glenys Muhammad</c:v>
              </c:pt>
              <c:pt idx="64">
                <c:v>Nicholas Knight</c:v>
              </c:pt>
              <c:pt idx="65">
                <c:v>Stephen Muhammad</c:v>
              </c:pt>
              <c:pt idx="66">
                <c:v>Pauline Taylor</c:v>
              </c:pt>
              <c:pt idx="67">
                <c:v>Alan Evora</c:v>
              </c:pt>
              <c:pt idx="68">
                <c:v>Gillian Rodrigues</c:v>
              </c:pt>
              <c:pt idx="69">
                <c:v>Jacqueline Swaine</c:v>
              </c:pt>
              <c:pt idx="70">
                <c:v>John Craig</c:v>
              </c:pt>
              <c:pt idx="71">
                <c:v>Patricia Sewell</c:v>
              </c:pt>
              <c:pt idx="72">
                <c:v>Alan Procter</c:v>
              </c:pt>
              <c:pt idx="73">
                <c:v>Frank Sewell</c:v>
              </c:pt>
              <c:pt idx="74">
                <c:v>Barry Smith</c:v>
              </c:pt>
              <c:pt idx="75">
                <c:v>Jeremy Percival</c:v>
              </c:pt>
              <c:pt idx="76">
                <c:v>Brendon Sykes</c:v>
              </c:pt>
              <c:pt idx="77">
                <c:v>Richard Anderson</c:v>
              </c:pt>
              <c:pt idx="78">
                <c:v>Roy Connelly</c:v>
              </c:pt>
              <c:pt idx="79">
                <c:v>David Hubble</c:v>
              </c:pt>
              <c:pt idx="80">
                <c:v>Carol Cormack</c:v>
              </c:pt>
              <c:pt idx="81">
                <c:v>George Stevenson</c:v>
              </c:pt>
              <c:pt idx="82">
                <c:v>Cheryl Glover</c:v>
              </c:pt>
              <c:pt idx="83">
                <c:v>Bryan Clement</c:v>
              </c:pt>
              <c:pt idx="84">
                <c:v>Carl Snape</c:v>
              </c:pt>
              <c:pt idx="85">
                <c:v>Eric Walker</c:v>
              </c:pt>
              <c:pt idx="86">
                <c:v>Peter Carley</c:v>
              </c:pt>
              <c:pt idx="87">
                <c:v>Constance Tidey</c:v>
              </c:pt>
              <c:pt idx="88">
                <c:v>David Isaacs</c:v>
              </c:pt>
              <c:pt idx="89">
                <c:v>Arthur Carley</c:v>
              </c:pt>
              <c:pt idx="90">
                <c:v>Ian Baker</c:v>
              </c:pt>
              <c:pt idx="91">
                <c:v>Christopher Kille</c:v>
              </c:pt>
              <c:pt idx="92">
                <c:v>Tony Green</c:v>
              </c:pt>
              <c:pt idx="93">
                <c:v>Elaine Ricketts</c:v>
              </c:pt>
              <c:pt idx="94">
                <c:v>Barry Baldwin</c:v>
              </c:pt>
              <c:pt idx="95">
                <c:v>Thomas Taylor</c:v>
              </c:pt>
              <c:pt idx="96">
                <c:v>Barbara Turner</c:v>
              </c:pt>
              <c:pt idx="97">
                <c:v>Denise Harris</c:v>
              </c:pt>
              <c:pt idx="98">
                <c:v>Richard Nash</c:v>
              </c:pt>
              <c:pt idx="99">
                <c:v>Ram Thomas</c:v>
              </c:pt>
              <c:pt idx="100">
                <c:v>Roger Silvester</c:v>
              </c:pt>
              <c:pt idx="101">
                <c:v>Charles Jago</c:v>
              </c:pt>
              <c:pt idx="102">
                <c:v>Marie Foster</c:v>
              </c:pt>
              <c:pt idx="103">
                <c:v>Andrew Jones</c:v>
              </c:pt>
              <c:pt idx="104">
                <c:v>Richard Barr</c:v>
              </c:pt>
              <c:pt idx="105">
                <c:v>Anthony Rothery</c:v>
              </c:pt>
              <c:pt idx="106">
                <c:v>Lisa Pepper</c:v>
              </c:pt>
              <c:pt idx="107">
                <c:v>Rachel Snape</c:v>
              </c:pt>
              <c:pt idx="108">
                <c:v>Lloyd Barr</c:v>
              </c:pt>
              <c:pt idx="109">
                <c:v>Paul Hirst</c:v>
              </c:pt>
              <c:pt idx="110">
                <c:v>Alexandra Mukherjee</c:v>
              </c:pt>
              <c:pt idx="111">
                <c:v>Rosemary Hatcher</c:v>
              </c:pt>
              <c:pt idx="112">
                <c:v>Andrew Hirst</c:v>
              </c:pt>
              <c:pt idx="113">
                <c:v>Peter Allan</c:v>
              </c:pt>
              <c:pt idx="114">
                <c:v>Ernie Dyer</c:v>
              </c:pt>
              <c:pt idx="115">
                <c:v>John Bull</c:v>
              </c:pt>
              <c:pt idx="116">
                <c:v>Steven Douglas</c:v>
              </c:pt>
              <c:pt idx="117">
                <c:v>Ellen Lillie</c:v>
              </c:pt>
              <c:pt idx="118">
                <c:v>Fiona Johnson</c:v>
              </c:pt>
              <c:pt idx="119">
                <c:v>Heather Murray</c:v>
              </c:pt>
              <c:pt idx="120">
                <c:v>Craig Johnson</c:v>
              </c:pt>
              <c:pt idx="121">
                <c:v>Mark Towey</c:v>
              </c:pt>
              <c:pt idx="122">
                <c:v>Basil Bain</c:v>
              </c:pt>
              <c:pt idx="123">
                <c:v>Anthony Procter</c:v>
              </c:pt>
              <c:pt idx="124">
                <c:v>Phillip Clarke</c:v>
              </c:pt>
              <c:pt idx="125">
                <c:v>Jill Thompson</c:v>
              </c:pt>
              <c:pt idx="126">
                <c:v>Ken Rogerson</c:v>
              </c:pt>
              <c:pt idx="127">
                <c:v>Shelley Lock</c:v>
              </c:pt>
              <c:pt idx="128">
                <c:v>Denise Rodgers</c:v>
              </c:pt>
              <c:pt idx="129">
                <c:v>Julia Ferguson</c:v>
              </c:pt>
              <c:pt idx="130">
                <c:v>Ian Coates</c:v>
              </c:pt>
              <c:pt idx="131">
                <c:v>Sandra Rew</c:v>
              </c:pt>
              <c:pt idx="132">
                <c:v>Christine Rowe</c:v>
              </c:pt>
              <c:pt idx="133">
                <c:v>Steven Batty</c:v>
              </c:pt>
              <c:pt idx="134">
                <c:v>Bryan Mason</c:v>
              </c:pt>
              <c:pt idx="135">
                <c:v>Leonard Green</c:v>
              </c:pt>
              <c:pt idx="136">
                <c:v>Paul Faulkner</c:v>
              </c:pt>
              <c:pt idx="137">
                <c:v>Ronald Rowlands</c:v>
              </c:pt>
              <c:pt idx="138">
                <c:v>Tracy Stanley</c:v>
              </c:pt>
              <c:pt idx="139">
                <c:v>Christopher Martin</c:v>
              </c:pt>
              <c:pt idx="140">
                <c:v>Natasha Carvalho</c:v>
              </c:pt>
              <c:pt idx="141">
                <c:v>Emma Westbrook</c:v>
              </c:pt>
              <c:pt idx="142">
                <c:v>Alan Davie</c:v>
              </c:pt>
              <c:pt idx="143">
                <c:v>Steven Roberts</c:v>
              </c:pt>
              <c:pt idx="144">
                <c:v>Gary Shaw</c:v>
              </c:pt>
              <c:pt idx="145">
                <c:v>Roy Nunes</c:v>
              </c:pt>
              <c:pt idx="146">
                <c:v>Audrey Kane</c:v>
              </c:pt>
              <c:pt idx="147">
                <c:v>Christopher Lloyd</c:v>
              </c:pt>
              <c:pt idx="148">
                <c:v>Mark Lawton</c:v>
              </c:pt>
              <c:pt idx="149">
                <c:v>Stephen Burch</c:v>
              </c:pt>
              <c:pt idx="150">
                <c:v>Elaine Whitfield</c:v>
              </c:pt>
              <c:pt idx="151">
                <c:v>Margaret Buck</c:v>
              </c:pt>
              <c:pt idx="152">
                <c:v>David Adams</c:v>
              </c:pt>
              <c:pt idx="153">
                <c:v>Steven Green</c:v>
              </c:pt>
              <c:pt idx="154">
                <c:v>George Smith</c:v>
              </c:pt>
              <c:pt idx="155">
                <c:v>Russell Wood</c:v>
              </c:pt>
              <c:pt idx="156">
                <c:v>Ian Grant</c:v>
              </c:pt>
              <c:pt idx="157">
                <c:v>Jonathan Pereira</c:v>
              </c:pt>
              <c:pt idx="158">
                <c:v>Andi Liu</c:v>
              </c:pt>
              <c:pt idx="159">
                <c:v>Rachel Howard</c:v>
              </c:pt>
              <c:pt idx="160">
                <c:v>April Childs</c:v>
              </c:pt>
              <c:pt idx="161">
                <c:v>David Power</c:v>
              </c:pt>
              <c:pt idx="162">
                <c:v>Paul Martin</c:v>
              </c:pt>
              <c:pt idx="163">
                <c:v>James Whitehead</c:v>
              </c:pt>
              <c:pt idx="164">
                <c:v>Harold Green</c:v>
              </c:pt>
              <c:pt idx="165">
                <c:v>Janet Ward</c:v>
              </c:pt>
              <c:pt idx="166">
                <c:v>Brendon Dyer</c:v>
              </c:pt>
              <c:pt idx="167">
                <c:v>David Shiner</c:v>
              </c:pt>
              <c:pt idx="168">
                <c:v>Stephen Nolan</c:v>
              </c:pt>
              <c:pt idx="169">
                <c:v>Gary Percival</c:v>
              </c:pt>
              <c:pt idx="170">
                <c:v>Basil Nolan</c:v>
              </c:pt>
              <c:pt idx="171">
                <c:v>Geoffrey Patel</c:v>
              </c:pt>
              <c:pt idx="172">
                <c:v>Wolfgang Carvalho</c:v>
              </c:pt>
              <c:pt idx="173">
                <c:v>Aidan Perrott</c:v>
              </c:pt>
              <c:pt idx="174">
                <c:v>Iftikhar Haywood</c:v>
              </c:pt>
              <c:pt idx="175">
                <c:v>Noel Hardy</c:v>
              </c:pt>
              <c:pt idx="176">
                <c:v>Robert Polhill</c:v>
              </c:pt>
              <c:pt idx="177">
                <c:v>Mark Buntain</c:v>
              </c:pt>
              <c:pt idx="178">
                <c:v>Bruce Neville</c:v>
              </c:pt>
              <c:pt idx="179">
                <c:v>Anthony Connolly</c:v>
              </c:pt>
              <c:pt idx="180">
                <c:v>Valerie Brown</c:v>
              </c:pt>
              <c:pt idx="181">
                <c:v>Charles Ali</c:v>
              </c:pt>
              <c:pt idx="182">
                <c:v>Rose Rowntree</c:v>
              </c:pt>
              <c:pt idx="183">
                <c:v>Marie Hewitt</c:v>
              </c:pt>
              <c:pt idx="184">
                <c:v>Nicholas Goude</c:v>
              </c:pt>
              <c:pt idx="185">
                <c:v>Shelley Mannix</c:v>
              </c:pt>
              <c:pt idx="186">
                <c:v>Colin Patel</c:v>
              </c:pt>
              <c:pt idx="187">
                <c:v>Sharon Hubble</c:v>
              </c:pt>
              <c:pt idx="188">
                <c:v>Noel Bull</c:v>
              </c:pt>
              <c:pt idx="189">
                <c:v>Danny Grant</c:v>
              </c:pt>
              <c:pt idx="190">
                <c:v>Christopher Snape</c:v>
              </c:pt>
              <c:pt idx="191">
                <c:v>Stephen James</c:v>
              </c:pt>
              <c:pt idx="192">
                <c:v>Allyson Rush</c:v>
              </c:pt>
              <c:pt idx="193">
                <c:v>Rachel Blane</c:v>
              </c:pt>
              <c:pt idx="194">
                <c:v>Gwyn Taylor</c:v>
              </c:pt>
              <c:pt idx="195">
                <c:v>Sophie Petersen</c:v>
              </c:pt>
              <c:pt idx="196">
                <c:v>Keith Drage</c:v>
              </c:pt>
              <c:pt idx="197">
                <c:v>Alan Grant</c:v>
              </c:pt>
              <c:pt idx="198">
                <c:v>David Romero</c:v>
              </c:pt>
              <c:pt idx="199">
                <c:v>Susan Passey</c:v>
              </c:pt>
              <c:pt idx="200">
                <c:v>Timothy Younger</c:v>
              </c:pt>
              <c:pt idx="201">
                <c:v>Michael Patel</c:v>
              </c:pt>
              <c:pt idx="202">
                <c:v>Damilola Raymond</c:v>
              </c:pt>
              <c:pt idx="203">
                <c:v>Gillian Crawley</c:v>
              </c:pt>
              <c:pt idx="204">
                <c:v>Richard Kay</c:v>
              </c:pt>
              <c:pt idx="205">
                <c:v>Kyle Walter</c:v>
              </c:pt>
              <c:pt idx="206">
                <c:v>Colin Lima</c:v>
              </c:pt>
              <c:pt idx="207">
                <c:v>Naeem Perry</c:v>
              </c:pt>
              <c:pt idx="208">
                <c:v>Nicole Ford</c:v>
              </c:pt>
              <c:pt idx="209">
                <c:v>Lisa Wood</c:v>
              </c:pt>
              <c:pt idx="210">
                <c:v>Brian Clarke</c:v>
              </c:pt>
              <c:pt idx="211">
                <c:v>Gary Acheampong</c:v>
              </c:pt>
              <c:pt idx="212">
                <c:v>Stephen Carlin</c:v>
              </c:pt>
              <c:pt idx="213">
                <c:v>Francis Hall</c:v>
              </c:pt>
              <c:pt idx="214">
                <c:v>Rebecca Delo</c:v>
              </c:pt>
              <c:pt idx="215">
                <c:v>Robert James</c:v>
              </c:pt>
              <c:pt idx="216">
                <c:v>Mark Searle</c:v>
              </c:pt>
              <c:pt idx="217">
                <c:v>Karen Hopewell</c:v>
              </c:pt>
              <c:pt idx="218">
                <c:v>Glenys Wright</c:v>
              </c:pt>
              <c:pt idx="219">
                <c:v>William Cruse</c:v>
              </c:pt>
              <c:pt idx="220">
                <c:v>Lesleyann Pope</c:v>
              </c:pt>
              <c:pt idx="221">
                <c:v>Helen Cooke</c:v>
              </c:pt>
              <c:pt idx="222">
                <c:v>Harold Charters</c:v>
              </c:pt>
              <c:pt idx="223">
                <c:v>Jacqueline Todd</c:v>
              </c:pt>
              <c:pt idx="224">
                <c:v>David Rodrigues</c:v>
              </c:pt>
              <c:pt idx="225">
                <c:v>Kate Nash</c:v>
              </c:pt>
              <c:pt idx="226">
                <c:v>Barbara McDevitt</c:v>
              </c:pt>
              <c:pt idx="227">
                <c:v>Selwyn Kitching</c:v>
              </c:pt>
              <c:pt idx="228">
                <c:v>Paul Benton</c:v>
              </c:pt>
              <c:pt idx="229">
                <c:v>Ronald Curtis</c:v>
              </c:pt>
              <c:pt idx="230">
                <c:v>Nicholas Timbrell</c:v>
              </c:pt>
              <c:pt idx="231">
                <c:v>James Hammond</c:v>
              </c:pt>
              <c:pt idx="232">
                <c:v>Johanna Collins</c:v>
              </c:pt>
              <c:pt idx="233">
                <c:v>Thomas Davies</c:v>
              </c:pt>
              <c:pt idx="234">
                <c:v>David Grey</c:v>
              </c:pt>
              <c:pt idx="235">
                <c:v>Zhan Whitfield</c:v>
              </c:pt>
              <c:pt idx="236">
                <c:v>Nicola Williams</c:v>
              </c:pt>
              <c:pt idx="237">
                <c:v>Kelly Owen</c:v>
              </c:pt>
              <c:pt idx="238">
                <c:v>Alastair Mills</c:v>
              </c:pt>
              <c:pt idx="239">
                <c:v>Stephen MacGregor</c:v>
              </c:pt>
              <c:pt idx="240">
                <c:v>Richard Perrott</c:v>
              </c:pt>
              <c:pt idx="241">
                <c:v>Sarah Chadwick</c:v>
              </c:pt>
              <c:pt idx="242">
                <c:v>Julia Hurren</c:v>
              </c:pt>
              <c:pt idx="243">
                <c:v>Terence Mirza</c:v>
              </c:pt>
              <c:pt idx="244">
                <c:v>Caroline Eccles</c:v>
              </c:pt>
              <c:pt idx="245">
                <c:v>Simon Hirst</c:v>
              </c:pt>
              <c:pt idx="246">
                <c:v>Kate Pearce</c:v>
              </c:pt>
              <c:pt idx="247">
                <c:v>Robert Tattersall</c:v>
              </c:pt>
              <c:pt idx="248">
                <c:v>Paul Atkins</c:v>
              </c:pt>
              <c:pt idx="249">
                <c:v>Philip Mishra</c:v>
              </c:pt>
              <c:pt idx="250">
                <c:v>Johanna Mirza</c:v>
              </c:pt>
              <c:pt idx="251">
                <c:v>Maureen Reynolds</c:v>
              </c:pt>
              <c:pt idx="252">
                <c:v>Melanie Fletcher</c:v>
              </c:pt>
              <c:pt idx="253">
                <c:v>Nicole Marshall</c:v>
              </c:pt>
              <c:pt idx="254">
                <c:v>James Bard</c:v>
              </c:pt>
              <c:pt idx="255">
                <c:v>Rachel Clayton</c:v>
              </c:pt>
              <c:pt idx="256">
                <c:v>Saffron Cruse</c:v>
              </c:pt>
              <c:pt idx="257">
                <c:v>Barrie Murray</c:v>
              </c:pt>
              <c:pt idx="258">
                <c:v>Roger Rust</c:v>
              </c:pt>
              <c:pt idx="259">
                <c:v>Rachel Oliver</c:v>
              </c:pt>
              <c:pt idx="260">
                <c:v>Peter Walker</c:v>
              </c:pt>
              <c:pt idx="261">
                <c:v>Pauline Pluck</c:v>
              </c:pt>
              <c:pt idx="262">
                <c:v>Baljinder Anderson</c:v>
              </c:pt>
              <c:pt idx="263">
                <c:v>Richard Oliver</c:v>
              </c:pt>
              <c:pt idx="264">
                <c:v>Roy Cooper</c:v>
              </c:pt>
              <c:pt idx="265">
                <c:v>Stephen Brown</c:v>
              </c:pt>
              <c:pt idx="266">
                <c:v>Susan Reay</c:v>
              </c:pt>
              <c:pt idx="267">
                <c:v>Kirsty Amos</c:v>
              </c:pt>
              <c:pt idx="268">
                <c:v>Fatima James</c:v>
              </c:pt>
              <c:pt idx="269">
                <c:v>Gary Roberts</c:v>
              </c:pt>
              <c:pt idx="270">
                <c:v>Richard Allnutt</c:v>
              </c:pt>
              <c:pt idx="271">
                <c:v>Nicola Wright</c:v>
              </c:pt>
              <c:pt idx="272">
                <c:v>Janet Ford</c:v>
              </c:pt>
              <c:pt idx="273">
                <c:v>Jeremy Bannister</c:v>
              </c:pt>
              <c:pt idx="274">
                <c:v>Dell Lockwood</c:v>
              </c:pt>
              <c:pt idx="275">
                <c:v>Andrew Waddell</c:v>
              </c:pt>
              <c:pt idx="276">
                <c:v>Christopher Cresswell</c:v>
              </c:pt>
              <c:pt idx="277">
                <c:v>Alison Storey</c:v>
              </c:pt>
              <c:pt idx="278">
                <c:v>Robin Hall</c:v>
              </c:pt>
              <c:pt idx="279">
                <c:v>Susan Dixon</c:v>
              </c:pt>
              <c:pt idx="280">
                <c:v>Frank Murray</c:v>
              </c:pt>
              <c:pt idx="281">
                <c:v>Joanne Ripley</c:v>
              </c:pt>
              <c:pt idx="282">
                <c:v>Roy Johnson</c:v>
              </c:pt>
              <c:pt idx="283">
                <c:v>James Neville</c:v>
              </c:pt>
              <c:pt idx="284">
                <c:v>Ken Mishra</c:v>
              </c:pt>
              <c:pt idx="285">
                <c:v>Armand Ahmed</c:v>
              </c:pt>
              <c:pt idx="286">
                <c:v>Nicholas Holloway</c:v>
              </c:pt>
              <c:pt idx="287">
                <c:v>Abdul Heywood</c:v>
              </c:pt>
              <c:pt idx="288">
                <c:v>Kevin Curtis</c:v>
              </c:pt>
              <c:pt idx="289">
                <c:v>Helen Watt</c:v>
              </c:pt>
              <c:pt idx="290">
                <c:v>Stephen Neville</c:v>
              </c:pt>
              <c:pt idx="291">
                <c:v>Donald Barratt</c:v>
              </c:pt>
              <c:pt idx="292">
                <c:v>Nick Blacklock</c:v>
              </c:pt>
              <c:pt idx="293">
                <c:v>Robert Faulkner</c:v>
              </c:pt>
              <c:pt idx="294">
                <c:v>Edward Jenkins</c:v>
              </c:pt>
              <c:pt idx="295">
                <c:v>Richard Hughes</c:v>
              </c:pt>
              <c:pt idx="296">
                <c:v>Paresh Mathews</c:v>
              </c:pt>
              <c:pt idx="297">
                <c:v>James Lam</c:v>
              </c:pt>
              <c:pt idx="298">
                <c:v>Chloe Lyons</c:v>
              </c:pt>
              <c:pt idx="299">
                <c:v>Rosemary Aziz</c:v>
              </c:pt>
              <c:pt idx="300">
                <c:v>James White</c:v>
              </c:pt>
              <c:pt idx="301">
                <c:v>Michael Bell</c:v>
              </c:pt>
              <c:pt idx="302">
                <c:v>Kenneth Walter</c:v>
              </c:pt>
              <c:pt idx="303">
                <c:v>Neil McAvoy</c:v>
              </c:pt>
              <c:pt idx="304">
                <c:v>Philip Tubbs</c:v>
              </c:pt>
              <c:pt idx="305">
                <c:v>Kyle Anderson</c:v>
              </c:pt>
              <c:pt idx="306">
                <c:v>Deanna Wang</c:v>
              </c:pt>
              <c:pt idx="307">
                <c:v>Lloyd Norton</c:v>
              </c:pt>
              <c:pt idx="308">
                <c:v>Marie Whitfield</c:v>
              </c:pt>
              <c:pt idx="309">
                <c:v>Susan Carley</c:v>
              </c:pt>
              <c:pt idx="310">
                <c:v>Joanne Sayer</c:v>
              </c:pt>
              <c:pt idx="311">
                <c:v>Denise Clark</c:v>
              </c:pt>
              <c:pt idx="312">
                <c:v>Peter Jago</c:v>
              </c:pt>
              <c:pt idx="313">
                <c:v>Jacob Percival</c:v>
              </c:pt>
              <c:pt idx="314">
                <c:v>Philip Sutherland</c:v>
              </c:pt>
              <c:pt idx="315">
                <c:v>Matthew Crowe</c:v>
              </c:pt>
              <c:pt idx="316">
                <c:v>Susan Goude</c:v>
              </c:pt>
              <c:pt idx="317">
                <c:v>John Osborne</c:v>
              </c:pt>
              <c:pt idx="318">
                <c:v>Alen Dinan</c:v>
              </c:pt>
              <c:pt idx="319">
                <c:v>Paul Power</c:v>
              </c:pt>
              <c:pt idx="320">
                <c:v>John Curtis</c:v>
              </c:pt>
              <c:pt idx="321">
                <c:v>Derek Harris</c:v>
              </c:pt>
              <c:pt idx="322">
                <c:v>Penelope Freeland</c:v>
              </c:pt>
              <c:pt idx="323">
                <c:v>Ian McCartan</c:v>
              </c:pt>
              <c:pt idx="324">
                <c:v>Michael Rodgers</c:v>
              </c:pt>
              <c:pt idx="325">
                <c:v>Douglas Davies</c:v>
              </c:pt>
              <c:pt idx="326">
                <c:v>May Wilmot</c:v>
              </c:pt>
              <c:pt idx="327">
                <c:v>Jonathan Will</c:v>
              </c:pt>
              <c:pt idx="328">
                <c:v>Tony Milner</c:v>
              </c:pt>
              <c:pt idx="329">
                <c:v>Paul Munday</c:v>
              </c:pt>
              <c:pt idx="330">
                <c:v>Russell Thorley</c:v>
              </c:pt>
              <c:pt idx="331">
                <c:v>Ronald Butler</c:v>
              </c:pt>
              <c:pt idx="332">
                <c:v>Catherine Gagg</c:v>
              </c:pt>
              <c:pt idx="333">
                <c:v>David Salmon</c:v>
              </c:pt>
              <c:pt idx="334">
                <c:v>Derek Anderson</c:v>
              </c:pt>
              <c:pt idx="335">
                <c:v>Emma Gibbons</c:v>
              </c:pt>
              <c:pt idx="336">
                <c:v>Robert Payne</c:v>
              </c:pt>
              <c:pt idx="337">
                <c:v>Martin Gee</c:v>
              </c:pt>
              <c:pt idx="338">
                <c:v>Austin Parsons</c:v>
              </c:pt>
              <c:pt idx="339">
                <c:v>Susan Luker</c:v>
              </c:pt>
              <c:pt idx="340">
                <c:v>Ronald Bettley</c:v>
              </c:pt>
              <c:pt idx="341">
                <c:v>Pauline Pope</c:v>
              </c:pt>
              <c:pt idx="342">
                <c:v>Robert Salisbury</c:v>
              </c:pt>
              <c:pt idx="343">
                <c:v>Malcolm Griffith</c:v>
              </c:pt>
              <c:pt idx="344">
                <c:v>Valerie Hook</c:v>
              </c:pt>
              <c:pt idx="345">
                <c:v>Philip Collins</c:v>
              </c:pt>
              <c:pt idx="346">
                <c:v>Julia Hammond</c:v>
              </c:pt>
              <c:pt idx="347">
                <c:v>Steven Wood</c:v>
              </c:pt>
              <c:pt idx="348">
                <c:v>Richard Batty</c:v>
              </c:pt>
              <c:pt idx="349">
                <c:v>Richard McGrath</c:v>
              </c:pt>
              <c:pt idx="350">
                <c:v>Brenda Lightfoot</c:v>
              </c:pt>
              <c:pt idx="351">
                <c:v>Martin Timmins</c:v>
              </c:pt>
              <c:pt idx="352">
                <c:v>Paul Puri</c:v>
              </c:pt>
              <c:pt idx="353">
                <c:v>Richard Rowe</c:v>
              </c:pt>
              <c:pt idx="354">
                <c:v>Darren Webb</c:v>
              </c:pt>
              <c:pt idx="355">
                <c:v>Catherine Rahman</c:v>
              </c:pt>
              <c:pt idx="356">
                <c:v>Alice Canning</c:v>
              </c:pt>
              <c:pt idx="357">
                <c:v>Francis Walsh</c:v>
              </c:pt>
              <c:pt idx="358">
                <c:v>Maureen Haymes</c:v>
              </c:pt>
              <c:pt idx="359">
                <c:v>Jordan Andrews</c:v>
              </c:pt>
              <c:pt idx="360">
                <c:v>John Verma</c:v>
              </c:pt>
              <c:pt idx="361">
                <c:v>Richard Dewar</c:v>
              </c:pt>
              <c:pt idx="362">
                <c:v>Susan Toye</c:v>
              </c:pt>
              <c:pt idx="363">
                <c:v>Gillan Clark</c:v>
              </c:pt>
              <c:pt idx="364">
                <c:v>Neil Tubbs</c:v>
              </c:pt>
              <c:pt idx="365">
                <c:v>Rita Jenkins</c:v>
              </c:pt>
              <c:pt idx="366">
                <c:v>David Finnie</c:v>
              </c:pt>
              <c:pt idx="367">
                <c:v>James Stephen</c:v>
              </c:pt>
              <c:pt idx="368">
                <c:v>Glen Campbell</c:v>
              </c:pt>
              <c:pt idx="369">
                <c:v>Peter Kelly</c:v>
              </c:pt>
              <c:pt idx="370">
                <c:v>John Bond</c:v>
              </c:pt>
              <c:pt idx="371">
                <c:v>Ram Mathews</c:v>
              </c:pt>
              <c:pt idx="372">
                <c:v>Victoria Sherwin</c:v>
              </c:pt>
              <c:pt idx="373">
                <c:v>William Lant</c:v>
              </c:pt>
              <c:pt idx="374">
                <c:v>Roy Lloyd</c:v>
              </c:pt>
              <c:pt idx="375">
                <c:v>Glenys Raymond</c:v>
              </c:pt>
              <c:pt idx="376">
                <c:v>Amelia Scott</c:v>
              </c:pt>
              <c:pt idx="377">
                <c:v>Heather Beck</c:v>
              </c:pt>
              <c:pt idx="378">
                <c:v>Paul Skiba</c:v>
              </c:pt>
              <c:pt idx="379">
                <c:v>Christine Davies</c:v>
              </c:pt>
              <c:pt idx="380">
                <c:v>Christopher Griffith</c:v>
              </c:pt>
              <c:pt idx="381">
                <c:v>Delia Muhammad</c:v>
              </c:pt>
              <c:pt idx="382">
                <c:v>Thomas Gordon</c:v>
              </c:pt>
              <c:pt idx="383">
                <c:v>Penelope Norton</c:v>
              </c:pt>
              <c:pt idx="384">
                <c:v>Robert Reed</c:v>
              </c:pt>
              <c:pt idx="385">
                <c:v>Ryan Goad</c:v>
              </c:pt>
              <c:pt idx="386">
                <c:v>Alison Younger</c:v>
              </c:pt>
              <c:pt idx="387">
                <c:v>Peter Thompson</c:v>
              </c:pt>
              <c:pt idx="388">
                <c:v>Nicola Nathan</c:v>
              </c:pt>
              <c:pt idx="389">
                <c:v>Olive Foster</c:v>
              </c:pt>
              <c:pt idx="390">
                <c:v>Wolf Christian</c:v>
              </c:pt>
              <c:pt idx="391">
                <c:v>Geoffrey Shiner</c:v>
              </c:pt>
              <c:pt idx="392">
                <c:v>Golam Reid</c:v>
              </c:pt>
              <c:pt idx="393">
                <c:v>Ron Goodman</c:v>
              </c:pt>
              <c:pt idx="394">
                <c:v>Francis Hughes</c:v>
              </c:pt>
              <c:pt idx="395">
                <c:v>Claire Brooks</c:v>
              </c:pt>
              <c:pt idx="396">
                <c:v>Nick Denny</c:v>
              </c:pt>
              <c:pt idx="397">
                <c:v>Alison Lazar</c:v>
              </c:pt>
              <c:pt idx="398">
                <c:v>Chandrakant Atkins</c:v>
              </c:pt>
              <c:pt idx="399">
                <c:v>Kevin Ross</c:v>
              </c:pt>
              <c:pt idx="400">
                <c:v>Paul Collier</c:v>
              </c:pt>
              <c:pt idx="401">
                <c:v>Paul Salmon</c:v>
              </c:pt>
              <c:pt idx="402">
                <c:v>Mark Brook</c:v>
              </c:pt>
              <c:pt idx="403">
                <c:v>Diane Batty</c:v>
              </c:pt>
              <c:pt idx="404">
                <c:v>Christopher Grey</c:v>
              </c:pt>
              <c:pt idx="405">
                <c:v>Simon Snape</c:v>
              </c:pt>
              <c:pt idx="406">
                <c:v>Alexander Uddin</c:v>
              </c:pt>
              <c:pt idx="407">
                <c:v>Nick Gee</c:v>
              </c:pt>
              <c:pt idx="408">
                <c:v>Nicola Hewitt</c:v>
              </c:pt>
              <c:pt idx="409">
                <c:v>Zoe Munday</c:v>
              </c:pt>
              <c:pt idx="410">
                <c:v>Basil Bell</c:v>
              </c:pt>
              <c:pt idx="411">
                <c:v>Jacqueline Green</c:v>
              </c:pt>
              <c:pt idx="412">
                <c:v>Howard Jones</c:v>
              </c:pt>
              <c:pt idx="413">
                <c:v>Paul Mannion</c:v>
              </c:pt>
              <c:pt idx="414">
                <c:v>Ketan Bryan</c:v>
              </c:pt>
              <c:pt idx="415">
                <c:v>Anthony Green</c:v>
              </c:pt>
              <c:pt idx="416">
                <c:v>Stephen Smith</c:v>
              </c:pt>
              <c:pt idx="417">
                <c:v>Gillian Harris</c:v>
              </c:pt>
              <c:pt idx="418">
                <c:v>Cheryl Tubbs</c:v>
              </c:pt>
              <c:pt idx="419">
                <c:v>Gary Reynolds</c:v>
              </c:pt>
              <c:pt idx="420">
                <c:v>Denise Docherty</c:v>
              </c:pt>
              <c:pt idx="421">
                <c:v>Daniel Henderson</c:v>
              </c:pt>
              <c:pt idx="422">
                <c:v>James Gahagan</c:v>
              </c:pt>
              <c:pt idx="423">
                <c:v>Martin Birch</c:v>
              </c:pt>
              <c:pt idx="424">
                <c:v>Paul Rule</c:v>
              </c:pt>
              <c:pt idx="425">
                <c:v>Stuart Hunter</c:v>
              </c:pt>
              <c:pt idx="426">
                <c:v>Jason Edmund</c:v>
              </c:pt>
              <c:pt idx="427">
                <c:v>Kenneth Bullion</c:v>
              </c:pt>
              <c:pt idx="428">
                <c:v>David Walker</c:v>
              </c:pt>
              <c:pt idx="429">
                <c:v>Kevin McLauchlin</c:v>
              </c:pt>
              <c:pt idx="430">
                <c:v>Heather McGill</c:v>
              </c:pt>
              <c:pt idx="431">
                <c:v>Ian Christian</c:v>
              </c:pt>
              <c:pt idx="432">
                <c:v>Steven Bell</c:v>
              </c:pt>
              <c:pt idx="433">
                <c:v>Gillian Allnutt</c:v>
              </c:pt>
              <c:pt idx="434">
                <c:v>Donald Higgs</c:v>
              </c:pt>
              <c:pt idx="435">
                <c:v>Rory Bullion</c:v>
              </c:pt>
              <c:pt idx="436">
                <c:v>David Dorey</c:v>
              </c:pt>
              <c:pt idx="437">
                <c:v>Margaret Philp</c:v>
              </c:pt>
              <c:pt idx="438">
                <c:v>Suzanna Davies</c:v>
              </c:pt>
              <c:pt idx="439">
                <c:v>Ronnette Stocks</c:v>
              </c:pt>
              <c:pt idx="440">
                <c:v>Christopher Kitching</c:v>
              </c:pt>
              <c:pt idx="441">
                <c:v>Richard James</c:v>
              </c:pt>
              <c:pt idx="442">
                <c:v>Marek Kwiatkowski</c:v>
              </c:pt>
              <c:pt idx="443">
                <c:v>Daniel Battersby</c:v>
              </c:pt>
              <c:pt idx="444">
                <c:v>Kevin Styles</c:v>
              </c:pt>
              <c:pt idx="445">
                <c:v>Bruce McPhee</c:v>
              </c:pt>
              <c:pt idx="446">
                <c:v>Allyson Parker</c:v>
              </c:pt>
              <c:pt idx="447">
                <c:v>David Gow</c:v>
              </c:pt>
              <c:pt idx="448">
                <c:v>Valerie Pereira</c:v>
              </c:pt>
              <c:pt idx="449">
                <c:v>Alexandra Wright</c:v>
              </c:pt>
              <c:pt idx="450">
                <c:v>Michael Wood</c:v>
              </c:pt>
              <c:pt idx="451">
                <c:v>Trudi Griffin</c:v>
              </c:pt>
              <c:pt idx="452">
                <c:v>James Carley</c:v>
              </c:pt>
              <c:pt idx="453">
                <c:v>Cordia Alston</c:v>
              </c:pt>
              <c:pt idx="454">
                <c:v>Tessa Morrow</c:v>
              </c:pt>
              <c:pt idx="455">
                <c:v>Antony Westlake</c:v>
              </c:pt>
              <c:pt idx="456">
                <c:v>Marcus Jacob</c:v>
              </c:pt>
              <c:pt idx="457">
                <c:v>Paul Sherwin</c:v>
              </c:pt>
              <c:pt idx="458">
                <c:v>Paul Drage</c:v>
              </c:pt>
              <c:pt idx="459">
                <c:v>Christina Pedley</c:v>
              </c:pt>
              <c:pt idx="460">
                <c:v>James Anthony</c:v>
              </c:pt>
              <c:pt idx="461">
                <c:v>James Scott</c:v>
              </c:pt>
              <c:pt idx="462">
                <c:v>Stephen Cohen</c:v>
              </c:pt>
              <c:pt idx="463">
                <c:v>John Barnett</c:v>
              </c:pt>
              <c:pt idx="464">
                <c:v>Richard Foy</c:v>
              </c:pt>
              <c:pt idx="465">
                <c:v>William Martin</c:v>
              </c:pt>
              <c:pt idx="466">
                <c:v>Jacqueline Clamp</c:v>
              </c:pt>
              <c:pt idx="467">
                <c:v>Robert Brook</c:v>
              </c:pt>
              <c:pt idx="468">
                <c:v>Danny Brooks</c:v>
              </c:pt>
              <c:pt idx="469">
                <c:v>Robert Arnold</c:v>
              </c:pt>
              <c:pt idx="470">
                <c:v>Alexander Hillier</c:v>
              </c:pt>
              <c:pt idx="471">
                <c:v>Ian Borowski</c:v>
              </c:pt>
              <c:pt idx="472">
                <c:v>Stuart Sykes</c:v>
              </c:pt>
              <c:pt idx="473">
                <c:v>Barbara Scott</c:v>
              </c:pt>
              <c:pt idx="474">
                <c:v>Stuart Brown</c:v>
              </c:pt>
              <c:pt idx="475">
                <c:v>Lucy Downs</c:v>
              </c:pt>
              <c:pt idx="476">
                <c:v>James Ricketts</c:v>
              </c:pt>
              <c:pt idx="477">
                <c:v>David Stewart</c:v>
              </c:pt>
              <c:pt idx="478">
                <c:v>David Townsend</c:v>
              </c:pt>
              <c:pt idx="479">
                <c:v>Emily Brierley</c:v>
              </c:pt>
              <c:pt idx="480">
                <c:v>John Jenkins</c:v>
              </c:pt>
              <c:pt idx="481">
                <c:v>Michael Toy</c:v>
              </c:pt>
              <c:pt idx="482">
                <c:v>John Gunter</c:v>
              </c:pt>
              <c:pt idx="483">
                <c:v>Roger Scott</c:v>
              </c:pt>
              <c:pt idx="484">
                <c:v>Elizabeth Holloway</c:v>
              </c:pt>
              <c:pt idx="485">
                <c:v>Michelle Murray</c:v>
              </c:pt>
              <c:pt idx="486">
                <c:v>Darren Brooks</c:v>
              </c:pt>
              <c:pt idx="487">
                <c:v>David Philp</c:v>
              </c:pt>
              <c:pt idx="488">
                <c:v>Harold Lunn</c:v>
              </c:pt>
              <c:pt idx="489">
                <c:v>David Johnson</c:v>
              </c:pt>
              <c:pt idx="490">
                <c:v>Frances Weller</c:v>
              </c:pt>
              <c:pt idx="491">
                <c:v>Mary Mitchell</c:v>
              </c:pt>
              <c:pt idx="492">
                <c:v>Abdul Amos</c:v>
              </c:pt>
              <c:pt idx="493">
                <c:v>Paul Long</c:v>
              </c:pt>
              <c:pt idx="494">
                <c:v>David Amos</c:v>
              </c:pt>
              <c:pt idx="495">
                <c:v>Martin Mishra</c:v>
              </c:pt>
              <c:pt idx="496">
                <c:v>Hin Bragg</c:v>
              </c:pt>
              <c:pt idx="497">
                <c:v>Colin Matthews</c:v>
              </c:pt>
              <c:pt idx="498">
                <c:v>Robert Stocks</c:v>
              </c:pt>
              <c:pt idx="499">
                <c:v>Sarah Houghton</c:v>
              </c:pt>
              <c:pt idx="500">
                <c:v>Christopher Hurren</c:v>
              </c:pt>
              <c:pt idx="501">
                <c:v>Andrew Phillips</c:v>
              </c:pt>
              <c:pt idx="502">
                <c:v>Philip Dewar</c:v>
              </c:pt>
              <c:pt idx="503">
                <c:v>Edward Khan</c:v>
              </c:pt>
              <c:pt idx="504">
                <c:v>Zulfiqar Mirza</c:v>
              </c:pt>
              <c:pt idx="505">
                <c:v>Rita Hill</c:v>
              </c:pt>
              <c:pt idx="506">
                <c:v>Stuart Anderson</c:v>
              </c:pt>
              <c:pt idx="507">
                <c:v>Dermot Bailey</c:v>
              </c:pt>
              <c:pt idx="508">
                <c:v>Robert Harris</c:v>
              </c:pt>
              <c:pt idx="509">
                <c:v>Francis Godden</c:v>
              </c:pt>
            </c:strLit>
          </c:cat>
          <c:val>
            <c:numLit>
              <c:formatCode>General</c:formatCode>
              <c:ptCount val="510"/>
              <c:pt idx="0">
                <c:v>22.534199999999998</c:v>
              </c:pt>
              <c:pt idx="1">
                <c:v>24.3</c:v>
              </c:pt>
              <c:pt idx="2">
                <c:v>28.034299999999998</c:v>
              </c:pt>
              <c:pt idx="3">
                <c:v>28.034299999999998</c:v>
              </c:pt>
              <c:pt idx="4">
                <c:v>28.034299999999998</c:v>
              </c:pt>
              <c:pt idx="5">
                <c:v>40.126300000000001</c:v>
              </c:pt>
              <c:pt idx="6">
                <c:v>40.5</c:v>
              </c:pt>
              <c:pt idx="7">
                <c:v>45</c:v>
              </c:pt>
              <c:pt idx="8">
                <c:v>46.08</c:v>
              </c:pt>
              <c:pt idx="9">
                <c:v>46.08</c:v>
              </c:pt>
              <c:pt idx="10">
                <c:v>46.415099999999995</c:v>
              </c:pt>
              <c:pt idx="11">
                <c:v>48.02</c:v>
              </c:pt>
              <c:pt idx="12">
                <c:v>66.612499999999997</c:v>
              </c:pt>
              <c:pt idx="13">
                <c:v>68.003299999999996</c:v>
              </c:pt>
              <c:pt idx="14">
                <c:v>68.013300000000001</c:v>
              </c:pt>
              <c:pt idx="15">
                <c:v>68.452399999999997</c:v>
              </c:pt>
              <c:pt idx="16">
                <c:v>69.7</c:v>
              </c:pt>
              <c:pt idx="17">
                <c:v>70.3125</c:v>
              </c:pt>
              <c:pt idx="18">
                <c:v>74.112499999999997</c:v>
              </c:pt>
              <c:pt idx="19">
                <c:v>76.05</c:v>
              </c:pt>
              <c:pt idx="20">
                <c:v>80</c:v>
              </c:pt>
              <c:pt idx="21">
                <c:v>82.446300000000008</c:v>
              </c:pt>
              <c:pt idx="22">
                <c:v>87.8352</c:v>
              </c:pt>
              <c:pt idx="23">
                <c:v>93.112399999999994</c:v>
              </c:pt>
              <c:pt idx="24">
                <c:v>94.639999999999986</c:v>
              </c:pt>
              <c:pt idx="25">
                <c:v>101.75</c:v>
              </c:pt>
              <c:pt idx="26">
                <c:v>102.1468</c:v>
              </c:pt>
              <c:pt idx="27">
                <c:v>108.0343</c:v>
              </c:pt>
              <c:pt idx="28">
                <c:v>109.03</c:v>
              </c:pt>
              <c:pt idx="29">
                <c:v>113.6893</c:v>
              </c:pt>
              <c:pt idx="30">
                <c:v>115.77330000000001</c:v>
              </c:pt>
              <c:pt idx="31">
                <c:v>119.71340000000001</c:v>
              </c:pt>
              <c:pt idx="32">
                <c:v>123.32</c:v>
              </c:pt>
              <c:pt idx="33">
                <c:v>136.3219</c:v>
              </c:pt>
              <c:pt idx="34">
                <c:v>137.80000000000001</c:v>
              </c:pt>
              <c:pt idx="35">
                <c:v>138.24</c:v>
              </c:pt>
              <c:pt idx="36">
                <c:v>144.06</c:v>
              </c:pt>
              <c:pt idx="37">
                <c:v>156.816</c:v>
              </c:pt>
              <c:pt idx="38">
                <c:v>160.66200000000001</c:v>
              </c:pt>
              <c:pt idx="39">
                <c:v>167.529</c:v>
              </c:pt>
              <c:pt idx="40">
                <c:v>168.73429999999999</c:v>
              </c:pt>
              <c:pt idx="41">
                <c:v>169.96180000000001</c:v>
              </c:pt>
              <c:pt idx="42">
                <c:v>173.07569999999998</c:v>
              </c:pt>
              <c:pt idx="43">
                <c:v>173.53399999999999</c:v>
              </c:pt>
              <c:pt idx="44">
                <c:v>175.27760000000001</c:v>
              </c:pt>
              <c:pt idx="45">
                <c:v>176.96</c:v>
              </c:pt>
              <c:pt idx="46">
                <c:v>178.03</c:v>
              </c:pt>
              <c:pt idx="47">
                <c:v>178.5385</c:v>
              </c:pt>
              <c:pt idx="48">
                <c:v>185.4393</c:v>
              </c:pt>
              <c:pt idx="49">
                <c:v>186.05</c:v>
              </c:pt>
              <c:pt idx="50">
                <c:v>192.5684</c:v>
              </c:pt>
              <c:pt idx="51">
                <c:v>195.86239999999998</c:v>
              </c:pt>
              <c:pt idx="52">
                <c:v>200.02949999999998</c:v>
              </c:pt>
              <c:pt idx="53">
                <c:v>201.2843</c:v>
              </c:pt>
              <c:pt idx="54">
                <c:v>208.45259999999999</c:v>
              </c:pt>
              <c:pt idx="55">
                <c:v>209.51429999999999</c:v>
              </c:pt>
              <c:pt idx="56">
                <c:v>211.25</c:v>
              </c:pt>
              <c:pt idx="57">
                <c:v>211.876</c:v>
              </c:pt>
              <c:pt idx="58">
                <c:v>226.57599999999999</c:v>
              </c:pt>
              <c:pt idx="59">
                <c:v>226.9725</c:v>
              </c:pt>
              <c:pt idx="60">
                <c:v>240.1</c:v>
              </c:pt>
              <c:pt idx="61">
                <c:v>250.88</c:v>
              </c:pt>
              <c:pt idx="62">
                <c:v>259.2</c:v>
              </c:pt>
              <c:pt idx="63">
                <c:v>261.88</c:v>
              </c:pt>
              <c:pt idx="64">
                <c:v>264.2303</c:v>
              </c:pt>
              <c:pt idx="65">
                <c:v>267.39249999999998</c:v>
              </c:pt>
              <c:pt idx="66">
                <c:v>272.2047</c:v>
              </c:pt>
              <c:pt idx="67">
                <c:v>273.8</c:v>
              </c:pt>
              <c:pt idx="68">
                <c:v>273.85599999999999</c:v>
              </c:pt>
              <c:pt idx="69">
                <c:v>284.51249999999999</c:v>
              </c:pt>
              <c:pt idx="70">
                <c:v>289.64100000000002</c:v>
              </c:pt>
              <c:pt idx="71">
                <c:v>315.7525</c:v>
              </c:pt>
              <c:pt idx="72">
                <c:v>318.01330000000002</c:v>
              </c:pt>
              <c:pt idx="73">
                <c:v>323.79770000000002</c:v>
              </c:pt>
              <c:pt idx="74">
                <c:v>344.11599999999999</c:v>
              </c:pt>
              <c:pt idx="75">
                <c:v>359.78</c:v>
              </c:pt>
              <c:pt idx="76">
                <c:v>361.62</c:v>
              </c:pt>
              <c:pt idx="77">
                <c:v>362.666</c:v>
              </c:pt>
              <c:pt idx="78">
                <c:v>372.45609999999999</c:v>
              </c:pt>
              <c:pt idx="79">
                <c:v>378.68269999999995</c:v>
              </c:pt>
              <c:pt idx="80">
                <c:v>380.5761</c:v>
              </c:pt>
              <c:pt idx="81">
                <c:v>387.09320000000002</c:v>
              </c:pt>
              <c:pt idx="82">
                <c:v>387.17</c:v>
              </c:pt>
              <c:pt idx="83">
                <c:v>396.05</c:v>
              </c:pt>
              <c:pt idx="84">
                <c:v>413.28</c:v>
              </c:pt>
              <c:pt idx="85">
                <c:v>414.71250000000003</c:v>
              </c:pt>
              <c:pt idx="86">
                <c:v>419.91999999999996</c:v>
              </c:pt>
              <c:pt idx="87">
                <c:v>420.11599999999999</c:v>
              </c:pt>
              <c:pt idx="88">
                <c:v>434.14</c:v>
              </c:pt>
              <c:pt idx="89">
                <c:v>440.50419999999997</c:v>
              </c:pt>
              <c:pt idx="90">
                <c:v>446.39600000000002</c:v>
              </c:pt>
              <c:pt idx="91">
                <c:v>455.92840000000001</c:v>
              </c:pt>
              <c:pt idx="92">
                <c:v>460.8</c:v>
              </c:pt>
              <c:pt idx="93">
                <c:v>466.81200000000001</c:v>
              </c:pt>
              <c:pt idx="94">
                <c:v>470.11</c:v>
              </c:pt>
              <c:pt idx="95">
                <c:v>470.45</c:v>
              </c:pt>
              <c:pt idx="96">
                <c:v>478.29349999999999</c:v>
              </c:pt>
              <c:pt idx="97">
                <c:v>480.2</c:v>
              </c:pt>
              <c:pt idx="98">
                <c:v>484.4</c:v>
              </c:pt>
              <c:pt idx="99">
                <c:v>499.28</c:v>
              </c:pt>
              <c:pt idx="100">
                <c:v>499.59000000000003</c:v>
              </c:pt>
              <c:pt idx="101">
                <c:v>500</c:v>
              </c:pt>
              <c:pt idx="102">
                <c:v>500.62630000000001</c:v>
              </c:pt>
              <c:pt idx="103">
                <c:v>503.06669999999997</c:v>
              </c:pt>
              <c:pt idx="104">
                <c:v>506.33240000000001</c:v>
              </c:pt>
              <c:pt idx="105">
                <c:v>506.60239999999999</c:v>
              </c:pt>
              <c:pt idx="106">
                <c:v>507.66</c:v>
              </c:pt>
              <c:pt idx="107">
                <c:v>510.28000000000003</c:v>
              </c:pt>
              <c:pt idx="108">
                <c:v>511.49189999999999</c:v>
              </c:pt>
              <c:pt idx="109">
                <c:v>516.58429999999998</c:v>
              </c:pt>
              <c:pt idx="110">
                <c:v>517.72</c:v>
              </c:pt>
              <c:pt idx="111">
                <c:v>522.73</c:v>
              </c:pt>
              <c:pt idx="112">
                <c:v>524.41</c:v>
              </c:pt>
              <c:pt idx="113">
                <c:v>524.88</c:v>
              </c:pt>
              <c:pt idx="114">
                <c:v>528.41</c:v>
              </c:pt>
              <c:pt idx="115">
                <c:v>534.7342000000001</c:v>
              </c:pt>
              <c:pt idx="116">
                <c:v>545</c:v>
              </c:pt>
              <c:pt idx="117">
                <c:v>545.79509999999993</c:v>
              </c:pt>
              <c:pt idx="118">
                <c:v>550</c:v>
              </c:pt>
              <c:pt idx="119">
                <c:v>552.2414</c:v>
              </c:pt>
              <c:pt idx="120">
                <c:v>554.48</c:v>
              </c:pt>
              <c:pt idx="121">
                <c:v>556.10519999999997</c:v>
              </c:pt>
              <c:pt idx="122">
                <c:v>556.76420000000007</c:v>
              </c:pt>
              <c:pt idx="123">
                <c:v>559.78980000000001</c:v>
              </c:pt>
              <c:pt idx="124">
                <c:v>561.79999999999995</c:v>
              </c:pt>
              <c:pt idx="125">
                <c:v>564.90519999999992</c:v>
              </c:pt>
              <c:pt idx="126">
                <c:v>568.14100000000008</c:v>
              </c:pt>
              <c:pt idx="127">
                <c:v>569.90279999999996</c:v>
              </c:pt>
              <c:pt idx="128">
                <c:v>579.02670000000012</c:v>
              </c:pt>
              <c:pt idx="129">
                <c:v>581.13409999999999</c:v>
              </c:pt>
              <c:pt idx="130">
                <c:v>587.16819999999996</c:v>
              </c:pt>
              <c:pt idx="131">
                <c:v>590.70000000000005</c:v>
              </c:pt>
              <c:pt idx="132">
                <c:v>608.4</c:v>
              </c:pt>
              <c:pt idx="133">
                <c:v>609.68190000000004</c:v>
              </c:pt>
              <c:pt idx="134">
                <c:v>616.72</c:v>
              </c:pt>
              <c:pt idx="135">
                <c:v>616.79999999999995</c:v>
              </c:pt>
              <c:pt idx="136">
                <c:v>618.52</c:v>
              </c:pt>
              <c:pt idx="137">
                <c:v>619.19999999999993</c:v>
              </c:pt>
              <c:pt idx="138">
                <c:v>620.19999999999993</c:v>
              </c:pt>
              <c:pt idx="139">
                <c:v>625.072</c:v>
              </c:pt>
              <c:pt idx="140">
                <c:v>632.48250000000007</c:v>
              </c:pt>
              <c:pt idx="141">
                <c:v>633.3125</c:v>
              </c:pt>
              <c:pt idx="142">
                <c:v>634.21</c:v>
              </c:pt>
              <c:pt idx="143">
                <c:v>640</c:v>
              </c:pt>
              <c:pt idx="144">
                <c:v>643.05029999999999</c:v>
              </c:pt>
              <c:pt idx="145">
                <c:v>651.28860000000009</c:v>
              </c:pt>
              <c:pt idx="146">
                <c:v>652.5</c:v>
              </c:pt>
              <c:pt idx="147">
                <c:v>653.33000000000004</c:v>
              </c:pt>
              <c:pt idx="148">
                <c:v>654.25</c:v>
              </c:pt>
              <c:pt idx="149">
                <c:v>658.20169999999996</c:v>
              </c:pt>
              <c:pt idx="150">
                <c:v>658.88419999999996</c:v>
              </c:pt>
              <c:pt idx="151">
                <c:v>661.06680000000006</c:v>
              </c:pt>
              <c:pt idx="152">
                <c:v>663.47190000000001</c:v>
              </c:pt>
              <c:pt idx="153">
                <c:v>663.4828</c:v>
              </c:pt>
              <c:pt idx="154">
                <c:v>670.61250000000007</c:v>
              </c:pt>
              <c:pt idx="155">
                <c:v>674.1</c:v>
              </c:pt>
              <c:pt idx="156">
                <c:v>677.33470000000011</c:v>
              </c:pt>
              <c:pt idx="157">
                <c:v>677.83</c:v>
              </c:pt>
              <c:pt idx="158">
                <c:v>680.2</c:v>
              </c:pt>
              <c:pt idx="159">
                <c:v>683.13520000000005</c:v>
              </c:pt>
              <c:pt idx="160">
                <c:v>687.44</c:v>
              </c:pt>
              <c:pt idx="161">
                <c:v>691.61430000000007</c:v>
              </c:pt>
              <c:pt idx="162">
                <c:v>691.8</c:v>
              </c:pt>
              <c:pt idx="163">
                <c:v>691.82</c:v>
              </c:pt>
              <c:pt idx="164">
                <c:v>692.02429999999993</c:v>
              </c:pt>
              <c:pt idx="165">
                <c:v>692.476</c:v>
              </c:pt>
              <c:pt idx="166">
                <c:v>694.11329999999998</c:v>
              </c:pt>
              <c:pt idx="167">
                <c:v>695.5</c:v>
              </c:pt>
              <c:pt idx="168">
                <c:v>696.33929999999998</c:v>
              </c:pt>
              <c:pt idx="169">
                <c:v>696.57180000000005</c:v>
              </c:pt>
              <c:pt idx="170">
                <c:v>706.56000000000006</c:v>
              </c:pt>
              <c:pt idx="171">
                <c:v>709.81</c:v>
              </c:pt>
              <c:pt idx="172">
                <c:v>711.61400000000003</c:v>
              </c:pt>
              <c:pt idx="173">
                <c:v>715.68</c:v>
              </c:pt>
              <c:pt idx="174">
                <c:v>725.85</c:v>
              </c:pt>
              <c:pt idx="175">
                <c:v>727.33600000000001</c:v>
              </c:pt>
              <c:pt idx="176">
                <c:v>730.4</c:v>
              </c:pt>
              <c:pt idx="177">
                <c:v>731.86210000000005</c:v>
              </c:pt>
              <c:pt idx="178">
                <c:v>740.10760000000005</c:v>
              </c:pt>
              <c:pt idx="179">
                <c:v>740.89599999999996</c:v>
              </c:pt>
              <c:pt idx="180">
                <c:v>756.23250000000007</c:v>
              </c:pt>
              <c:pt idx="181">
                <c:v>756.7</c:v>
              </c:pt>
              <c:pt idx="182">
                <c:v>758.24669999999992</c:v>
              </c:pt>
              <c:pt idx="183">
                <c:v>759.48</c:v>
              </c:pt>
              <c:pt idx="184">
                <c:v>762.23400000000004</c:v>
              </c:pt>
              <c:pt idx="185">
                <c:v>763.16360000000009</c:v>
              </c:pt>
              <c:pt idx="186">
                <c:v>765.97900000000004</c:v>
              </c:pt>
              <c:pt idx="187">
                <c:v>766.61249999999995</c:v>
              </c:pt>
              <c:pt idx="188">
                <c:v>768.15419999999995</c:v>
              </c:pt>
              <c:pt idx="189">
                <c:v>769.40359999999998</c:v>
              </c:pt>
              <c:pt idx="190">
                <c:v>770.46849999999995</c:v>
              </c:pt>
              <c:pt idx="191">
                <c:v>771.37599999999998</c:v>
              </c:pt>
              <c:pt idx="192">
                <c:v>776.99109999999985</c:v>
              </c:pt>
              <c:pt idx="193">
                <c:v>780.20029999999997</c:v>
              </c:pt>
              <c:pt idx="194">
                <c:v>782.55250000000001</c:v>
              </c:pt>
              <c:pt idx="195">
                <c:v>782.65</c:v>
              </c:pt>
              <c:pt idx="196">
                <c:v>783.15000000000009</c:v>
              </c:pt>
              <c:pt idx="197">
                <c:v>792.06329999999991</c:v>
              </c:pt>
              <c:pt idx="198">
                <c:v>798.68910000000005</c:v>
              </c:pt>
              <c:pt idx="199">
                <c:v>799.25</c:v>
              </c:pt>
              <c:pt idx="200">
                <c:v>802.68880000000001</c:v>
              </c:pt>
              <c:pt idx="201">
                <c:v>803.40750000000003</c:v>
              </c:pt>
              <c:pt idx="202">
                <c:v>806.1</c:v>
              </c:pt>
              <c:pt idx="203">
                <c:v>826.94999999999993</c:v>
              </c:pt>
              <c:pt idx="204">
                <c:v>828</c:v>
              </c:pt>
              <c:pt idx="205">
                <c:v>841.92</c:v>
              </c:pt>
              <c:pt idx="206">
                <c:v>855.29169999999999</c:v>
              </c:pt>
              <c:pt idx="207">
                <c:v>860.28880000000004</c:v>
              </c:pt>
              <c:pt idx="208">
                <c:v>864.12570000000005</c:v>
              </c:pt>
              <c:pt idx="209">
                <c:v>865.39600000000007</c:v>
              </c:pt>
              <c:pt idx="210">
                <c:v>869.80230000000006</c:v>
              </c:pt>
              <c:pt idx="211">
                <c:v>869.86289999999997</c:v>
              </c:pt>
              <c:pt idx="212">
                <c:v>872.73879999999986</c:v>
              </c:pt>
              <c:pt idx="213">
                <c:v>882.13</c:v>
              </c:pt>
              <c:pt idx="214">
                <c:v>886.07600000000002</c:v>
              </c:pt>
              <c:pt idx="215">
                <c:v>887.81600000000003</c:v>
              </c:pt>
              <c:pt idx="216">
                <c:v>892.01599999999985</c:v>
              </c:pt>
              <c:pt idx="217">
                <c:v>896.18000000000018</c:v>
              </c:pt>
              <c:pt idx="218">
                <c:v>896.94500000000005</c:v>
              </c:pt>
              <c:pt idx="219">
                <c:v>897.02600000000007</c:v>
              </c:pt>
              <c:pt idx="220">
                <c:v>909.41810000000021</c:v>
              </c:pt>
              <c:pt idx="221">
                <c:v>909.79600000000005</c:v>
              </c:pt>
              <c:pt idx="222">
                <c:v>915.64</c:v>
              </c:pt>
              <c:pt idx="223">
                <c:v>918.11029999999994</c:v>
              </c:pt>
              <c:pt idx="224">
                <c:v>921.38279999999997</c:v>
              </c:pt>
              <c:pt idx="225">
                <c:v>922.52600000000007</c:v>
              </c:pt>
              <c:pt idx="226">
                <c:v>925.17450000000008</c:v>
              </c:pt>
              <c:pt idx="227">
                <c:v>928.99249999999995</c:v>
              </c:pt>
              <c:pt idx="228">
                <c:v>932.4559999999999</c:v>
              </c:pt>
              <c:pt idx="229">
                <c:v>934.14509999999996</c:v>
              </c:pt>
              <c:pt idx="230">
                <c:v>936.57</c:v>
              </c:pt>
              <c:pt idx="231">
                <c:v>938.66819999999996</c:v>
              </c:pt>
              <c:pt idx="232">
                <c:v>938.93000000000006</c:v>
              </c:pt>
              <c:pt idx="233">
                <c:v>941</c:v>
              </c:pt>
              <c:pt idx="234">
                <c:v>945.45</c:v>
              </c:pt>
              <c:pt idx="235">
                <c:v>946.02200000000005</c:v>
              </c:pt>
              <c:pt idx="236">
                <c:v>953.93000000000006</c:v>
              </c:pt>
              <c:pt idx="237">
                <c:v>956.88429999999994</c:v>
              </c:pt>
              <c:pt idx="238">
                <c:v>964.9357</c:v>
              </c:pt>
              <c:pt idx="239">
                <c:v>965.05250000000012</c:v>
              </c:pt>
              <c:pt idx="240">
                <c:v>977.17820000000006</c:v>
              </c:pt>
              <c:pt idx="241">
                <c:v>984.40000000000009</c:v>
              </c:pt>
              <c:pt idx="242">
                <c:v>995.2971</c:v>
              </c:pt>
              <c:pt idx="243">
                <c:v>996.38519999999994</c:v>
              </c:pt>
              <c:pt idx="244">
                <c:v>999.41669999999999</c:v>
              </c:pt>
              <c:pt idx="245">
                <c:v>1001.296</c:v>
              </c:pt>
              <c:pt idx="246">
                <c:v>1005.9412</c:v>
              </c:pt>
              <c:pt idx="247">
                <c:v>1010.03</c:v>
              </c:pt>
              <c:pt idx="248">
                <c:v>1012.2</c:v>
              </c:pt>
              <c:pt idx="249">
                <c:v>1019.2199999999998</c:v>
              </c:pt>
              <c:pt idx="250">
                <c:v>1026.1300000000001</c:v>
              </c:pt>
              <c:pt idx="251">
                <c:v>1027.69</c:v>
              </c:pt>
              <c:pt idx="252">
                <c:v>1029.1189999999999</c:v>
              </c:pt>
              <c:pt idx="253">
                <c:v>1032.0885000000001</c:v>
              </c:pt>
              <c:pt idx="254">
                <c:v>1032.6342</c:v>
              </c:pt>
              <c:pt idx="255">
                <c:v>1035.3777</c:v>
              </c:pt>
              <c:pt idx="256">
                <c:v>1040.3652000000002</c:v>
              </c:pt>
              <c:pt idx="257">
                <c:v>1048.3606</c:v>
              </c:pt>
              <c:pt idx="258">
                <c:v>1052.05</c:v>
              </c:pt>
              <c:pt idx="259">
                <c:v>1056.9985000000001</c:v>
              </c:pt>
              <c:pt idx="260">
                <c:v>1061.4734000000001</c:v>
              </c:pt>
              <c:pt idx="261">
                <c:v>1062.6399999999999</c:v>
              </c:pt>
              <c:pt idx="262">
                <c:v>1064.0719999999999</c:v>
              </c:pt>
              <c:pt idx="263">
                <c:v>1067.2221999999999</c:v>
              </c:pt>
              <c:pt idx="264">
                <c:v>1069.92</c:v>
              </c:pt>
              <c:pt idx="265">
                <c:v>1075.55</c:v>
              </c:pt>
              <c:pt idx="266">
                <c:v>1079.4099999999999</c:v>
              </c:pt>
              <c:pt idx="267">
                <c:v>1080.72</c:v>
              </c:pt>
              <c:pt idx="268">
                <c:v>1082.7343000000001</c:v>
              </c:pt>
              <c:pt idx="269">
                <c:v>1082.789</c:v>
              </c:pt>
              <c:pt idx="270">
                <c:v>1086.5178000000001</c:v>
              </c:pt>
              <c:pt idx="271">
                <c:v>1089.4902</c:v>
              </c:pt>
              <c:pt idx="272">
                <c:v>1093.4332999999999</c:v>
              </c:pt>
              <c:pt idx="273">
                <c:v>1095.57</c:v>
              </c:pt>
              <c:pt idx="274">
                <c:v>1097.08</c:v>
              </c:pt>
              <c:pt idx="275">
                <c:v>1106.8000000000002</c:v>
              </c:pt>
              <c:pt idx="276">
                <c:v>1108.0624</c:v>
              </c:pt>
              <c:pt idx="277">
                <c:v>1108.4308999999998</c:v>
              </c:pt>
              <c:pt idx="278">
                <c:v>1111.6600000000001</c:v>
              </c:pt>
              <c:pt idx="279">
                <c:v>1113.6889999999999</c:v>
              </c:pt>
              <c:pt idx="280">
                <c:v>1114.1300000000001</c:v>
              </c:pt>
              <c:pt idx="281">
                <c:v>1116.4219000000001</c:v>
              </c:pt>
              <c:pt idx="282">
                <c:v>1125.1675</c:v>
              </c:pt>
              <c:pt idx="283">
                <c:v>1129.4299999999998</c:v>
              </c:pt>
              <c:pt idx="284">
                <c:v>1136.3499999999999</c:v>
              </c:pt>
              <c:pt idx="285">
                <c:v>1137.06</c:v>
              </c:pt>
              <c:pt idx="286">
                <c:v>1140.6592000000001</c:v>
              </c:pt>
              <c:pt idx="287">
                <c:v>1144.9299999999998</c:v>
              </c:pt>
              <c:pt idx="288">
                <c:v>1146.74</c:v>
              </c:pt>
              <c:pt idx="289">
                <c:v>1148.3502000000001</c:v>
              </c:pt>
              <c:pt idx="290">
                <c:v>1157.6125</c:v>
              </c:pt>
              <c:pt idx="291">
                <c:v>1160.9831000000001</c:v>
              </c:pt>
              <c:pt idx="292">
                <c:v>1167.9650000000001</c:v>
              </c:pt>
              <c:pt idx="293">
                <c:v>1171.5259999999998</c:v>
              </c:pt>
              <c:pt idx="294">
                <c:v>1180.0951</c:v>
              </c:pt>
              <c:pt idx="295">
                <c:v>1184.0900000000001</c:v>
              </c:pt>
              <c:pt idx="296">
                <c:v>1188.8124</c:v>
              </c:pt>
              <c:pt idx="297">
                <c:v>1195.5160000000001</c:v>
              </c:pt>
              <c:pt idx="298">
                <c:v>1201.9545000000001</c:v>
              </c:pt>
              <c:pt idx="299">
                <c:v>1212.3724</c:v>
              </c:pt>
              <c:pt idx="300">
                <c:v>1215.6224999999999</c:v>
              </c:pt>
              <c:pt idx="301">
                <c:v>1216.1526999999999</c:v>
              </c:pt>
              <c:pt idx="302">
                <c:v>1225.3133</c:v>
              </c:pt>
              <c:pt idx="303">
                <c:v>1226.463</c:v>
              </c:pt>
              <c:pt idx="304">
                <c:v>1228.7254</c:v>
              </c:pt>
              <c:pt idx="305">
                <c:v>1229.04</c:v>
              </c:pt>
              <c:pt idx="306">
                <c:v>1230.2122999999999</c:v>
              </c:pt>
              <c:pt idx="307">
                <c:v>1231.78</c:v>
              </c:pt>
              <c:pt idx="308">
                <c:v>1237.75</c:v>
              </c:pt>
              <c:pt idx="309">
                <c:v>1240.1500000000001</c:v>
              </c:pt>
              <c:pt idx="310">
                <c:v>1244.7910999999999</c:v>
              </c:pt>
              <c:pt idx="311">
                <c:v>1247.3800000000001</c:v>
              </c:pt>
              <c:pt idx="312">
                <c:v>1251.5</c:v>
              </c:pt>
              <c:pt idx="313">
                <c:v>1253.5032999999999</c:v>
              </c:pt>
              <c:pt idx="314">
                <c:v>1256.2822999999999</c:v>
              </c:pt>
              <c:pt idx="315">
                <c:v>1270.2778000000001</c:v>
              </c:pt>
              <c:pt idx="316">
                <c:v>1270.6143</c:v>
              </c:pt>
              <c:pt idx="317">
                <c:v>1271.4099999999999</c:v>
              </c:pt>
              <c:pt idx="318">
                <c:v>1273.2799999999997</c:v>
              </c:pt>
              <c:pt idx="319">
                <c:v>1277.0642</c:v>
              </c:pt>
              <c:pt idx="320">
                <c:v>1277.4095</c:v>
              </c:pt>
              <c:pt idx="321">
                <c:v>1280.0424</c:v>
              </c:pt>
              <c:pt idx="322">
                <c:v>1282.5903000000001</c:v>
              </c:pt>
              <c:pt idx="323">
                <c:v>1285.0652</c:v>
              </c:pt>
              <c:pt idx="324">
                <c:v>1290.05</c:v>
              </c:pt>
              <c:pt idx="325">
                <c:v>1294.6713999999999</c:v>
              </c:pt>
              <c:pt idx="326">
                <c:v>1302.1525000000001</c:v>
              </c:pt>
              <c:pt idx="327">
                <c:v>1303.5951</c:v>
              </c:pt>
              <c:pt idx="328">
                <c:v>1304.08</c:v>
              </c:pt>
              <c:pt idx="329">
                <c:v>1305.1324</c:v>
              </c:pt>
              <c:pt idx="330">
                <c:v>1306.6724999999999</c:v>
              </c:pt>
              <c:pt idx="331">
                <c:v>1318.63</c:v>
              </c:pt>
              <c:pt idx="332">
                <c:v>1321.91</c:v>
              </c:pt>
              <c:pt idx="333">
                <c:v>1323.4760000000001</c:v>
              </c:pt>
              <c:pt idx="334">
                <c:v>1331.75</c:v>
              </c:pt>
              <c:pt idx="335">
                <c:v>1338.6588999999999</c:v>
              </c:pt>
              <c:pt idx="336">
                <c:v>1359.4043000000001</c:v>
              </c:pt>
              <c:pt idx="337">
                <c:v>1363.8186000000001</c:v>
              </c:pt>
              <c:pt idx="338">
                <c:v>1384.1</c:v>
              </c:pt>
              <c:pt idx="339">
                <c:v>1389.28</c:v>
              </c:pt>
              <c:pt idx="340">
                <c:v>1393.8</c:v>
              </c:pt>
              <c:pt idx="341">
                <c:v>1396.8704</c:v>
              </c:pt>
              <c:pt idx="342">
                <c:v>1397.3924</c:v>
              </c:pt>
              <c:pt idx="343">
                <c:v>1405.3681999999999</c:v>
              </c:pt>
              <c:pt idx="344">
                <c:v>1409.7833000000001</c:v>
              </c:pt>
              <c:pt idx="345">
                <c:v>1416.3653999999999</c:v>
              </c:pt>
              <c:pt idx="346">
                <c:v>1420.6657</c:v>
              </c:pt>
              <c:pt idx="347">
                <c:v>1427.8479</c:v>
              </c:pt>
              <c:pt idx="348">
                <c:v>1431.48</c:v>
              </c:pt>
              <c:pt idx="349">
                <c:v>1440.6333</c:v>
              </c:pt>
              <c:pt idx="350">
                <c:v>1475.6699999999998</c:v>
              </c:pt>
              <c:pt idx="351">
                <c:v>1484.4342000000001</c:v>
              </c:pt>
              <c:pt idx="352">
                <c:v>1486.0588</c:v>
              </c:pt>
              <c:pt idx="353">
                <c:v>1486.9252000000001</c:v>
              </c:pt>
              <c:pt idx="354">
                <c:v>1488.8276000000001</c:v>
              </c:pt>
              <c:pt idx="355">
                <c:v>1498.45</c:v>
              </c:pt>
              <c:pt idx="356">
                <c:v>1506.12</c:v>
              </c:pt>
              <c:pt idx="357">
                <c:v>1511.7643</c:v>
              </c:pt>
              <c:pt idx="358">
                <c:v>1523.5700000000002</c:v>
              </c:pt>
              <c:pt idx="359">
                <c:v>1550.6925000000001</c:v>
              </c:pt>
              <c:pt idx="360">
                <c:v>1553.2419</c:v>
              </c:pt>
              <c:pt idx="361">
                <c:v>1553.326</c:v>
              </c:pt>
              <c:pt idx="362">
                <c:v>1555.2956999999999</c:v>
              </c:pt>
              <c:pt idx="363">
                <c:v>1563.1599999999999</c:v>
              </c:pt>
              <c:pt idx="364">
                <c:v>1566.2646999999999</c:v>
              </c:pt>
              <c:pt idx="365">
                <c:v>1574.5657000000001</c:v>
              </c:pt>
              <c:pt idx="366">
                <c:v>1576.8777</c:v>
              </c:pt>
              <c:pt idx="367">
                <c:v>1577.279</c:v>
              </c:pt>
              <c:pt idx="368">
                <c:v>1584.0752000000002</c:v>
              </c:pt>
              <c:pt idx="369">
                <c:v>1586.87</c:v>
              </c:pt>
              <c:pt idx="370">
                <c:v>1590.3936000000001</c:v>
              </c:pt>
              <c:pt idx="371">
                <c:v>1590.7636000000002</c:v>
              </c:pt>
              <c:pt idx="372">
                <c:v>1591.5804000000001</c:v>
              </c:pt>
              <c:pt idx="373">
                <c:v>1592.3824999999999</c:v>
              </c:pt>
              <c:pt idx="374">
                <c:v>1593.58</c:v>
              </c:pt>
              <c:pt idx="375">
                <c:v>1595.1666999999998</c:v>
              </c:pt>
              <c:pt idx="376">
                <c:v>1596.3803</c:v>
              </c:pt>
              <c:pt idx="377">
                <c:v>1597.1859999999999</c:v>
              </c:pt>
              <c:pt idx="378">
                <c:v>1599.1</c:v>
              </c:pt>
              <c:pt idx="379">
                <c:v>1601.66</c:v>
              </c:pt>
              <c:pt idx="380">
                <c:v>1609.1424</c:v>
              </c:pt>
              <c:pt idx="381">
                <c:v>1609.3420999999998</c:v>
              </c:pt>
              <c:pt idx="382">
                <c:v>1613.8842</c:v>
              </c:pt>
              <c:pt idx="383">
                <c:v>1615.9317000000001</c:v>
              </c:pt>
              <c:pt idx="384">
                <c:v>1616.0843</c:v>
              </c:pt>
              <c:pt idx="385">
                <c:v>1616.95</c:v>
              </c:pt>
              <c:pt idx="386">
                <c:v>1619.3742999999999</c:v>
              </c:pt>
              <c:pt idx="387">
                <c:v>1627.4624999999999</c:v>
              </c:pt>
              <c:pt idx="388">
                <c:v>1631.7925</c:v>
              </c:pt>
              <c:pt idx="389">
                <c:v>1641.2533000000001</c:v>
              </c:pt>
              <c:pt idx="390">
                <c:v>1641.77</c:v>
              </c:pt>
              <c:pt idx="391">
                <c:v>1663.8193000000001</c:v>
              </c:pt>
              <c:pt idx="392">
                <c:v>1668.7441999999999</c:v>
              </c:pt>
              <c:pt idx="393">
                <c:v>1691.0825</c:v>
              </c:pt>
              <c:pt idx="394">
                <c:v>1700.606</c:v>
              </c:pt>
              <c:pt idx="395">
                <c:v>1719.8753000000002</c:v>
              </c:pt>
              <c:pt idx="396">
                <c:v>1734.3285000000001</c:v>
              </c:pt>
              <c:pt idx="397">
                <c:v>1747.6325000000002</c:v>
              </c:pt>
              <c:pt idx="398">
                <c:v>1755.8924999999999</c:v>
              </c:pt>
              <c:pt idx="399">
                <c:v>1764.4960000000001</c:v>
              </c:pt>
              <c:pt idx="400">
                <c:v>1769.8516999999999</c:v>
              </c:pt>
              <c:pt idx="401">
                <c:v>1777.31</c:v>
              </c:pt>
              <c:pt idx="402">
                <c:v>1782.7943</c:v>
              </c:pt>
              <c:pt idx="403">
                <c:v>1794.8117</c:v>
              </c:pt>
              <c:pt idx="404">
                <c:v>1820.8323999999998</c:v>
              </c:pt>
              <c:pt idx="405">
                <c:v>1823.9102</c:v>
              </c:pt>
              <c:pt idx="406">
                <c:v>1825</c:v>
              </c:pt>
              <c:pt idx="407">
                <c:v>1832.146</c:v>
              </c:pt>
              <c:pt idx="408">
                <c:v>1832.52</c:v>
              </c:pt>
              <c:pt idx="409">
                <c:v>1836.49</c:v>
              </c:pt>
              <c:pt idx="410">
                <c:v>1846.2954</c:v>
              </c:pt>
              <c:pt idx="411">
                <c:v>1847.5900000000001</c:v>
              </c:pt>
              <c:pt idx="412">
                <c:v>1854.4993000000002</c:v>
              </c:pt>
              <c:pt idx="413">
                <c:v>1874.4959999999999</c:v>
              </c:pt>
              <c:pt idx="414">
                <c:v>1884.4046000000001</c:v>
              </c:pt>
              <c:pt idx="415">
                <c:v>1888.5457999999999</c:v>
              </c:pt>
              <c:pt idx="416">
                <c:v>1889.3778</c:v>
              </c:pt>
              <c:pt idx="417">
                <c:v>1913.4472999999998</c:v>
              </c:pt>
              <c:pt idx="418">
                <c:v>1913.9670000000001</c:v>
              </c:pt>
              <c:pt idx="419">
                <c:v>1919.6860000000004</c:v>
              </c:pt>
              <c:pt idx="420">
                <c:v>1923.17</c:v>
              </c:pt>
              <c:pt idx="421">
                <c:v>1925.3566000000001</c:v>
              </c:pt>
              <c:pt idx="422">
                <c:v>1934.9099999999999</c:v>
              </c:pt>
              <c:pt idx="423">
                <c:v>1939.76</c:v>
              </c:pt>
              <c:pt idx="424">
                <c:v>1946.2642999999998</c:v>
              </c:pt>
              <c:pt idx="425">
                <c:v>1957.5125000000003</c:v>
              </c:pt>
              <c:pt idx="426">
                <c:v>1971.5293000000001</c:v>
              </c:pt>
              <c:pt idx="427">
                <c:v>1976.4823000000001</c:v>
              </c:pt>
              <c:pt idx="428">
                <c:v>1979.7234000000001</c:v>
              </c:pt>
              <c:pt idx="429">
                <c:v>1987.2476000000001</c:v>
              </c:pt>
              <c:pt idx="430">
                <c:v>1992.1599999999999</c:v>
              </c:pt>
              <c:pt idx="431">
                <c:v>2016.4207999999999</c:v>
              </c:pt>
              <c:pt idx="432">
                <c:v>2032.5650000000001</c:v>
              </c:pt>
              <c:pt idx="433">
                <c:v>2034.7483999999999</c:v>
              </c:pt>
              <c:pt idx="434">
                <c:v>2034.8</c:v>
              </c:pt>
              <c:pt idx="435">
                <c:v>2035.5373999999999</c:v>
              </c:pt>
              <c:pt idx="436">
                <c:v>2047.8416999999999</c:v>
              </c:pt>
              <c:pt idx="437">
                <c:v>2059.2498000000001</c:v>
              </c:pt>
              <c:pt idx="438">
                <c:v>2072.27</c:v>
              </c:pt>
              <c:pt idx="439">
                <c:v>2073.6280999999999</c:v>
              </c:pt>
              <c:pt idx="440">
                <c:v>2087.3825000000002</c:v>
              </c:pt>
              <c:pt idx="441">
                <c:v>2087.4403000000002</c:v>
              </c:pt>
              <c:pt idx="442">
                <c:v>2088.0052000000001</c:v>
              </c:pt>
              <c:pt idx="443">
                <c:v>2089.8134</c:v>
              </c:pt>
              <c:pt idx="444">
                <c:v>2117.8424999999997</c:v>
              </c:pt>
              <c:pt idx="445">
                <c:v>2127.3603000000003</c:v>
              </c:pt>
              <c:pt idx="446">
                <c:v>2134.9742999999999</c:v>
              </c:pt>
              <c:pt idx="447">
                <c:v>2144.1142999999997</c:v>
              </c:pt>
              <c:pt idx="448">
                <c:v>2144.5996</c:v>
              </c:pt>
              <c:pt idx="449">
                <c:v>2151.2816000000003</c:v>
              </c:pt>
              <c:pt idx="450">
                <c:v>2164.096</c:v>
              </c:pt>
              <c:pt idx="451">
                <c:v>2172.5842999999995</c:v>
              </c:pt>
              <c:pt idx="452">
                <c:v>2182.6367</c:v>
              </c:pt>
              <c:pt idx="453">
                <c:v>2207.1800000000003</c:v>
              </c:pt>
              <c:pt idx="454">
                <c:v>2242.1185</c:v>
              </c:pt>
              <c:pt idx="455">
                <c:v>2266.4899999999998</c:v>
              </c:pt>
              <c:pt idx="456">
                <c:v>2266.6124</c:v>
              </c:pt>
              <c:pt idx="457">
                <c:v>2276.5499999999997</c:v>
              </c:pt>
              <c:pt idx="458">
                <c:v>2278.0445</c:v>
              </c:pt>
              <c:pt idx="459">
                <c:v>2291.4299000000001</c:v>
              </c:pt>
              <c:pt idx="460">
                <c:v>2301.9223999999999</c:v>
              </c:pt>
              <c:pt idx="461">
                <c:v>2312.64</c:v>
              </c:pt>
              <c:pt idx="462">
                <c:v>2336.8891000000003</c:v>
              </c:pt>
              <c:pt idx="463">
                <c:v>2342.4792000000002</c:v>
              </c:pt>
              <c:pt idx="464">
                <c:v>2346.2904999999996</c:v>
              </c:pt>
              <c:pt idx="465">
                <c:v>2360.6194</c:v>
              </c:pt>
              <c:pt idx="466">
                <c:v>2371.2311</c:v>
              </c:pt>
              <c:pt idx="467">
                <c:v>2383.3325</c:v>
              </c:pt>
              <c:pt idx="468">
                <c:v>2388.1999999999998</c:v>
              </c:pt>
              <c:pt idx="469">
                <c:v>2391.2537999999995</c:v>
              </c:pt>
              <c:pt idx="470">
                <c:v>2396.7042999999999</c:v>
              </c:pt>
              <c:pt idx="471">
                <c:v>2424.6642000000002</c:v>
              </c:pt>
              <c:pt idx="472">
                <c:v>2429.0941000000003</c:v>
              </c:pt>
              <c:pt idx="473">
                <c:v>2437.1</c:v>
              </c:pt>
              <c:pt idx="474">
                <c:v>2447.1165000000001</c:v>
              </c:pt>
              <c:pt idx="475">
                <c:v>2454.9587000000001</c:v>
              </c:pt>
              <c:pt idx="476">
                <c:v>2471.1626000000001</c:v>
              </c:pt>
              <c:pt idx="477">
                <c:v>2510.3597</c:v>
              </c:pt>
              <c:pt idx="478">
                <c:v>2532.7060000000001</c:v>
              </c:pt>
              <c:pt idx="479">
                <c:v>2544.1057000000001</c:v>
              </c:pt>
              <c:pt idx="480">
                <c:v>2570.2843000000003</c:v>
              </c:pt>
              <c:pt idx="481">
                <c:v>2587.7689000000005</c:v>
              </c:pt>
              <c:pt idx="482">
                <c:v>2590.9344000000001</c:v>
              </c:pt>
              <c:pt idx="483">
                <c:v>2599.1851000000001</c:v>
              </c:pt>
              <c:pt idx="484">
                <c:v>2610.7142000000003</c:v>
              </c:pt>
              <c:pt idx="485">
                <c:v>2647.6244000000002</c:v>
              </c:pt>
              <c:pt idx="486">
                <c:v>2663.2433000000001</c:v>
              </c:pt>
              <c:pt idx="487">
                <c:v>2699.02</c:v>
              </c:pt>
              <c:pt idx="488">
                <c:v>2771.6514999999999</c:v>
              </c:pt>
              <c:pt idx="489">
                <c:v>2779.0541000000003</c:v>
              </c:pt>
              <c:pt idx="490">
                <c:v>2807.8999999999996</c:v>
              </c:pt>
              <c:pt idx="491">
                <c:v>2813.5378999999998</c:v>
              </c:pt>
              <c:pt idx="492">
                <c:v>2821.1941000000006</c:v>
              </c:pt>
              <c:pt idx="493">
                <c:v>2834.6159999999995</c:v>
              </c:pt>
              <c:pt idx="494">
                <c:v>2848.2</c:v>
              </c:pt>
              <c:pt idx="495">
                <c:v>2873.1757000000002</c:v>
              </c:pt>
              <c:pt idx="496">
                <c:v>2909.6042000000007</c:v>
              </c:pt>
              <c:pt idx="497">
                <c:v>3011.3327000000004</c:v>
              </c:pt>
              <c:pt idx="498">
                <c:v>3061.0000000000005</c:v>
              </c:pt>
              <c:pt idx="499">
                <c:v>3069.79</c:v>
              </c:pt>
              <c:pt idx="500">
                <c:v>3103.8524000000002</c:v>
              </c:pt>
              <c:pt idx="501">
                <c:v>3209.71</c:v>
              </c:pt>
              <c:pt idx="502">
                <c:v>3342.5457000000001</c:v>
              </c:pt>
              <c:pt idx="503">
                <c:v>3442.57</c:v>
              </c:pt>
              <c:pt idx="504">
                <c:v>3587.5486000000001</c:v>
              </c:pt>
              <c:pt idx="505">
                <c:v>3589.47</c:v>
              </c:pt>
              <c:pt idx="506">
                <c:v>3650.8073000000004</c:v>
              </c:pt>
              <c:pt idx="507">
                <c:v>3697.37</c:v>
              </c:pt>
              <c:pt idx="508">
                <c:v>3904.28</c:v>
              </c:pt>
              <c:pt idx="509">
                <c:v>4286.6518000000005</c:v>
              </c:pt>
            </c:numLit>
          </c:val>
          <c:extLst>
            <c:ext xmlns:c16="http://schemas.microsoft.com/office/drawing/2014/chart" uri="{C3380CC4-5D6E-409C-BE32-E72D297353CC}">
              <c16:uniqueId val="{00000000-1771-4177-A84C-910306B107D5}"/>
            </c:ext>
          </c:extLst>
        </c:ser>
        <c:dLbls>
          <c:showLegendKey val="0"/>
          <c:showVal val="0"/>
          <c:showCatName val="0"/>
          <c:showSerName val="0"/>
          <c:showPercent val="0"/>
          <c:showBubbleSize val="0"/>
        </c:dLbls>
        <c:gapWidth val="219"/>
        <c:axId val="203008863"/>
        <c:axId val="203009823"/>
      </c:barChart>
      <c:catAx>
        <c:axId val="20300886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9823"/>
        <c:crosses val="autoZero"/>
        <c:auto val="1"/>
        <c:lblAlgn val="ctr"/>
        <c:lblOffset val="100"/>
        <c:noMultiLvlLbl val="0"/>
        <c:extLst>
          <c:ext xmlns:c15="http://schemas.microsoft.com/office/drawing/2012/chart" uri="{F40574EE-89B7-4290-83BB-5DA773EAF853}">
            <c15:numFmt c:formatCode="General" c:sourceLinked="1"/>
          </c:ext>
        </c:extLst>
      </c:catAx>
      <c:valAx>
        <c:axId val="203009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886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[parnit.xlsx]PivotChartTable2</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990600</xdr:colOff>
      <xdr:row>1</xdr:row>
      <xdr:rowOff>30480</xdr:rowOff>
    </xdr:from>
    <xdr:to>
      <xdr:col>19</xdr:col>
      <xdr:colOff>373380</xdr:colOff>
      <xdr:row>31</xdr:row>
      <xdr:rowOff>106680</xdr:rowOff>
    </xdr:to>
    <xdr:graphicFrame macro="">
      <xdr:nvGraphicFramePr>
        <xdr:cNvPr id="2" name="Chart 1">
          <a:extLst>
            <a:ext uri="{FF2B5EF4-FFF2-40B4-BE49-F238E27FC236}">
              <a16:creationId xmlns:a16="http://schemas.microsoft.com/office/drawing/2014/main" id="{DEBE5291-D3D6-B375-A761-4ECF7C7A7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525780</xdr:colOff>
      <xdr:row>21</xdr:row>
      <xdr:rowOff>68581</xdr:rowOff>
    </xdr:from>
    <xdr:to>
      <xdr:col>22</xdr:col>
      <xdr:colOff>525780</xdr:colOff>
      <xdr:row>29</xdr:row>
      <xdr:rowOff>99061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2C0B0AA-6D6B-15F0-1C45-FF9835D092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60680" y="390906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1</xdr:row>
      <xdr:rowOff>38100</xdr:rowOff>
    </xdr:from>
    <xdr:to>
      <xdr:col>22</xdr:col>
      <xdr:colOff>411480</xdr:colOff>
      <xdr:row>20</xdr:row>
      <xdr:rowOff>167640</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11E3F58A-21BE-5C95-2AAA-8CBCA7420C48}"/>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2946380" y="220980"/>
              <a:ext cx="1828800" cy="3604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xdr:row>
      <xdr:rowOff>15240</xdr:rowOff>
    </xdr:from>
    <xdr:to>
      <xdr:col>1</xdr:col>
      <xdr:colOff>960120</xdr:colOff>
      <xdr:row>31</xdr:row>
      <xdr:rowOff>53339</xdr:rowOff>
    </xdr:to>
    <mc:AlternateContent xmlns:mc="http://schemas.openxmlformats.org/markup-compatibility/2006" xmlns:a14="http://schemas.microsoft.com/office/drawing/2010/main">
      <mc:Choice Requires="a14">
        <xdr:graphicFrame macro="">
          <xdr:nvGraphicFramePr>
            <xdr:cNvPr id="5" name="Store 1">
              <a:extLst>
                <a:ext uri="{FF2B5EF4-FFF2-40B4-BE49-F238E27FC236}">
                  <a16:creationId xmlns:a16="http://schemas.microsoft.com/office/drawing/2014/main" id="{8487D025-BBA5-13F8-500F-88DF42B8336A}"/>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38100" y="198120"/>
              <a:ext cx="1828800" cy="552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0</xdr:row>
      <xdr:rowOff>129540</xdr:rowOff>
    </xdr:from>
    <xdr:to>
      <xdr:col>20</xdr:col>
      <xdr:colOff>220980</xdr:colOff>
      <xdr:row>30</xdr:row>
      <xdr:rowOff>38100</xdr:rowOff>
    </xdr:to>
    <xdr:graphicFrame macro="">
      <xdr:nvGraphicFramePr>
        <xdr:cNvPr id="2" name="Chart 1">
          <a:extLst>
            <a:ext uri="{FF2B5EF4-FFF2-40B4-BE49-F238E27FC236}">
              <a16:creationId xmlns:a16="http://schemas.microsoft.com/office/drawing/2014/main" id="{5FD4AB87-D138-02A7-2B51-57E0CBBFC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327660</xdr:colOff>
      <xdr:row>9</xdr:row>
      <xdr:rowOff>53340</xdr:rowOff>
    </xdr:from>
    <xdr:to>
      <xdr:col>23</xdr:col>
      <xdr:colOff>327660</xdr:colOff>
      <xdr:row>29</xdr:row>
      <xdr:rowOff>175260</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F6A666CC-9060-B06F-72AF-5D56AEA54109}"/>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519660" y="1699260"/>
              <a:ext cx="1828800" cy="377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251460</xdr:colOff>
      <xdr:row>0</xdr:row>
      <xdr:rowOff>91441</xdr:rowOff>
    </xdr:from>
    <xdr:to>
      <xdr:col>23</xdr:col>
      <xdr:colOff>251460</xdr:colOff>
      <xdr:row>8</xdr:row>
      <xdr:rowOff>45721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FFC271D-C7C5-25E0-EF91-5512F80DDB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43460" y="9144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0</xdr:row>
      <xdr:rowOff>160020</xdr:rowOff>
    </xdr:from>
    <xdr:to>
      <xdr:col>3</xdr:col>
      <xdr:colOff>83820</xdr:colOff>
      <xdr:row>30</xdr:row>
      <xdr:rowOff>60960</xdr:rowOff>
    </xdr:to>
    <mc:AlternateContent xmlns:mc="http://schemas.openxmlformats.org/markup-compatibility/2006" xmlns:a14="http://schemas.microsoft.com/office/drawing/2010/main">
      <mc:Choice Requires="a14">
        <xdr:graphicFrame macro="">
          <xdr:nvGraphicFramePr>
            <xdr:cNvPr id="5" name="Store">
              <a:extLst>
                <a:ext uri="{FF2B5EF4-FFF2-40B4-BE49-F238E27FC236}">
                  <a16:creationId xmlns:a16="http://schemas.microsoft.com/office/drawing/2014/main" id="{D92035A2-9915-807C-91D5-9165559C32C5}"/>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83820" y="160020"/>
              <a:ext cx="1828800" cy="538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289560</xdr:colOff>
      <xdr:row>0</xdr:row>
      <xdr:rowOff>152400</xdr:rowOff>
    </xdr:from>
    <xdr:to>
      <xdr:col>19</xdr:col>
      <xdr:colOff>487680</xdr:colOff>
      <xdr:row>30</xdr:row>
      <xdr:rowOff>53340</xdr:rowOff>
    </xdr:to>
    <xdr:graphicFrame macro="">
      <xdr:nvGraphicFramePr>
        <xdr:cNvPr id="2" name="Chart 1">
          <a:extLst>
            <a:ext uri="{FF2B5EF4-FFF2-40B4-BE49-F238E27FC236}">
              <a16:creationId xmlns:a16="http://schemas.microsoft.com/office/drawing/2014/main" id="{4B6AA8A8-A273-2744-6186-60C541016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106680</xdr:colOff>
      <xdr:row>9</xdr:row>
      <xdr:rowOff>160020</xdr:rowOff>
    </xdr:from>
    <xdr:to>
      <xdr:col>23</xdr:col>
      <xdr:colOff>106680</xdr:colOff>
      <xdr:row>29</xdr:row>
      <xdr:rowOff>99060</xdr:rowOff>
    </xdr:to>
    <mc:AlternateContent xmlns:mc="http://schemas.openxmlformats.org/markup-compatibility/2006" xmlns:a14="http://schemas.microsoft.com/office/drawing/2010/main">
      <mc:Choice Requires="a14">
        <xdr:graphicFrame macro="">
          <xdr:nvGraphicFramePr>
            <xdr:cNvPr id="3" name="Item 2">
              <a:extLst>
                <a:ext uri="{FF2B5EF4-FFF2-40B4-BE49-F238E27FC236}">
                  <a16:creationId xmlns:a16="http://schemas.microsoft.com/office/drawing/2014/main" id="{E66BB967-0392-5B6A-E7E0-8733EE486FB1}"/>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2298680" y="1805940"/>
              <a:ext cx="1828800" cy="3596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xdr:colOff>
      <xdr:row>1</xdr:row>
      <xdr:rowOff>1</xdr:rowOff>
    </xdr:from>
    <xdr:to>
      <xdr:col>23</xdr:col>
      <xdr:colOff>45720</xdr:colOff>
      <xdr:row>9</xdr:row>
      <xdr:rowOff>38101</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EA8098D7-5A9E-6A3B-45CD-89903462B96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237720" y="18288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0</xdr:row>
      <xdr:rowOff>152400</xdr:rowOff>
    </xdr:from>
    <xdr:to>
      <xdr:col>3</xdr:col>
      <xdr:colOff>167640</xdr:colOff>
      <xdr:row>30</xdr:row>
      <xdr:rowOff>76200</xdr:rowOff>
    </xdr:to>
    <mc:AlternateContent xmlns:mc="http://schemas.openxmlformats.org/markup-compatibility/2006" xmlns:a14="http://schemas.microsoft.com/office/drawing/2010/main">
      <mc:Choice Requires="a14">
        <xdr:graphicFrame macro="">
          <xdr:nvGraphicFramePr>
            <xdr:cNvPr id="5" name="Store 2">
              <a:extLst>
                <a:ext uri="{FF2B5EF4-FFF2-40B4-BE49-F238E27FC236}">
                  <a16:creationId xmlns:a16="http://schemas.microsoft.com/office/drawing/2014/main" id="{19876BBC-3730-55B2-C55D-6B27A606246F}"/>
                </a:ext>
              </a:extLst>
            </xdr:cNvPr>
            <xdr:cNvGraphicFramePr/>
          </xdr:nvGraphicFramePr>
          <xdr:xfrm>
            <a:off x="0" y="0"/>
            <a:ext cx="0" cy="0"/>
          </xdr:xfrm>
          <a:graphic>
            <a:graphicData uri="http://schemas.microsoft.com/office/drawing/2010/slicer">
              <sle:slicer xmlns:sle="http://schemas.microsoft.com/office/drawing/2010/slicer" name="Store 2"/>
            </a:graphicData>
          </a:graphic>
        </xdr:graphicFrame>
      </mc:Choice>
      <mc:Fallback xmlns="">
        <xdr:sp macro="" textlink="">
          <xdr:nvSpPr>
            <xdr:cNvPr id="0" name=""/>
            <xdr:cNvSpPr>
              <a:spLocks noTextEdit="1"/>
            </xdr:cNvSpPr>
          </xdr:nvSpPr>
          <xdr:spPr>
            <a:xfrm>
              <a:off x="167640" y="152400"/>
              <a:ext cx="1828800" cy="541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neet Kaur" refreshedDate="46252.618216550924" backgroundQuery="1" createdVersion="3" refreshedVersion="8" minRefreshableVersion="3" recordCount="0" supportSubquery="1" supportAdvancedDrill="1" xr:uid="{94C6EE0E-4E38-49DE-BD12-83B23454A1A5}">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JE Code]" caption="JE Code" attribute="1" defaultMemberUniqueName="[Range].[JE Code].[All]" allUniqueName="[Range].[JE Code].[All]" dimensionUniqueName="[Range]" displayFolder="" count="0" memberValueDatatype="130" unbalanced="0"/>
    <cacheHierarchy uniqueName="[Range].[Store]" caption="Store" attribute="1" defaultMemberUniqueName="[Range].[Store].[All]" allUniqueName="[Range].[Stor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List Price]" caption="List Price" attribute="1" defaultMemberUniqueName="[Range].[List Price].[All]" allUniqueName="[Range].[List Price].[All]" dimensionUniqueName="[Range]" displayFolder="" count="0" memberValueDatatype="20" unbalanced="0"/>
    <cacheHierarchy uniqueName="[Range].[Actual Price]" caption="Actual Price" attribute="1" defaultMemberUniqueName="[Range].[Actual Price].[All]" allUniqueName="[Range].[Actual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 1].[JE Code]" caption="JE Code" attribute="1" defaultMemberUniqueName="[Range 1].[JE Code].[All]" allUniqueName="[Range 1].[JE Code].[All]" dimensionUniqueName="[Range 1]" displayFolder="" count="0" memberValueDatatype="130" unbalanced="0"/>
    <cacheHierarchy uniqueName="[Range 1].[Store]" caption="Store" attribute="1" defaultMemberUniqueName="[Range 1].[Store].[All]" allUniqueName="[Range 1].[Store].[All]" dimensionUniqueName="[Range 1]" displayFolder="" count="2"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Item]" caption="Item" attribute="1" defaultMemberUniqueName="[Range 1].[Item].[All]" allUniqueName="[Range 1].[Item].[All]" dimensionUniqueName="[Range 1]" displayFolder="" count="2" memberValueDatatype="130"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List Price]" caption="List Price" attribute="1" defaultMemberUniqueName="[Range 1].[List Price].[All]" allUniqueName="[Range 1].[List Price].[All]" dimensionUniqueName="[Range 1]" displayFolder="" count="0" memberValueDatatype="20" unbalanced="0"/>
    <cacheHierarchy uniqueName="[Range 1].[Actual Price]" caption="Actual Price" attribute="1" defaultMemberUniqueName="[Range 1].[Actual Price].[All]" allUniqueName="[Range 1].[Actual Price].[All]" dimensionUniqueName="[Range 1]" displayFolder="" count="0" memberValueDatatype="20" unbalanced="0"/>
    <cacheHierarchy uniqueName="[Range 1].[Discount %]" caption="Discount %" attribute="1" defaultMemberUniqueName="[Range 1].[Discount %].[All]" allUniqueName="[Range 1].[Discount %].[All]" dimensionUniqueName="[Range 1]" displayFolder="" count="0" memberValueDatatype="5" unbalanced="0"/>
    <cacheHierarchy uniqueName="[Range 1].[Discount Amount]" caption="Discount Amount" attribute="1" defaultMemberUniqueName="[Range 1].[Discount Amount].[All]" allUniqueName="[Range 1].[Discount Amount].[All]" dimensionUniqueName="[Range 1]" displayFolder="" count="0" memberValueDatatype="5" unbalanced="0"/>
    <cacheHierarchy uniqueName="[Range 1].[Net Revenue]" caption="Net Revenue" attribute="1" defaultMemberUniqueName="[Range 1].[Net Revenue].[All]" allUniqueName="[Range 1].[Net Revenue].[All]" dimensionUniqueName="[Range 1]" displayFolder="" count="0" memberValueDatatype="5" unbalanced="0"/>
    <cacheHierarchy uniqueName="[Range 1].[Month]" caption="Month" attribute="1" defaultMemberUniqueName="[Range 1].[Month].[All]" allUniqueName="[Range 1].[Month].[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List Price]" caption="Sum of List Price" measure="1" displayFolder="" measureGroup="Range" count="0" hidden="1">
      <extLst>
        <ext xmlns:x15="http://schemas.microsoft.com/office/spreadsheetml/2010/11/main" uri="{B97F6D7D-B522-45F9-BDA1-12C45D357490}">
          <x15:cacheHierarchy aggregatedColumn="7"/>
        </ext>
      </extLst>
    </cacheHierarchy>
    <cacheHierarchy uniqueName="[Measures].[Sum of Actual Price]" caption="Sum of Actual Price" measure="1" displayFolder="" measureGroup="Range" count="0" hidden="1">
      <extLst>
        <ext xmlns:x15="http://schemas.microsoft.com/office/spreadsheetml/2010/11/main" uri="{B97F6D7D-B522-45F9-BDA1-12C45D357490}">
          <x15:cacheHierarchy aggregatedColumn="8"/>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Net Revenue]" caption="Sum of Net Revenue" measure="1" displayFolder="" measureGroup="Range 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140494870"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neet Kaur" refreshedDate="46252.653093981484" backgroundQuery="1" createdVersion="8" refreshedVersion="8" minRefreshableVersion="3" recordCount="0" supportSubquery="1" supportAdvancedDrill="1" xr:uid="{87C45627-7C49-4F71-B914-F79027ECB2B2}">
  <cacheSource type="external" connectionId="1">
    <extLst>
      <ext xmlns:x14="http://schemas.microsoft.com/office/spreadsheetml/2009/9/main" uri="{F057638F-6D5F-4e77-A914-E7F072B9BCA8}">
        <x14:sourceConnection name="ThisWorkbookDataModel"/>
      </ext>
    </extLst>
  </cacheSource>
  <cacheFields count="2">
    <cacheField name="[Measures].[Sum of Net Revenue]" caption="Sum of Net Revenue" numFmtId="0" hierarchy="29" level="32767"/>
    <cacheField name="[Range 1].[Salesperson].[Salesperson]" caption="Salesperson" numFmtId="0" hierarchy="16" level="1">
      <sharedItems count="510">
        <s v="Abdul Amos"/>
        <s v="Abdul Heywood"/>
        <s v="Abu Moore"/>
        <s v="Aidan Perrott"/>
        <s v="Alan Davie"/>
        <s v="Alan Evora"/>
        <s v="Alan Grant"/>
        <s v="Alan Procter"/>
        <s v="Alastair Mills"/>
        <s v="Alen Dinan"/>
        <s v="Alexander Hillier"/>
        <s v="Alexander Rowntree"/>
        <s v="Alexander Uddin"/>
        <s v="Alexandra Mukherjee"/>
        <s v="Alexandra Wright"/>
        <s v="Alice Canning"/>
        <s v="Alison Hallows"/>
        <s v="Alison Lazar"/>
        <s v="Alison Storey"/>
        <s v="Alison Younger"/>
        <s v="Allyson Parker"/>
        <s v="Allyson Rush"/>
        <s v="Amelia Scott"/>
        <s v="Andi Liu"/>
        <s v="Andrew Harris"/>
        <s v="Andrew Hirst"/>
        <s v="Andrew Jones"/>
        <s v="Andrew Phillips"/>
        <s v="Andrew Waddell"/>
        <s v="Anthony Connolly"/>
        <s v="Anthony Green"/>
        <s v="Anthony Procter"/>
        <s v="Anthony Rothery"/>
        <s v="Antony Westlake"/>
        <s v="April Childs"/>
        <s v="Armand Ahmed"/>
        <s v="Arthur Carley"/>
        <s v="Arthur Moncrieff"/>
        <s v="Audrey Kane"/>
        <s v="Austin Parsons"/>
        <s v="Baljinder Anderson"/>
        <s v="Barbara Langdon"/>
        <s v="Barbara Love"/>
        <s v="Barbara McDevitt"/>
        <s v="Barbara Scott"/>
        <s v="Barbara Turner"/>
        <s v="Barrie Murray"/>
        <s v="Barry Baldwin"/>
        <s v="Barry Smith"/>
        <s v="Basil Bain"/>
        <s v="Basil Bell"/>
        <s v="Basil Nolan"/>
        <s v="Brenda Lightfoot"/>
        <s v="Brendon Dyer"/>
        <s v="Brendon Sykes"/>
        <s v="Brian Clarke"/>
        <s v="Bruce McPhee"/>
        <s v="Bruce Neville"/>
        <s v="Bryan Clement"/>
        <s v="Bryan Mason"/>
        <s v="Carl Snape"/>
        <s v="Carol Cormack"/>
        <s v="Carole Owen"/>
        <s v="Caroline Eccles"/>
        <s v="Caroline Gee"/>
        <s v="Catherine Gagg"/>
        <s v="Catherine Rahman"/>
        <s v="Chandrakant Atkins"/>
        <s v="Charles Ali"/>
        <s v="Charles Jago"/>
        <s v="Cheryl Glover"/>
        <s v="Cheryl Tubbs"/>
        <s v="Chloe Lyons"/>
        <s v="Christina Pedley"/>
        <s v="Christine Davies"/>
        <s v="Christine Rowe"/>
        <s v="Christopher Cresswell"/>
        <s v="Christopher Grey"/>
        <s v="Christopher Griffith"/>
        <s v="Christopher Hurren"/>
        <s v="Christopher Kille"/>
        <s v="Christopher Kitching"/>
        <s v="Christopher Lloyd"/>
        <s v="Christopher Martin"/>
        <s v="Christopher Snape"/>
        <s v="Claire Brooks"/>
        <s v="Claire Storey"/>
        <s v="Colin Lima"/>
        <s v="Colin Matthews"/>
        <s v="Colin Patel"/>
        <s v="Constance Tidey"/>
        <s v="Cordia Alston"/>
        <s v="Craig Johnson"/>
        <s v="Damien Smith"/>
        <s v="Damilola Raymond"/>
        <s v="Daniel Battersby"/>
        <s v="Daniel Henderson"/>
        <s v="Danny Brooks"/>
        <s v="Danny Grant"/>
        <s v="Darren Brooks"/>
        <s v="Darren Webb"/>
        <s v="David Adams"/>
        <s v="David Amos"/>
        <s v="David Dorey"/>
        <s v="David Finnie"/>
        <s v="David Gow"/>
        <s v="David Grey"/>
        <s v="David Hubble"/>
        <s v="David Isaacs"/>
        <s v="David Johnson"/>
        <s v="David Philp"/>
        <s v="David Power"/>
        <s v="David Rodrigues"/>
        <s v="David Romero"/>
        <s v="David Salmon"/>
        <s v="David Shiner"/>
        <s v="David Stewart"/>
        <s v="David Townsend"/>
        <s v="David Walker"/>
        <s v="Deanna Wang"/>
        <s v="Delia Muhammad"/>
        <s v="Dell Lockwood"/>
        <s v="Denise Clark"/>
        <s v="Denise Docherty"/>
        <s v="Denise Harris"/>
        <s v="Denise Rodgers"/>
        <s v="Derek Anderson"/>
        <s v="Derek Harris"/>
        <s v="Dermot Bailey"/>
        <s v="Diane Batty"/>
        <s v="Donald Barratt"/>
        <s v="Donald Higgs"/>
        <s v="Douglas Bond"/>
        <s v="Douglas Davies"/>
        <s v="Edward Jenkins"/>
        <s v="Edward Khan"/>
        <s v="Elaine Ricketts"/>
        <s v="Elaine Whitfield"/>
        <s v="Elizabeth Holloway"/>
        <s v="Ellen Lillie"/>
        <s v="Emily Brierley"/>
        <s v="Emma Gibbons"/>
        <s v="Emma Westbrook"/>
        <s v="Eric Walker"/>
        <s v="Ernie Dyer"/>
        <s v="Fatima James"/>
        <s v="Fiona Johnson"/>
        <s v="Frances Weller"/>
        <s v="Francis Godden"/>
        <s v="Francis Hall"/>
        <s v="Francis Hughes"/>
        <s v="Francis Walsh"/>
        <s v="Frank Cowden"/>
        <s v="Frank Murray"/>
        <s v="Frank Sewell"/>
        <s v="Gary Acheampong"/>
        <s v="Gary Mistry"/>
        <s v="Gary Percival"/>
        <s v="Gary Reynolds"/>
        <s v="Gary Roberts"/>
        <s v="Gary Shaw"/>
        <s v="Geoffrey Patel"/>
        <s v="Geoffrey Shiner"/>
        <s v="George Sherwin"/>
        <s v="George Smith"/>
        <s v="George Stevenson"/>
        <s v="Gillan Clark"/>
        <s v="Gillian Allnutt"/>
        <s v="Gillian Crawley"/>
        <s v="Gillian Harris"/>
        <s v="Gillian Rodrigues"/>
        <s v="Glen Campbell"/>
        <s v="Glenys Muhammad"/>
        <s v="Glenys Raymond"/>
        <s v="Glenys Wright"/>
        <s v="Golam Reid"/>
        <s v="Gustavo Taiwo"/>
        <s v="Gwyn Taylor"/>
        <s v="Harold Charters"/>
        <s v="Harold Green"/>
        <s v="Harold Lunn"/>
        <s v="Heather Beck"/>
        <s v="Heather Donald"/>
        <s v="Heather McGill"/>
        <s v="Heather Murray"/>
        <s v="Helen Cooke"/>
        <s v="Helen Deignan"/>
        <s v="Helen Kenny"/>
        <s v="Helen Watt"/>
        <s v="Hin Bragg"/>
        <s v="Howard Jones"/>
        <s v="Ian Baker"/>
        <s v="Ian Borowski"/>
        <s v="Ian Christian"/>
        <s v="Ian Coates"/>
        <s v="Ian Grant"/>
        <s v="Ian McCartan"/>
        <s v="Iftikhar Haywood"/>
        <s v="Iftikhar Styles"/>
        <s v="Irene Skiba"/>
        <s v="Isla Parsons"/>
        <s v="Jacob Percival"/>
        <s v="Jacqueline Clamp"/>
        <s v="Jacqueline Green"/>
        <s v="Jacqueline Swaine"/>
        <s v="Jacqueline Todd"/>
        <s v="James Anthony"/>
        <s v="James Bard"/>
        <s v="James Carley"/>
        <s v="James Gahagan"/>
        <s v="James Hammond"/>
        <s v="James Lam"/>
        <s v="James Neville"/>
        <s v="James Ricketts"/>
        <s v="James Scott"/>
        <s v="James Stephen"/>
        <s v="James White"/>
        <s v="James Whitehead"/>
        <s v="Janet Ford"/>
        <s v="Janet Ward"/>
        <s v="Jason Edmund"/>
        <s v="Jeremy Bannister"/>
        <s v="Jeremy Morrow"/>
        <s v="Jeremy Percival"/>
        <s v="Jesus Timmins"/>
        <s v="Jill Thompson"/>
        <s v="Joanne Ripley"/>
        <s v="Joanne Sayer"/>
        <s v="Jodie Fairhurst"/>
        <s v="Johanna Collins"/>
        <s v="Johanna Mirza"/>
        <s v="John Ali"/>
        <s v="John Barnett"/>
        <s v="John Bond"/>
        <s v="John Bull"/>
        <s v="John Craig"/>
        <s v="John Curtis"/>
        <s v="John Gibb"/>
        <s v="John Gunter"/>
        <s v="John Hetherington"/>
        <s v="John Jenkins"/>
        <s v="John Osborne"/>
        <s v="John Verma"/>
        <s v="John Whitehead"/>
        <s v="Jonathan Pereira"/>
        <s v="Jonathan Will"/>
        <s v="Jordan Andrews"/>
        <s v="Julia Ferguson"/>
        <s v="Julia Hammond"/>
        <s v="Julia Hurren"/>
        <s v="Julie Pope"/>
        <s v="Karen Hopewell"/>
        <s v="Kate Nash"/>
        <s v="Kate Pearce"/>
        <s v="Keith Drage"/>
        <s v="Kelly Owen"/>
        <s v="Ken Mishra"/>
        <s v="Ken Rogerson"/>
        <s v="Kenneth Bullion"/>
        <s v="Kenneth Walter"/>
        <s v="Ketan Bryan"/>
        <s v="Kevin Ahmed"/>
        <s v="Kevin Curtis"/>
        <s v="Kevin Goad"/>
        <s v="Kevin Long"/>
        <s v="Kevin McLauchlin"/>
        <s v="Kevin Ross"/>
        <s v="Kevin Styles"/>
        <s v="Kirsty Amos"/>
        <s v="Kyle Anderson"/>
        <s v="Kyle Walter"/>
        <s v="Leonard Green"/>
        <s v="Lesleyann Pope"/>
        <s v="Lisa Manning"/>
        <s v="Lisa Pepper"/>
        <s v="Lisa Wood"/>
        <s v="Lloyd Barr"/>
        <s v="Lloyd Norton"/>
        <s v="Lucy Downs"/>
        <s v="Malcolm Griffith"/>
        <s v="Marcus Jacob"/>
        <s v="Marek Kwiatkowski"/>
        <s v="Margaret Buck"/>
        <s v="Margaret McGregor"/>
        <s v="Margaret Philp"/>
        <s v="Marie Foster"/>
        <s v="Marie Hewitt"/>
        <s v="Marie Whitfield"/>
        <s v="Mark Brook"/>
        <s v="Mark Buntain"/>
        <s v="Mark Evans"/>
        <s v="Mark Holmes"/>
        <s v="Mark Lawton"/>
        <s v="Mark Sayer"/>
        <s v="Mark Searle"/>
        <s v="Mark Towey"/>
        <s v="Martin Birch"/>
        <s v="Martin Gee"/>
        <s v="Martin Mishra"/>
        <s v="Martin Timmins"/>
        <s v="Mary Mitchell"/>
        <s v="Matthew Crowe"/>
        <s v="Maureen Haymes"/>
        <s v="Maureen Reynolds"/>
        <s v="Maxine Stockdale"/>
        <s v="May Wilmot"/>
        <s v="Mayank Ali"/>
        <s v="Melanie Fletcher"/>
        <s v="Michael Bell"/>
        <s v="Michael Lauder"/>
        <s v="Michael Patel"/>
        <s v="Michael Rodgers"/>
        <s v="Michael Toy"/>
        <s v="Michael Wood"/>
        <s v="Michelle Hunter"/>
        <s v="Michelle Murray"/>
        <s v="Naeem Perry"/>
        <s v="Natasha Carvalho"/>
        <s v="Neil McAvoy"/>
        <s v="Neil Tubbs"/>
        <s v="Nicholas Goude"/>
        <s v="Nicholas Holloway"/>
        <s v="Nicholas Knight"/>
        <s v="Nicholas Timbrell"/>
        <s v="Nick Blacklock"/>
        <s v="Nick Denny"/>
        <s v="Nick Gee"/>
        <s v="Nicola Hewitt"/>
        <s v="Nicola Nathan"/>
        <s v="Nicola Rea"/>
        <s v="Nicola Williams"/>
        <s v="Nicola Wright"/>
        <s v="Nicole Ford"/>
        <s v="Nicole Marshall"/>
        <s v="Noel Bull"/>
        <s v="Noel Burn"/>
        <s v="Noel Hardy"/>
        <s v="Olive Foster"/>
        <s v="Olivia Reynolds"/>
        <s v="Paresh Mathews"/>
        <s v="Patricia Sewell"/>
        <s v="Paul Atkins"/>
        <s v="Paul Benton"/>
        <s v="Paul Collier"/>
        <s v="Paul Drage"/>
        <s v="Paul Faulkner"/>
        <s v="Paul Hirst"/>
        <s v="Paul Long"/>
        <s v="Paul Mannion"/>
        <s v="Paul Martin"/>
        <s v="Paul Munday"/>
        <s v="Paul Power"/>
        <s v="Paul Puri"/>
        <s v="Paul Rule"/>
        <s v="Paul Salmon"/>
        <s v="Paul Sherwin"/>
        <s v="Paul Skiba"/>
        <s v="Paul Smith"/>
        <s v="Pauline Gagg"/>
        <s v="Pauline Pluck"/>
        <s v="Pauline Pope"/>
        <s v="Pauline Taylor"/>
        <s v="Penelope Freeland"/>
        <s v="Penelope Norton"/>
        <s v="Peter Allan"/>
        <s v="Peter Carley"/>
        <s v="Peter Jago"/>
        <s v="Peter Kelly"/>
        <s v="Peter Thompson"/>
        <s v="Peter Walker"/>
        <s v="Philip Collins"/>
        <s v="Philip Dewar"/>
        <s v="Philip Mishra"/>
        <s v="Philip Sutherland"/>
        <s v="Philip Tubbs"/>
        <s v="Phillip Clarke"/>
        <s v="Phillip Humphreys"/>
        <s v="Rachel Blane"/>
        <s v="Rachel Clayton"/>
        <s v="Rachel Deignan"/>
        <s v="Rachel Howard"/>
        <s v="Rachel Oliver"/>
        <s v="Rachel Snape"/>
        <s v="Ram Mathews"/>
        <s v="Ram Thomas"/>
        <s v="Raymond Denning"/>
        <s v="Rebecca Delo"/>
        <s v="Richard Allnutt"/>
        <s v="Richard Anderson"/>
        <s v="Richard Bard"/>
        <s v="Richard Barr"/>
        <s v="Richard Batty"/>
        <s v="Richard Clayton"/>
        <s v="Richard Dewar"/>
        <s v="Richard Foy"/>
        <s v="Richard Hughes"/>
        <s v="Richard James"/>
        <s v="Richard Kay"/>
        <s v="Richard McGrath"/>
        <s v="Richard Nash"/>
        <s v="Richard Oliver"/>
        <s v="Richard Perrott"/>
        <s v="Richard Rowe"/>
        <s v="Rita Hill"/>
        <s v="Rita Jenkins"/>
        <s v="Rita Schaffer"/>
        <s v="Robert Arnold"/>
        <s v="Robert Brook"/>
        <s v="Robert Faulkner"/>
        <s v="Robert Harris"/>
        <s v="Robert James"/>
        <s v="Robert Jenkins"/>
        <s v="Robert Payne"/>
        <s v="Robert Polhill"/>
        <s v="Robert Reed"/>
        <s v="Robert Salisbury"/>
        <s v="Robert Stocks"/>
        <s v="Robert Tattersall"/>
        <s v="Robin Hall"/>
        <s v="Roger Rust"/>
        <s v="Roger Scott"/>
        <s v="Roger Silvester"/>
        <s v="Ron Goodman"/>
        <s v="Ronald Bettley"/>
        <s v="Ronald Butler"/>
        <s v="Ronald Curtis"/>
        <s v="Ronald Rowlands"/>
        <s v="Ronnette Stocks"/>
        <s v="Rory Bullion"/>
        <s v="Rosalind Chandler"/>
        <s v="Rose Rowntree"/>
        <s v="Rosemary Aziz"/>
        <s v="Rosemary Hatcher"/>
        <s v="Roy Connelly"/>
        <s v="Roy Cooper"/>
        <s v="Roy Johnson"/>
        <s v="Roy Lloyd"/>
        <s v="Roy Nunes"/>
        <s v="Russell Reynolds"/>
        <s v="Russell Thorley"/>
        <s v="Russell Wood"/>
        <s v="Ryan Goad"/>
        <s v="Ryan Pearce"/>
        <s v="Saffron Cruse"/>
        <s v="Sandra Rew"/>
        <s v="Sarah Chadwick"/>
        <s v="Sarah Houghton"/>
        <s v="Savita Simpson"/>
        <s v="Selwyn Kitching"/>
        <s v="Sharon Hubble"/>
        <s v="Shelley Lock"/>
        <s v="Shelley Mannix"/>
        <s v="Simon Hirst"/>
        <s v="Simon Snape"/>
        <s v="Sophie Petersen"/>
        <s v="Stephen Brown"/>
        <s v="Stephen Burch"/>
        <s v="Stephen Carlin"/>
        <s v="Stephen Cohen"/>
        <s v="Stephen James"/>
        <s v="Stephen MacGregor"/>
        <s v="Stephen Muhammad"/>
        <s v="Stephen Neville"/>
        <s v="Stephen Nolan"/>
        <s v="Stephen Smith"/>
        <s v="Steven Batty"/>
        <s v="Steven Bell"/>
        <s v="Steven Douglas"/>
        <s v="Steven Green"/>
        <s v="Steven Roberts"/>
        <s v="Steven Wood"/>
        <s v="Stuart Anderson"/>
        <s v="Stuart Brown"/>
        <s v="Stuart Hunter"/>
        <s v="Stuart Sykes"/>
        <s v="Susan Carley"/>
        <s v="Susan Dixon"/>
        <s v="Susan Goude"/>
        <s v="Susan Luker"/>
        <s v="Susan Passey"/>
        <s v="Susan Reay"/>
        <s v="Susan Toye"/>
        <s v="Suzanna Davies"/>
        <s v="Terence Jones"/>
        <s v="Terence Mirza"/>
        <s v="Tessa Morrow"/>
        <s v="Thomas Davies"/>
        <s v="Thomas Gordon"/>
        <s v="Thomas Taylor"/>
        <s v="Timothy Fraser"/>
        <s v="Timothy Younger"/>
        <s v="Tom Clark"/>
        <s v="Tony Green"/>
        <s v="Tony Milner"/>
        <s v="Tracy Stanley"/>
        <s v="Trudi Griffin"/>
        <s v="Valerie Brown"/>
        <s v="Valerie Hook"/>
        <s v="Valerie Pereira"/>
        <s v="Victoria Sherwin"/>
        <s v="William Collins"/>
        <s v="William Cruse"/>
        <s v="William Lant"/>
        <s v="William Martin"/>
        <s v="Wolf Christian"/>
        <s v="Wolfgang Carvalho"/>
        <s v="Xun Simms"/>
        <s v="Zhan Whitfield"/>
        <s v="Zoe Munday"/>
        <s v="Zulfiqar Mirza"/>
      </sharedItems>
    </cacheField>
  </cacheFields>
  <cacheHierarchies count="30">
    <cacheHierarchy uniqueName="[Range].[JE Code]" caption="JE Code" attribute="1" defaultMemberUniqueName="[Range].[JE Code].[All]" allUniqueName="[Range].[JE Code].[All]" dimensionUniqueName="[Range]" displayFolder="" count="2" memberValueDatatype="130" unbalanced="0"/>
    <cacheHierarchy uniqueName="[Range].[Store]" caption="Store" attribute="1" defaultMemberUniqueName="[Range].[Store].[All]" allUniqueName="[Range].[Store].[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Date]" caption="Date" attribute="1" defaultMemberUniqueName="[Range].[Date].[All]" allUniqueName="[Range].[Date].[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List Price]" caption="List Price" attribute="1" defaultMemberUniqueName="[Range].[List Price].[All]" allUniqueName="[Range].[List Price].[All]" dimensionUniqueName="[Range]" displayFolder="" count="2" memberValueDatatype="20" unbalanced="0"/>
    <cacheHierarchy uniqueName="[Range].[Actual Price]" caption="Actual Price" attribute="1" defaultMemberUniqueName="[Range].[Actual Price].[All]" allUniqueName="[Range].[Actual Price].[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5" unbalanced="0"/>
    <cacheHierarchy uniqueName="[Range 1].[JE Code]" caption="JE Code" attribute="1" defaultMemberUniqueName="[Range 1].[JE Code].[All]" allUniqueName="[Range 1].[JE Code].[All]" dimensionUniqueName="[Range 1]" displayFolder="" count="2" memberValueDatatype="130" unbalanced="0"/>
    <cacheHierarchy uniqueName="[Range 1].[Store]" caption="Store" attribute="1" defaultMemberUniqueName="[Range 1].[Store].[All]" allUniqueName="[Range 1].[Store].[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Item]" caption="Item" attribute="1" defaultMemberUniqueName="[Range 1].[Item].[All]" allUniqueName="[Range 1].[Item].[All]" dimensionUniqueName="[Range 1]" displayFolder="" count="2" memberValueDatatype="130" unbalanced="0"/>
    <cacheHierarchy uniqueName="[Range 1].[Salesperson]" caption="Salesperson" attribute="1" defaultMemberUniqueName="[Range 1].[Salesperson].[All]" allUniqueName="[Range 1].[Salesperson].[All]" dimensionUniqueName="[Range 1]" displayFolder="" count="2" memberValueDatatype="130" unbalanced="0">
      <fieldsUsage count="2">
        <fieldUsage x="-1"/>
        <fieldUsage x="1"/>
      </fieldsUsage>
    </cacheHierarchy>
    <cacheHierarchy uniqueName="[Range 1].[List Price]" caption="List Price" attribute="1" defaultMemberUniqueName="[Range 1].[List Price].[All]" allUniqueName="[Range 1].[List Price].[All]" dimensionUniqueName="[Range 1]" displayFolder="" count="2" memberValueDatatype="20" unbalanced="0"/>
    <cacheHierarchy uniqueName="[Range 1].[Actual Price]" caption="Actual Price" attribute="1" defaultMemberUniqueName="[Range 1].[Actual Price].[All]" allUniqueName="[Range 1].[Actual Price].[All]" dimensionUniqueName="[Range 1]" displayFolder="" count="2" memberValueDatatype="20" unbalanced="0"/>
    <cacheHierarchy uniqueName="[Range 1].[Discount %]" caption="Discount %" attribute="1" defaultMemberUniqueName="[Range 1].[Discount %].[All]" allUniqueName="[Range 1].[Discount %].[All]" dimensionUniqueName="[Range 1]" displayFolder="" count="2" memberValueDatatype="5" unbalanced="0"/>
    <cacheHierarchy uniqueName="[Range 1].[Discount Amount]" caption="Discount Amount" attribute="1" defaultMemberUniqueName="[Range 1].[Discount Amount].[All]" allUniqueName="[Range 1].[Discount Amount].[All]" dimensionUniqueName="[Range 1]" displayFolder="" count="2" memberValueDatatype="5" unbalanced="0"/>
    <cacheHierarchy uniqueName="[Range 1].[Net Revenue]" caption="Net Revenue" attribute="1" defaultMemberUniqueName="[Range 1].[Net Revenue].[All]" allUniqueName="[Range 1].[Net Revenue].[All]" dimensionUniqueName="[Range 1]" displayFolder="" count="2" memberValueDatatype="5" unbalanced="0"/>
    <cacheHierarchy uniqueName="[Range 1].[Month]" caption="Month" attribute="1" defaultMemberUniqueName="[Range 1].[Month].[All]" allUniqueName="[Range 1].[Month].[All]" dimensionUniqueName="[Range 1]"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List Price]" caption="Sum of List Price" measure="1" displayFolder="" measureGroup="Range" count="0" hidden="1">
      <extLst>
        <ext xmlns:x15="http://schemas.microsoft.com/office/spreadsheetml/2010/11/main" uri="{B97F6D7D-B522-45F9-BDA1-12C45D357490}">
          <x15:cacheHierarchy aggregatedColumn="7"/>
        </ext>
      </extLst>
    </cacheHierarchy>
    <cacheHierarchy uniqueName="[Measures].[Sum of Actual Price]" caption="Sum of Actual Price" measure="1" displayFolder="" measureGroup="Range" count="0" hidden="1">
      <extLst>
        <ext xmlns:x15="http://schemas.microsoft.com/office/spreadsheetml/2010/11/main" uri="{B97F6D7D-B522-45F9-BDA1-12C45D357490}">
          <x15:cacheHierarchy aggregatedColumn="8"/>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Net Revenue]" caption="Sum of Net Revenue"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pivotCacheId="7463969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neet Kaur" refreshedDate="46252.863353009256" backgroundQuery="1" createdVersion="8" refreshedVersion="8" minRefreshableVersion="3" recordCount="0" supportSubquery="1" supportAdvancedDrill="1" xr:uid="{B041E32B-C2F4-45B3-B277-E03EA8EC4DF7}">
  <cacheSource type="external" connectionId="1">
    <extLst>
      <ext xmlns:x14="http://schemas.microsoft.com/office/spreadsheetml/2009/9/main" uri="{F057638F-6D5F-4e77-A914-E7F072B9BCA8}">
        <x14:sourceConnection name="ThisWorkbookDataModel"/>
      </ext>
    </extLst>
  </cacheSource>
  <cacheFields count="2">
    <cacheField name="[Measures].[Sum of Net Revenue]" caption="Sum of Net Revenue" numFmtId="0" hierarchy="29" level="32767"/>
    <cacheField name="[Range 1].[Month].[Month]" caption="Month" numFmtId="0" hierarchy="22" level="1">
      <sharedItems count="60">
        <s v="Apr-2014"/>
        <s v="Apr-2015"/>
        <s v="Apr-2016"/>
        <s v="Apr-2017"/>
        <s v="Apr-2018"/>
        <s v="Aug-2014"/>
        <s v="Aug-2015"/>
        <s v="Aug-2016"/>
        <s v="Aug-2017"/>
        <s v="Aug-2018"/>
        <s v="Dec-2014"/>
        <s v="Dec-2015"/>
        <s v="Dec-2016"/>
        <s v="Dec-2017"/>
        <s v="Dec-2018"/>
        <s v="Feb-2014"/>
        <s v="Feb-2015"/>
        <s v="Feb-2016"/>
        <s v="Feb-2017"/>
        <s v="Feb-2018"/>
        <s v="Jan-2014"/>
        <s v="Jan-2015"/>
        <s v="Jan-2016"/>
        <s v="Jan-2017"/>
        <s v="Jan-2018"/>
        <s v="Jul-2014"/>
        <s v="Jul-2015"/>
        <s v="Jul-2016"/>
        <s v="Jul-2017"/>
        <s v="Jul-2018"/>
        <s v="Jun-2014"/>
        <s v="Jun-2015"/>
        <s v="Jun-2016"/>
        <s v="Jun-2017"/>
        <s v="Jun-2018"/>
        <s v="Mar-2014"/>
        <s v="Mar-2015"/>
        <s v="Mar-2016"/>
        <s v="Mar-2017"/>
        <s v="Mar-2018"/>
        <s v="May-2014"/>
        <s v="May-2015"/>
        <s v="May-2016"/>
        <s v="May-2017"/>
        <s v="May-2018"/>
        <s v="Nov-2014"/>
        <s v="Nov-2015"/>
        <s v="Nov-2016"/>
        <s v="Nov-2017"/>
        <s v="Nov-2018"/>
        <s v="Oct-2014"/>
        <s v="Oct-2015"/>
        <s v="Oct-2016"/>
        <s v="Oct-2017"/>
        <s v="Oct-2018"/>
        <s v="Sep-2014"/>
        <s v="Sep-2015"/>
        <s v="Sep-2016"/>
        <s v="Sep-2017"/>
        <s v="Sep-2018"/>
      </sharedItems>
    </cacheField>
  </cacheFields>
  <cacheHierarchies count="30">
    <cacheHierarchy uniqueName="[Range].[JE Code]" caption="JE Code" attribute="1" defaultMemberUniqueName="[Range].[JE Code].[All]" allUniqueName="[Range].[JE Code].[All]" dimensionUniqueName="[Range]" displayFolder="" count="2" memberValueDatatype="130" unbalanced="0"/>
    <cacheHierarchy uniqueName="[Range].[Store]" caption="Store" attribute="1" defaultMemberUniqueName="[Range].[Store].[All]" allUniqueName="[Range].[Store].[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Date]" caption="Date" attribute="1" defaultMemberUniqueName="[Range].[Date].[All]" allUniqueName="[Range].[Date].[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List Price]" caption="List Price" attribute="1" defaultMemberUniqueName="[Range].[List Price].[All]" allUniqueName="[Range].[List Price].[All]" dimensionUniqueName="[Range]" displayFolder="" count="2" memberValueDatatype="20" unbalanced="0"/>
    <cacheHierarchy uniqueName="[Range].[Actual Price]" caption="Actual Price" attribute="1" defaultMemberUniqueName="[Range].[Actual Price].[All]" allUniqueName="[Range].[Actual Price].[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5" unbalanced="0"/>
    <cacheHierarchy uniqueName="[Range 1].[JE Code]" caption="JE Code" attribute="1" defaultMemberUniqueName="[Range 1].[JE Code].[All]" allUniqueName="[Range 1].[JE Code].[All]" dimensionUniqueName="[Range 1]" displayFolder="" count="2" memberValueDatatype="130" unbalanced="0"/>
    <cacheHierarchy uniqueName="[Range 1].[Store]" caption="Store" attribute="1" defaultMemberUniqueName="[Range 1].[Store].[All]" allUniqueName="[Range 1].[Store].[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Item]" caption="Item" attribute="1" defaultMemberUniqueName="[Range 1].[Item].[All]" allUniqueName="[Range 1].[Item].[All]" dimensionUniqueName="[Range 1]" displayFolder="" count="2" memberValueDatatype="130" unbalanced="0"/>
    <cacheHierarchy uniqueName="[Range 1].[Salesperson]" caption="Salesperson" attribute="1" defaultMemberUniqueName="[Range 1].[Salesperson].[All]" allUniqueName="[Range 1].[Salesperson].[All]" dimensionUniqueName="[Range 1]" displayFolder="" count="2" memberValueDatatype="130" unbalanced="0"/>
    <cacheHierarchy uniqueName="[Range 1].[List Price]" caption="List Price" attribute="1" defaultMemberUniqueName="[Range 1].[List Price].[All]" allUniqueName="[Range 1].[List Price].[All]" dimensionUniqueName="[Range 1]" displayFolder="" count="2" memberValueDatatype="20" unbalanced="0"/>
    <cacheHierarchy uniqueName="[Range 1].[Actual Price]" caption="Actual Price" attribute="1" defaultMemberUniqueName="[Range 1].[Actual Price].[All]" allUniqueName="[Range 1].[Actual Price].[All]" dimensionUniqueName="[Range 1]" displayFolder="" count="2" memberValueDatatype="20" unbalanced="0"/>
    <cacheHierarchy uniqueName="[Range 1].[Discount %]" caption="Discount %" attribute="1" defaultMemberUniqueName="[Range 1].[Discount %].[All]" allUniqueName="[Range 1].[Discount %].[All]" dimensionUniqueName="[Range 1]" displayFolder="" count="2" memberValueDatatype="5" unbalanced="0"/>
    <cacheHierarchy uniqueName="[Range 1].[Discount Amount]" caption="Discount Amount" attribute="1" defaultMemberUniqueName="[Range 1].[Discount Amount].[All]" allUniqueName="[Range 1].[Discount Amount].[All]" dimensionUniqueName="[Range 1]" displayFolder="" count="2" memberValueDatatype="5" unbalanced="0"/>
    <cacheHierarchy uniqueName="[Range 1].[Net Revenue]" caption="Net Revenue" attribute="1" defaultMemberUniqueName="[Range 1].[Net Revenue].[All]" allUniqueName="[Range 1].[Net Revenue].[All]" dimensionUniqueName="[Range 1]" displayFolder="" count="2" memberValueDatatype="5"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List Price]" caption="Sum of List Price" measure="1" displayFolder="" measureGroup="Range" count="0" hidden="1">
      <extLst>
        <ext xmlns:x15="http://schemas.microsoft.com/office/spreadsheetml/2010/11/main" uri="{B97F6D7D-B522-45F9-BDA1-12C45D357490}">
          <x15:cacheHierarchy aggregatedColumn="7"/>
        </ext>
      </extLst>
    </cacheHierarchy>
    <cacheHierarchy uniqueName="[Measures].[Sum of Actual Price]" caption="Sum of Actual Price" measure="1" displayFolder="" measureGroup="Range" count="0" hidden="1">
      <extLst>
        <ext xmlns:x15="http://schemas.microsoft.com/office/spreadsheetml/2010/11/main" uri="{B97F6D7D-B522-45F9-BDA1-12C45D357490}">
          <x15:cacheHierarchy aggregatedColumn="8"/>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Net Revenue]" caption="Sum of Net Revenue"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pivotCacheId="19360429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0D30E-E811-4B9E-A365-417DEACB388E}" name="PivotChar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2" firstHeaderRow="1" firstDataRow="1" firstDataCol="1"/>
  <pivotFields count="2">
    <pivotField dataField="1" subtotalTop="0" showAll="0" defaultSubtotal="0"/>
    <pivotField axis="axisRow" allDrilled="1" subtotalTop="0" showAll="0" sortType="ascending"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autoSortScope>
        <pivotArea dataOnly="0" outline="0" fieldPosition="0">
          <references count="1">
            <reference field="4294967294" count="1" selected="0">
              <x v="0"/>
            </reference>
          </references>
        </pivotArea>
      </autoSortScope>
    </pivotField>
  </pivotFields>
  <rowFields count="1">
    <field x="1"/>
  </rowFields>
  <rowItems count="61">
    <i>
      <x v="38"/>
    </i>
    <i>
      <x v="10"/>
    </i>
    <i>
      <x v="11"/>
    </i>
    <i>
      <x v="42"/>
    </i>
    <i>
      <x v="6"/>
    </i>
    <i>
      <x v="22"/>
    </i>
    <i>
      <x v="59"/>
    </i>
    <i>
      <x v="33"/>
    </i>
    <i>
      <x v="23"/>
    </i>
    <i>
      <x v="47"/>
    </i>
    <i>
      <x v="49"/>
    </i>
    <i>
      <x v="4"/>
    </i>
    <i>
      <x v="54"/>
    </i>
    <i>
      <x v="15"/>
    </i>
    <i>
      <x v="19"/>
    </i>
    <i>
      <x v="27"/>
    </i>
    <i>
      <x v="29"/>
    </i>
    <i>
      <x v="30"/>
    </i>
    <i>
      <x v="46"/>
    </i>
    <i>
      <x v="44"/>
    </i>
    <i>
      <x v="37"/>
    </i>
    <i>
      <x v="31"/>
    </i>
    <i>
      <x v="18"/>
    </i>
    <i>
      <x v="56"/>
    </i>
    <i>
      <x v="1"/>
    </i>
    <i>
      <x v="35"/>
    </i>
    <i>
      <x v="7"/>
    </i>
    <i>
      <x v="52"/>
    </i>
    <i>
      <x v="43"/>
    </i>
    <i>
      <x v="13"/>
    </i>
    <i>
      <x v="16"/>
    </i>
    <i>
      <x v="25"/>
    </i>
    <i>
      <x v="12"/>
    </i>
    <i>
      <x v="34"/>
    </i>
    <i>
      <x v="26"/>
    </i>
    <i>
      <x v="24"/>
    </i>
    <i>
      <x v="5"/>
    </i>
    <i>
      <x v="50"/>
    </i>
    <i>
      <x v="14"/>
    </i>
    <i>
      <x v="45"/>
    </i>
    <i>
      <x v="17"/>
    </i>
    <i>
      <x v="58"/>
    </i>
    <i>
      <x v="55"/>
    </i>
    <i>
      <x v="41"/>
    </i>
    <i>
      <x/>
    </i>
    <i>
      <x v="2"/>
    </i>
    <i>
      <x v="39"/>
    </i>
    <i>
      <x v="57"/>
    </i>
    <i>
      <x v="9"/>
    </i>
    <i>
      <x v="20"/>
    </i>
    <i>
      <x v="40"/>
    </i>
    <i>
      <x v="21"/>
    </i>
    <i>
      <x v="36"/>
    </i>
    <i>
      <x v="8"/>
    </i>
    <i>
      <x v="32"/>
    </i>
    <i>
      <x v="51"/>
    </i>
    <i>
      <x v="48"/>
    </i>
    <i>
      <x v="53"/>
    </i>
    <i>
      <x v="3"/>
    </i>
    <i>
      <x v="28"/>
    </i>
    <i t="grand">
      <x/>
    </i>
  </rowItems>
  <colItems count="1">
    <i/>
  </colItems>
  <dataFields count="1">
    <dataField name="Sum of Net Reven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1" columnCount="1" cacheId="1936042948">
        <x15:pivotRow count="1">
          <x15:c>
            <x15:v>3346.3044000000004</x15:v>
          </x15:c>
        </x15:pivotRow>
        <x15:pivotRow count="1">
          <x15:c>
            <x15:v>4231.9917000000005</x15:v>
          </x15:c>
        </x15:pivotRow>
        <x15:pivotRow count="1">
          <x15:c>
            <x15:v>4363.5546000000004</x15:v>
          </x15:c>
        </x15:pivotRow>
        <x15:pivotRow count="1">
          <x15:c>
            <x15:v>5072.4293999999991</x15:v>
          </x15:c>
        </x15:pivotRow>
        <x15:pivotRow count="1">
          <x15:c>
            <x15:v>5368.9184999999998</x15:v>
          </x15:c>
        </x15:pivotRow>
        <x15:pivotRow count="1">
          <x15:c>
            <x15:v>5587.9411000000018</x15:v>
          </x15:c>
        </x15:pivotRow>
        <x15:pivotRow count="1">
          <x15:c>
            <x15:v>5607.7206999999989</x15:v>
          </x15:c>
        </x15:pivotRow>
        <x15:pivotRow count="1">
          <x15:c>
            <x15:v>7077.2662</x15:v>
          </x15:c>
        </x15:pivotRow>
        <x15:pivotRow count="1">
          <x15:c>
            <x15:v>7417.8152</x15:v>
          </x15:c>
        </x15:pivotRow>
        <x15:pivotRow count="1">
          <x15:c>
            <x15:v>7920.8088000000016</x15:v>
          </x15:c>
        </x15:pivotRow>
        <x15:pivotRow count="1">
          <x15:c>
            <x15:v>7982.3296</x15:v>
          </x15:c>
        </x15:pivotRow>
        <x15:pivotRow count="1">
          <x15:c>
            <x15:v>8022.1704999999984</x15:v>
          </x15:c>
        </x15:pivotRow>
        <x15:pivotRow count="1">
          <x15:c>
            <x15:v>8071.6547999999984</x15:v>
          </x15:c>
        </x15:pivotRow>
        <x15:pivotRow count="1">
          <x15:c>
            <x15:v>8342.6593999999986</x15:v>
          </x15:c>
        </x15:pivotRow>
        <x15:pivotRow count="1">
          <x15:c>
            <x15:v>8482.9387999999999</x15:v>
          </x15:c>
        </x15:pivotRow>
        <x15:pivotRow count="1">
          <x15:c>
            <x15:v>8516.9275999999991</x15:v>
          </x15:c>
        </x15:pivotRow>
        <x15:pivotRow count="1">
          <x15:c>
            <x15:v>8553.6722000000027</x15:v>
          </x15:c>
        </x15:pivotRow>
        <x15:pivotRow count="1">
          <x15:c>
            <x15:v>8554.3896000000022</x15:v>
          </x15:c>
        </x15:pivotRow>
        <x15:pivotRow count="1">
          <x15:c>
            <x15:v>8592.8492999999999</x15:v>
          </x15:c>
        </x15:pivotRow>
        <x15:pivotRow count="1">
          <x15:c>
            <x15:v>8672.7674000000006</x15:v>
          </x15:c>
        </x15:pivotRow>
        <x15:pivotRow count="1">
          <x15:c>
            <x15:v>8802.8755999999976</x15:v>
          </x15:c>
        </x15:pivotRow>
        <x15:pivotRow count="1">
          <x15:c>
            <x15:v>8903.1359999999986</x15:v>
          </x15:c>
        </x15:pivotRow>
        <x15:pivotRow count="1">
          <x15:c>
            <x15:v>9026.2382999999973</x15:v>
          </x15:c>
        </x15:pivotRow>
        <x15:pivotRow count="1">
          <x15:c>
            <x15:v>9303.7806</x15:v>
          </x15:c>
        </x15:pivotRow>
        <x15:pivotRow count="1">
          <x15:c>
            <x15:v>9434.8276000000023</x15:v>
          </x15:c>
        </x15:pivotRow>
        <x15:pivotRow count="1">
          <x15:c>
            <x15:v>9459.4087999999974</x15:v>
          </x15:c>
        </x15:pivotRow>
        <x15:pivotRow count="1">
          <x15:c>
            <x15:v>9516.5468999999975</x15:v>
          </x15:c>
        </x15:pivotRow>
        <x15:pivotRow count="1">
          <x15:c>
            <x15:v>9675.827000000003</x15:v>
          </x15:c>
        </x15:pivotRow>
        <x15:pivotRow count="1">
          <x15:c>
            <x15:v>9801.8725999999988</x15:v>
          </x15:c>
        </x15:pivotRow>
        <x15:pivotRow count="1">
          <x15:c>
            <x15:v>9930.8465999999971</x15:v>
          </x15:c>
        </x15:pivotRow>
        <x15:pivotRow count="1">
          <x15:c>
            <x15:v>10011.2255</x15:v>
          </x15:c>
        </x15:pivotRow>
        <x15:pivotRow count="1">
          <x15:c>
            <x15:v>10013.845800000001</x15:v>
          </x15:c>
        </x15:pivotRow>
        <x15:pivotRow count="1">
          <x15:c>
            <x15:v>10100.231300000001</x15:v>
          </x15:c>
        </x15:pivotRow>
        <x15:pivotRow count="1">
          <x15:c>
            <x15:v>10101.870099999998</x15:v>
          </x15:c>
        </x15:pivotRow>
        <x15:pivotRow count="1">
          <x15:c>
            <x15:v>10138.266199999998</x15:v>
          </x15:c>
        </x15:pivotRow>
        <x15:pivotRow count="1">
          <x15:c>
            <x15:v>10410.177</x15:v>
          </x15:c>
        </x15:pivotRow>
        <x15:pivotRow count="1">
          <x15:c>
            <x15:v>10434.080500000002</x15:v>
          </x15:c>
        </x15:pivotRow>
        <x15:pivotRow count="1">
          <x15:c>
            <x15:v>10488.912499999999</x15:v>
          </x15:c>
        </x15:pivotRow>
        <x15:pivotRow count="1">
          <x15:c>
            <x15:v>10527.075000000001</x15:v>
          </x15:c>
        </x15:pivotRow>
        <x15:pivotRow count="1">
          <x15:c>
            <x15:v>11011.8205</x15:v>
          </x15:c>
        </x15:pivotRow>
        <x15:pivotRow count="1">
          <x15:c>
            <x15:v>11021.469300000001</x15:v>
          </x15:c>
        </x15:pivotRow>
        <x15:pivotRow count="1">
          <x15:c>
            <x15:v>11375.697900000001</x15:v>
          </x15:c>
        </x15:pivotRow>
        <x15:pivotRow count="1">
          <x15:c>
            <x15:v>11596.475900000003</x15:v>
          </x15:c>
        </x15:pivotRow>
        <x15:pivotRow count="1">
          <x15:c>
            <x15:v>11711.506200000002</x15:v>
          </x15:c>
        </x15:pivotRow>
        <x15:pivotRow count="1">
          <x15:c>
            <x15:v>12129.989199999998</x15:v>
          </x15:c>
        </x15:pivotRow>
        <x15:pivotRow count="1">
          <x15:c>
            <x15:v>12160.1077</x15:v>
          </x15:c>
        </x15:pivotRow>
        <x15:pivotRow count="1">
          <x15:c>
            <x15:v>12275.649899999999</x15:v>
          </x15:c>
        </x15:pivotRow>
        <x15:pivotRow count="1">
          <x15:c>
            <x15:v>12278.589399999995</x15:v>
          </x15:c>
        </x15:pivotRow>
        <x15:pivotRow count="1">
          <x15:c>
            <x15:v>12402.452100000002</x15:v>
          </x15:c>
        </x15:pivotRow>
        <x15:pivotRow count="1">
          <x15:c>
            <x15:v>12614.975599999998</x15:v>
          </x15:c>
        </x15:pivotRow>
        <x15:pivotRow count="1">
          <x15:c>
            <x15:v>12626.898199999996</x15:v>
          </x15:c>
        </x15:pivotRow>
        <x15:pivotRow count="1">
          <x15:c>
            <x15:v>12706.143700000002</x15:v>
          </x15:c>
        </x15:pivotRow>
        <x15:pivotRow count="1">
          <x15:c>
            <x15:v>12799.490000000003</x15:v>
          </x15:c>
        </x15:pivotRow>
        <x15:pivotRow count="1">
          <x15:c>
            <x15:v>12854.406800000002</x15:v>
          </x15:c>
        </x15:pivotRow>
        <x15:pivotRow count="1">
          <x15:c>
            <x15:v>13450.850999999999</x15:v>
          </x15:c>
        </x15:pivotRow>
        <x15:pivotRow count="1">
          <x15:c>
            <x15:v>14002.300799999999</x15:v>
          </x15:c>
        </x15:pivotRow>
        <x15:pivotRow count="1">
          <x15:c>
            <x15:v>14224.839300000001</x15:v>
          </x15:c>
        </x15:pivotRow>
        <x15:pivotRow count="1">
          <x15:c>
            <x15:v>14429.886299999998</x15:v>
          </x15:c>
        </x15:pivotRow>
        <x15:pivotRow count="1">
          <x15:c>
            <x15:v>14913.768099999998</x15:v>
          </x15:c>
        </x15:pivotRow>
        <x15:pivotRow count="1">
          <x15:c>
            <x15:v>15109.247699999996</x15:v>
          </x15:c>
        </x15:pivotRow>
        <x15:pivotRow count="1">
          <x15:c>
            <x15:v>593564.71930000035</x15:v>
          </x15:c>
        </x15:pivotRow>
      </x15:pivotTableData>
    </ext>
    <ext xmlns:x15="http://schemas.microsoft.com/office/spreadsheetml/2010/11/main" uri="{E67621CE-5B39-4880-91FE-76760E9C1902}">
      <x15:pivotTableUISettings sourceDataName="WorksheetConnection_Data Practice!$A$1:$M$2340">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D8D85-1E5D-4295-968A-3EBF44BFA93C}" name="PivotChar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512" firstHeaderRow="1" firstDataRow="1" firstDataCol="1"/>
  <pivotFields count="2">
    <pivotField dataField="1" subtotalTop="0" showAll="0" defaultSubtotal="0"/>
    <pivotField axis="axisRow" allDrilled="1" subtotalTop="0" showAll="0" sortType="ascending" dataSourceSort="1" defaultSubtotal="0" defaultAttributeDrillState="1">
      <items count="5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s>
      <autoSortScope>
        <pivotArea dataOnly="0" outline="0" fieldPosition="0">
          <references count="1">
            <reference field="4294967294" count="1" selected="0">
              <x v="0"/>
            </reference>
          </references>
        </pivotArea>
      </autoSortScope>
    </pivotField>
  </pivotFields>
  <rowFields count="1">
    <field x="1"/>
  </rowFields>
  <rowItems count="511">
    <i>
      <x v="392"/>
    </i>
    <i>
      <x v="358"/>
    </i>
    <i>
      <x v="442"/>
    </i>
    <i>
      <x v="163"/>
    </i>
    <i>
      <x v="187"/>
    </i>
    <i>
      <x v="405"/>
    </i>
    <i>
      <x v="304"/>
    </i>
    <i>
      <x v="62"/>
    </i>
    <i>
      <x v="239"/>
    </i>
    <i>
      <x v="132"/>
    </i>
    <i>
      <x v="379"/>
    </i>
    <i>
      <x v="198"/>
    </i>
    <i>
      <x v="250"/>
    </i>
    <i>
      <x v="389"/>
    </i>
    <i>
      <x v="186"/>
    </i>
    <i>
      <x v="2"/>
    </i>
    <i>
      <x v="491"/>
    </i>
    <i>
      <x v="290"/>
    </i>
    <i>
      <x v="16"/>
    </i>
    <i>
      <x v="37"/>
    </i>
    <i>
      <x v="291"/>
    </i>
    <i>
      <x v="483"/>
    </i>
    <i>
      <x v="335"/>
    </i>
    <i>
      <x v="357"/>
    </i>
    <i>
      <x v="228"/>
    </i>
    <i>
      <x v="41"/>
    </i>
    <i>
      <x v="306"/>
    </i>
    <i>
      <x v="264"/>
    </i>
    <i>
      <x v="176"/>
    </i>
    <i>
      <x v="500"/>
    </i>
    <i>
      <x v="199"/>
    </i>
    <i>
      <x v="438"/>
    </i>
    <i>
      <x v="314"/>
    </i>
    <i>
      <x v="329"/>
    </i>
    <i>
      <x v="86"/>
    </i>
    <i>
      <x v="42"/>
    </i>
    <i>
      <x v="429"/>
    </i>
    <i>
      <x v="152"/>
    </i>
    <i>
      <x v="231"/>
    </i>
    <i>
      <x v="293"/>
    </i>
    <i>
      <x v="224"/>
    </i>
    <i>
      <x v="156"/>
    </i>
    <i>
      <x v="283"/>
    </i>
    <i>
      <x v="489"/>
    </i>
    <i>
      <x v="376"/>
    </i>
    <i>
      <x v="222"/>
    </i>
    <i>
      <x v="273"/>
    </i>
    <i>
      <x v="263"/>
    </i>
    <i>
      <x v="309"/>
    </i>
    <i>
      <x v="24"/>
    </i>
    <i>
      <x v="506"/>
    </i>
    <i>
      <x v="261"/>
    </i>
    <i>
      <x v="182"/>
    </i>
    <i>
      <x v="200"/>
    </i>
    <i>
      <x v="411"/>
    </i>
    <i>
      <x v="385"/>
    </i>
    <i>
      <x v="243"/>
    </i>
    <i>
      <x v="338"/>
    </i>
    <i>
      <x v="93"/>
    </i>
    <i>
      <x v="64"/>
    </i>
    <i>
      <x v="11"/>
    </i>
    <i>
      <x v="447"/>
    </i>
    <i>
      <x v="237"/>
    </i>
    <i>
      <x v="172"/>
    </i>
    <i>
      <x v="322"/>
    </i>
    <i>
      <x v="461"/>
    </i>
    <i>
      <x v="361"/>
    </i>
    <i>
      <x v="5"/>
    </i>
    <i>
      <x v="170"/>
    </i>
    <i>
      <x v="204"/>
    </i>
    <i>
      <x v="235"/>
    </i>
    <i>
      <x v="340"/>
    </i>
    <i>
      <x v="7"/>
    </i>
    <i>
      <x v="154"/>
    </i>
    <i>
      <x v="48"/>
    </i>
    <i>
      <x v="223"/>
    </i>
    <i>
      <x v="54"/>
    </i>
    <i>
      <x v="388"/>
    </i>
    <i>
      <x v="433"/>
    </i>
    <i>
      <x v="107"/>
    </i>
    <i>
      <x v="61"/>
    </i>
    <i>
      <x v="165"/>
    </i>
    <i>
      <x v="70"/>
    </i>
    <i>
      <x v="58"/>
    </i>
    <i>
      <x v="60"/>
    </i>
    <i>
      <x v="143"/>
    </i>
    <i>
      <x v="365"/>
    </i>
    <i>
      <x v="90"/>
    </i>
    <i>
      <x v="108"/>
    </i>
    <i>
      <x v="36"/>
    </i>
    <i>
      <x v="191"/>
    </i>
    <i>
      <x v="80"/>
    </i>
    <i>
      <x v="492"/>
    </i>
    <i>
      <x v="136"/>
    </i>
    <i>
      <x v="47"/>
    </i>
    <i>
      <x v="488"/>
    </i>
    <i>
      <x v="45"/>
    </i>
    <i>
      <x v="124"/>
    </i>
    <i>
      <x v="399"/>
    </i>
    <i>
      <x v="384"/>
    </i>
    <i>
      <x v="421"/>
    </i>
    <i>
      <x v="69"/>
    </i>
    <i>
      <x v="285"/>
    </i>
    <i>
      <x v="26"/>
    </i>
    <i>
      <x v="390"/>
    </i>
    <i>
      <x v="32"/>
    </i>
    <i>
      <x v="274"/>
    </i>
    <i>
      <x v="382"/>
    </i>
    <i>
      <x v="276"/>
    </i>
    <i>
      <x v="346"/>
    </i>
    <i>
      <x v="13"/>
    </i>
    <i>
      <x v="432"/>
    </i>
    <i>
      <x v="25"/>
    </i>
    <i>
      <x v="364"/>
    </i>
    <i>
      <x v="144"/>
    </i>
    <i>
      <x v="234"/>
    </i>
    <i>
      <x v="467"/>
    </i>
    <i>
      <x v="139"/>
    </i>
    <i>
      <x v="146"/>
    </i>
    <i>
      <x v="184"/>
    </i>
    <i>
      <x v="92"/>
    </i>
    <i>
      <x v="295"/>
    </i>
    <i>
      <x v="49"/>
    </i>
    <i>
      <x v="31"/>
    </i>
    <i>
      <x v="375"/>
    </i>
    <i>
      <x v="225"/>
    </i>
    <i>
      <x v="257"/>
    </i>
    <i>
      <x v="450"/>
    </i>
    <i>
      <x v="125"/>
    </i>
    <i>
      <x v="247"/>
    </i>
    <i>
      <x v="194"/>
    </i>
    <i>
      <x v="444"/>
    </i>
    <i>
      <x v="75"/>
    </i>
    <i>
      <x v="465"/>
    </i>
    <i>
      <x v="59"/>
    </i>
    <i>
      <x v="271"/>
    </i>
    <i>
      <x v="345"/>
    </i>
    <i>
      <x v="426"/>
    </i>
    <i>
      <x v="494"/>
    </i>
    <i>
      <x v="83"/>
    </i>
    <i>
      <x v="317"/>
    </i>
    <i>
      <x v="142"/>
    </i>
    <i>
      <x v="4"/>
    </i>
    <i>
      <x v="469"/>
    </i>
    <i>
      <x v="160"/>
    </i>
    <i>
      <x v="437"/>
    </i>
    <i>
      <x v="38"/>
    </i>
    <i>
      <x v="82"/>
    </i>
    <i>
      <x v="292"/>
    </i>
    <i>
      <x v="456"/>
    </i>
    <i>
      <x v="137"/>
    </i>
    <i>
      <x v="282"/>
    </i>
    <i>
      <x v="101"/>
    </i>
    <i>
      <x v="468"/>
    </i>
    <i>
      <x v="164"/>
    </i>
    <i>
      <x v="440"/>
    </i>
    <i>
      <x v="195"/>
    </i>
    <i>
      <x v="244"/>
    </i>
    <i>
      <x v="23"/>
    </i>
    <i>
      <x v="380"/>
    </i>
    <i>
      <x v="34"/>
    </i>
    <i>
      <x v="111"/>
    </i>
    <i>
      <x v="349"/>
    </i>
    <i>
      <x v="217"/>
    </i>
    <i>
      <x v="179"/>
    </i>
    <i>
      <x v="219"/>
    </i>
    <i>
      <x v="53"/>
    </i>
    <i>
      <x v="115"/>
    </i>
    <i>
      <x v="463"/>
    </i>
    <i>
      <x v="157"/>
    </i>
    <i>
      <x v="51"/>
    </i>
    <i>
      <x v="161"/>
    </i>
    <i>
      <x v="505"/>
    </i>
    <i>
      <x v="3"/>
    </i>
    <i>
      <x v="197"/>
    </i>
    <i>
      <x v="336"/>
    </i>
    <i>
      <x v="413"/>
    </i>
    <i>
      <x v="289"/>
    </i>
    <i>
      <x v="57"/>
    </i>
    <i>
      <x v="29"/>
    </i>
    <i>
      <x v="496"/>
    </i>
    <i>
      <x v="68"/>
    </i>
    <i>
      <x v="430"/>
    </i>
    <i>
      <x v="286"/>
    </i>
    <i>
      <x v="320"/>
    </i>
    <i>
      <x v="451"/>
    </i>
    <i>
      <x v="89"/>
    </i>
    <i>
      <x v="449"/>
    </i>
    <i>
      <x v="334"/>
    </i>
    <i>
      <x v="98"/>
    </i>
    <i>
      <x v="84"/>
    </i>
    <i>
      <x v="459"/>
    </i>
    <i>
      <x v="21"/>
    </i>
    <i>
      <x v="377"/>
    </i>
    <i>
      <x v="177"/>
    </i>
    <i>
      <x v="454"/>
    </i>
    <i>
      <x v="254"/>
    </i>
    <i>
      <x v="6"/>
    </i>
    <i>
      <x v="113"/>
    </i>
    <i>
      <x v="479"/>
    </i>
    <i>
      <x v="490"/>
    </i>
    <i>
      <x v="310"/>
    </i>
    <i>
      <x v="94"/>
    </i>
    <i>
      <x v="168"/>
    </i>
    <i>
      <x v="397"/>
    </i>
    <i>
      <x v="270"/>
    </i>
    <i>
      <x v="87"/>
    </i>
    <i>
      <x v="316"/>
    </i>
    <i>
      <x v="332"/>
    </i>
    <i>
      <x v="275"/>
    </i>
    <i>
      <x v="55"/>
    </i>
    <i>
      <x v="155"/>
    </i>
    <i>
      <x v="457"/>
    </i>
    <i>
      <x v="149"/>
    </i>
    <i>
      <x v="386"/>
    </i>
    <i>
      <x v="410"/>
    </i>
    <i>
      <x v="294"/>
    </i>
    <i>
      <x v="251"/>
    </i>
    <i>
      <x v="174"/>
    </i>
    <i>
      <x v="501"/>
    </i>
    <i>
      <x v="272"/>
    </i>
    <i>
      <x v="185"/>
    </i>
    <i>
      <x v="178"/>
    </i>
    <i>
      <x v="205"/>
    </i>
    <i>
      <x v="112"/>
    </i>
    <i>
      <x v="252"/>
    </i>
    <i>
      <x v="43"/>
    </i>
    <i>
      <x v="448"/>
    </i>
    <i>
      <x v="342"/>
    </i>
    <i>
      <x v="425"/>
    </i>
    <i>
      <x v="323"/>
    </i>
    <i>
      <x v="210"/>
    </i>
    <i>
      <x v="229"/>
    </i>
    <i>
      <x v="486"/>
    </i>
    <i>
      <x v="106"/>
    </i>
    <i>
      <x v="507"/>
    </i>
    <i>
      <x v="330"/>
    </i>
    <i>
      <x v="255"/>
    </i>
    <i>
      <x v="8"/>
    </i>
    <i>
      <x v="460"/>
    </i>
    <i>
      <x v="401"/>
    </i>
    <i>
      <x v="445"/>
    </i>
    <i>
      <x v="249"/>
    </i>
    <i>
      <x v="484"/>
    </i>
    <i>
      <x v="63"/>
    </i>
    <i>
      <x v="452"/>
    </i>
    <i>
      <x v="253"/>
    </i>
    <i>
      <x v="417"/>
    </i>
    <i>
      <x v="341"/>
    </i>
    <i>
      <x v="372"/>
    </i>
    <i>
      <x v="230"/>
    </i>
    <i>
      <x v="303"/>
    </i>
    <i>
      <x v="307"/>
    </i>
    <i>
      <x v="333"/>
    </i>
    <i>
      <x v="207"/>
    </i>
    <i>
      <x v="378"/>
    </i>
    <i>
      <x v="443"/>
    </i>
    <i>
      <x v="46"/>
    </i>
    <i>
      <x v="419"/>
    </i>
    <i>
      <x v="381"/>
    </i>
    <i>
      <x v="369"/>
    </i>
    <i>
      <x v="359"/>
    </i>
    <i>
      <x v="40"/>
    </i>
    <i>
      <x v="400"/>
    </i>
    <i>
      <x v="434"/>
    </i>
    <i>
      <x v="455"/>
    </i>
    <i>
      <x v="480"/>
    </i>
    <i>
      <x v="268"/>
    </i>
    <i>
      <x v="145"/>
    </i>
    <i>
      <x v="159"/>
    </i>
    <i>
      <x v="387"/>
    </i>
    <i>
      <x v="331"/>
    </i>
    <i>
      <x v="218"/>
    </i>
    <i>
      <x v="221"/>
    </i>
    <i>
      <x v="121"/>
    </i>
    <i>
      <x v="28"/>
    </i>
    <i>
      <x v="76"/>
    </i>
    <i>
      <x v="18"/>
    </i>
    <i>
      <x v="418"/>
    </i>
    <i>
      <x v="476"/>
    </i>
    <i>
      <x v="153"/>
    </i>
    <i>
      <x v="226"/>
    </i>
    <i>
      <x v="435"/>
    </i>
    <i>
      <x v="212"/>
    </i>
    <i>
      <x v="256"/>
    </i>
    <i>
      <x v="35"/>
    </i>
    <i>
      <x v="321"/>
    </i>
    <i>
      <x v="1"/>
    </i>
    <i>
      <x v="262"/>
    </i>
    <i>
      <x v="188"/>
    </i>
    <i>
      <x v="462"/>
    </i>
    <i>
      <x v="130"/>
    </i>
    <i>
      <x v="324"/>
    </i>
    <i>
      <x v="408"/>
    </i>
    <i>
      <x v="134"/>
    </i>
    <i>
      <x v="395"/>
    </i>
    <i>
      <x v="339"/>
    </i>
    <i>
      <x v="211"/>
    </i>
    <i>
      <x v="72"/>
    </i>
    <i>
      <x v="431"/>
    </i>
    <i>
      <x v="216"/>
    </i>
    <i>
      <x v="308"/>
    </i>
    <i>
      <x v="259"/>
    </i>
    <i>
      <x v="318"/>
    </i>
    <i>
      <x v="374"/>
    </i>
    <i>
      <x v="269"/>
    </i>
    <i>
      <x v="119"/>
    </i>
    <i>
      <x v="277"/>
    </i>
    <i>
      <x v="287"/>
    </i>
    <i>
      <x v="475"/>
    </i>
    <i>
      <x v="227"/>
    </i>
    <i>
      <x v="122"/>
    </i>
    <i>
      <x v="366"/>
    </i>
    <i>
      <x v="201"/>
    </i>
    <i>
      <x v="373"/>
    </i>
    <i>
      <x v="301"/>
    </i>
    <i>
      <x v="477"/>
    </i>
    <i>
      <x v="241"/>
    </i>
    <i>
      <x v="9"/>
    </i>
    <i>
      <x v="351"/>
    </i>
    <i>
      <x v="236"/>
    </i>
    <i>
      <x v="127"/>
    </i>
    <i>
      <x v="362"/>
    </i>
    <i>
      <x v="196"/>
    </i>
    <i>
      <x v="311"/>
    </i>
    <i>
      <x v="133"/>
    </i>
    <i>
      <x v="305"/>
    </i>
    <i>
      <x v="245"/>
    </i>
    <i>
      <x v="493"/>
    </i>
    <i>
      <x v="350"/>
    </i>
    <i>
      <x v="439"/>
    </i>
    <i>
      <x v="424"/>
    </i>
    <i>
      <x v="65"/>
    </i>
    <i>
      <x v="114"/>
    </i>
    <i>
      <x v="126"/>
    </i>
    <i>
      <x v="141"/>
    </i>
    <i>
      <x v="412"/>
    </i>
    <i>
      <x v="297"/>
    </i>
    <i>
      <x v="39"/>
    </i>
    <i>
      <x v="478"/>
    </i>
    <i>
      <x v="423"/>
    </i>
    <i>
      <x v="360"/>
    </i>
    <i>
      <x v="415"/>
    </i>
    <i>
      <x v="279"/>
    </i>
    <i>
      <x v="497"/>
    </i>
    <i>
      <x v="370"/>
    </i>
    <i>
      <x v="248"/>
    </i>
    <i>
      <x v="470"/>
    </i>
    <i>
      <x v="391"/>
    </i>
    <i>
      <x v="398"/>
    </i>
    <i>
      <x v="52"/>
    </i>
    <i>
      <x v="299"/>
    </i>
    <i>
      <x v="352"/>
    </i>
    <i>
      <x v="402"/>
    </i>
    <i>
      <x v="100"/>
    </i>
    <i>
      <x v="66"/>
    </i>
    <i>
      <x v="15"/>
    </i>
    <i>
      <x v="151"/>
    </i>
    <i>
      <x v="302"/>
    </i>
    <i>
      <x v="246"/>
    </i>
    <i>
      <x v="242"/>
    </i>
    <i>
      <x v="393"/>
    </i>
    <i>
      <x v="481"/>
    </i>
    <i>
      <x v="166"/>
    </i>
    <i>
      <x v="319"/>
    </i>
    <i>
      <x v="404"/>
    </i>
    <i>
      <x v="104"/>
    </i>
    <i>
      <x v="215"/>
    </i>
    <i>
      <x v="171"/>
    </i>
    <i>
      <x v="367"/>
    </i>
    <i>
      <x v="233"/>
    </i>
    <i>
      <x v="383"/>
    </i>
    <i>
      <x v="499"/>
    </i>
    <i>
      <x v="502"/>
    </i>
    <i>
      <x v="436"/>
    </i>
    <i>
      <x v="173"/>
    </i>
    <i>
      <x v="22"/>
    </i>
    <i>
      <x v="181"/>
    </i>
    <i>
      <x v="356"/>
    </i>
    <i>
      <x v="74"/>
    </i>
    <i>
      <x v="78"/>
    </i>
    <i>
      <x v="120"/>
    </i>
    <i>
      <x v="487"/>
    </i>
    <i>
      <x v="363"/>
    </i>
    <i>
      <x v="414"/>
    </i>
    <i>
      <x v="441"/>
    </i>
    <i>
      <x v="19"/>
    </i>
    <i>
      <x v="368"/>
    </i>
    <i>
      <x v="328"/>
    </i>
    <i>
      <x v="337"/>
    </i>
    <i>
      <x v="504"/>
    </i>
    <i>
      <x v="162"/>
    </i>
    <i>
      <x v="175"/>
    </i>
    <i>
      <x v="422"/>
    </i>
    <i>
      <x v="150"/>
    </i>
    <i>
      <x v="85"/>
    </i>
    <i>
      <x v="325"/>
    </i>
    <i>
      <x v="17"/>
    </i>
    <i>
      <x v="67"/>
    </i>
    <i>
      <x v="266"/>
    </i>
    <i>
      <x v="343"/>
    </i>
    <i>
      <x v="354"/>
    </i>
    <i>
      <x v="288"/>
    </i>
    <i>
      <x v="129"/>
    </i>
    <i>
      <x v="77"/>
    </i>
    <i>
      <x v="453"/>
    </i>
    <i>
      <x v="12"/>
    </i>
    <i>
      <x v="326"/>
    </i>
    <i>
      <x v="327"/>
    </i>
    <i>
      <x v="508"/>
    </i>
    <i>
      <x v="50"/>
    </i>
    <i>
      <x v="203"/>
    </i>
    <i>
      <x v="190"/>
    </i>
    <i>
      <x v="348"/>
    </i>
    <i>
      <x v="260"/>
    </i>
    <i>
      <x v="30"/>
    </i>
    <i>
      <x v="464"/>
    </i>
    <i>
      <x v="169"/>
    </i>
    <i>
      <x v="71"/>
    </i>
    <i>
      <x v="158"/>
    </i>
    <i>
      <x v="123"/>
    </i>
    <i>
      <x v="96"/>
    </i>
    <i>
      <x v="209"/>
    </i>
    <i>
      <x v="296"/>
    </i>
    <i>
      <x v="353"/>
    </i>
    <i>
      <x v="473"/>
    </i>
    <i>
      <x v="220"/>
    </i>
    <i>
      <x v="258"/>
    </i>
    <i>
      <x v="118"/>
    </i>
    <i>
      <x v="265"/>
    </i>
    <i>
      <x v="183"/>
    </i>
    <i>
      <x v="193"/>
    </i>
    <i>
      <x v="466"/>
    </i>
    <i>
      <x v="167"/>
    </i>
    <i>
      <x v="131"/>
    </i>
    <i>
      <x v="428"/>
    </i>
    <i>
      <x v="103"/>
    </i>
    <i>
      <x v="284"/>
    </i>
    <i>
      <x v="482"/>
    </i>
    <i>
      <x v="427"/>
    </i>
    <i>
      <x v="81"/>
    </i>
    <i>
      <x v="396"/>
    </i>
    <i>
      <x v="281"/>
    </i>
    <i>
      <x v="95"/>
    </i>
    <i>
      <x v="267"/>
    </i>
    <i>
      <x v="56"/>
    </i>
    <i>
      <x v="20"/>
    </i>
    <i>
      <x v="105"/>
    </i>
    <i>
      <x v="498"/>
    </i>
    <i>
      <x v="14"/>
    </i>
    <i>
      <x v="313"/>
    </i>
    <i>
      <x v="495"/>
    </i>
    <i>
      <x v="208"/>
    </i>
    <i>
      <x v="91"/>
    </i>
    <i>
      <x v="485"/>
    </i>
    <i>
      <x v="33"/>
    </i>
    <i>
      <x v="280"/>
    </i>
    <i>
      <x v="355"/>
    </i>
    <i>
      <x v="344"/>
    </i>
    <i>
      <x v="73"/>
    </i>
    <i>
      <x v="206"/>
    </i>
    <i>
      <x v="214"/>
    </i>
    <i>
      <x v="458"/>
    </i>
    <i>
      <x v="232"/>
    </i>
    <i>
      <x v="394"/>
    </i>
    <i>
      <x v="503"/>
    </i>
    <i>
      <x v="202"/>
    </i>
    <i>
      <x v="407"/>
    </i>
    <i>
      <x v="97"/>
    </i>
    <i>
      <x v="406"/>
    </i>
    <i>
      <x v="10"/>
    </i>
    <i>
      <x v="192"/>
    </i>
    <i>
      <x v="474"/>
    </i>
    <i>
      <x v="44"/>
    </i>
    <i>
      <x v="472"/>
    </i>
    <i>
      <x v="278"/>
    </i>
    <i>
      <x v="213"/>
    </i>
    <i>
      <x v="116"/>
    </i>
    <i>
      <x v="117"/>
    </i>
    <i>
      <x v="140"/>
    </i>
    <i>
      <x v="240"/>
    </i>
    <i>
      <x v="312"/>
    </i>
    <i>
      <x v="238"/>
    </i>
    <i>
      <x v="420"/>
    </i>
    <i>
      <x v="138"/>
    </i>
    <i>
      <x v="315"/>
    </i>
    <i>
      <x v="99"/>
    </i>
    <i>
      <x v="110"/>
    </i>
    <i>
      <x v="180"/>
    </i>
    <i>
      <x v="109"/>
    </i>
    <i>
      <x v="147"/>
    </i>
    <i>
      <x v="300"/>
    </i>
    <i>
      <x/>
    </i>
    <i>
      <x v="347"/>
    </i>
    <i>
      <x v="102"/>
    </i>
    <i>
      <x v="298"/>
    </i>
    <i>
      <x v="189"/>
    </i>
    <i>
      <x v="88"/>
    </i>
    <i>
      <x v="416"/>
    </i>
    <i>
      <x v="446"/>
    </i>
    <i>
      <x v="79"/>
    </i>
    <i>
      <x v="27"/>
    </i>
    <i>
      <x v="371"/>
    </i>
    <i>
      <x v="135"/>
    </i>
    <i>
      <x v="509"/>
    </i>
    <i>
      <x v="403"/>
    </i>
    <i>
      <x v="471"/>
    </i>
    <i>
      <x v="128"/>
    </i>
    <i>
      <x v="409"/>
    </i>
    <i>
      <x v="148"/>
    </i>
    <i t="grand">
      <x/>
    </i>
  </rowItems>
  <colItems count="1">
    <i/>
  </colItems>
  <dataFields count="1">
    <dataField name="Sum of Net Reven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11" columnCount="1" cacheId="746396994">
        <x15:pivotRow count="1">
          <x15:c>
            <x15:v>22.534199999999998</x15:v>
          </x15:c>
        </x15:pivotRow>
        <x15:pivotRow count="1">
          <x15:c>
            <x15:v>24.3</x15:v>
          </x15:c>
        </x15:pivotRow>
        <x15:pivotRow count="1">
          <x15:c>
            <x15:v>28.034299999999998</x15:v>
          </x15:c>
        </x15:pivotRow>
        <x15:pivotRow count="1">
          <x15:c>
            <x15:v>28.034299999999998</x15:v>
          </x15:c>
        </x15:pivotRow>
        <x15:pivotRow count="1">
          <x15:c>
            <x15:v>28.034299999999998</x15:v>
          </x15:c>
        </x15:pivotRow>
        <x15:pivotRow count="1">
          <x15:c>
            <x15:v>40.126300000000001</x15:v>
          </x15:c>
        </x15:pivotRow>
        <x15:pivotRow count="1">
          <x15:c>
            <x15:v>40.5</x15:v>
          </x15:c>
        </x15:pivotRow>
        <x15:pivotRow count="1">
          <x15:c>
            <x15:v>45</x15:v>
          </x15:c>
        </x15:pivotRow>
        <x15:pivotRow count="1">
          <x15:c>
            <x15:v>46.08</x15:v>
          </x15:c>
        </x15:pivotRow>
        <x15:pivotRow count="1">
          <x15:c>
            <x15:v>46.08</x15:v>
          </x15:c>
        </x15:pivotRow>
        <x15:pivotRow count="1">
          <x15:c>
            <x15:v>46.415099999999995</x15:v>
          </x15:c>
        </x15:pivotRow>
        <x15:pivotRow count="1">
          <x15:c>
            <x15:v>48.02</x15:v>
          </x15:c>
        </x15:pivotRow>
        <x15:pivotRow count="1">
          <x15:c>
            <x15:v>66.612499999999997</x15:v>
          </x15:c>
        </x15:pivotRow>
        <x15:pivotRow count="1">
          <x15:c>
            <x15:v>68.003299999999996</x15:v>
          </x15:c>
        </x15:pivotRow>
        <x15:pivotRow count="1">
          <x15:c>
            <x15:v>68.013300000000001</x15:v>
          </x15:c>
        </x15:pivotRow>
        <x15:pivotRow count="1">
          <x15:c>
            <x15:v>68.452399999999997</x15:v>
          </x15:c>
        </x15:pivotRow>
        <x15:pivotRow count="1">
          <x15:c>
            <x15:v>69.7</x15:v>
          </x15:c>
        </x15:pivotRow>
        <x15:pivotRow count="1">
          <x15:c>
            <x15:v>70.3125</x15:v>
          </x15:c>
        </x15:pivotRow>
        <x15:pivotRow count="1">
          <x15:c>
            <x15:v>74.112499999999997</x15:v>
          </x15:c>
        </x15:pivotRow>
        <x15:pivotRow count="1">
          <x15:c>
            <x15:v>76.05</x15:v>
          </x15:c>
        </x15:pivotRow>
        <x15:pivotRow count="1">
          <x15:c>
            <x15:v>80</x15:v>
          </x15:c>
        </x15:pivotRow>
        <x15:pivotRow count="1">
          <x15:c>
            <x15:v>82.446300000000008</x15:v>
          </x15:c>
        </x15:pivotRow>
        <x15:pivotRow count="1">
          <x15:c>
            <x15:v>87.8352</x15:v>
          </x15:c>
        </x15:pivotRow>
        <x15:pivotRow count="1">
          <x15:c>
            <x15:v>93.112399999999994</x15:v>
          </x15:c>
        </x15:pivotRow>
        <x15:pivotRow count="1">
          <x15:c>
            <x15:v>94.639999999999986</x15:v>
          </x15:c>
        </x15:pivotRow>
        <x15:pivotRow count="1">
          <x15:c>
            <x15:v>101.75</x15:v>
          </x15:c>
        </x15:pivotRow>
        <x15:pivotRow count="1">
          <x15:c>
            <x15:v>102.1468</x15:v>
          </x15:c>
        </x15:pivotRow>
        <x15:pivotRow count="1">
          <x15:c>
            <x15:v>108.0343</x15:v>
          </x15:c>
        </x15:pivotRow>
        <x15:pivotRow count="1">
          <x15:c>
            <x15:v>109.03</x15:v>
          </x15:c>
        </x15:pivotRow>
        <x15:pivotRow count="1">
          <x15:c>
            <x15:v>113.6893</x15:v>
          </x15:c>
        </x15:pivotRow>
        <x15:pivotRow count="1">
          <x15:c>
            <x15:v>115.77330000000001</x15:v>
          </x15:c>
        </x15:pivotRow>
        <x15:pivotRow count="1">
          <x15:c>
            <x15:v>119.71340000000001</x15:v>
          </x15:c>
        </x15:pivotRow>
        <x15:pivotRow count="1">
          <x15:c>
            <x15:v>123.32</x15:v>
          </x15:c>
        </x15:pivotRow>
        <x15:pivotRow count="1">
          <x15:c>
            <x15:v>136.3219</x15:v>
          </x15:c>
        </x15:pivotRow>
        <x15:pivotRow count="1">
          <x15:c>
            <x15:v>137.80000000000001</x15:v>
          </x15:c>
        </x15:pivotRow>
        <x15:pivotRow count="1">
          <x15:c>
            <x15:v>138.24</x15:v>
          </x15:c>
        </x15:pivotRow>
        <x15:pivotRow count="1">
          <x15:c>
            <x15:v>144.06</x15:v>
          </x15:c>
        </x15:pivotRow>
        <x15:pivotRow count="1">
          <x15:c>
            <x15:v>156.816</x15:v>
          </x15:c>
        </x15:pivotRow>
        <x15:pivotRow count="1">
          <x15:c>
            <x15:v>160.66200000000001</x15:v>
          </x15:c>
        </x15:pivotRow>
        <x15:pivotRow count="1">
          <x15:c>
            <x15:v>167.529</x15:v>
          </x15:c>
        </x15:pivotRow>
        <x15:pivotRow count="1">
          <x15:c>
            <x15:v>168.73429999999999</x15:v>
          </x15:c>
        </x15:pivotRow>
        <x15:pivotRow count="1">
          <x15:c>
            <x15:v>169.96180000000001</x15:v>
          </x15:c>
        </x15:pivotRow>
        <x15:pivotRow count="1">
          <x15:c>
            <x15:v>173.07569999999998</x15:v>
          </x15:c>
        </x15:pivotRow>
        <x15:pivotRow count="1">
          <x15:c>
            <x15:v>173.53399999999999</x15:v>
          </x15:c>
        </x15:pivotRow>
        <x15:pivotRow count="1">
          <x15:c>
            <x15:v>175.27760000000001</x15:v>
          </x15:c>
        </x15:pivotRow>
        <x15:pivotRow count="1">
          <x15:c>
            <x15:v>176.96</x15:v>
          </x15:c>
        </x15:pivotRow>
        <x15:pivotRow count="1">
          <x15:c>
            <x15:v>178.03</x15:v>
          </x15:c>
        </x15:pivotRow>
        <x15:pivotRow count="1">
          <x15:c>
            <x15:v>178.5385</x15:v>
          </x15:c>
        </x15:pivotRow>
        <x15:pivotRow count="1">
          <x15:c>
            <x15:v>185.4393</x15:v>
          </x15:c>
        </x15:pivotRow>
        <x15:pivotRow count="1">
          <x15:c>
            <x15:v>186.05</x15:v>
          </x15:c>
        </x15:pivotRow>
        <x15:pivotRow count="1">
          <x15:c>
            <x15:v>192.5684</x15:v>
          </x15:c>
        </x15:pivotRow>
        <x15:pivotRow count="1">
          <x15:c>
            <x15:v>195.86239999999998</x15:v>
          </x15:c>
        </x15:pivotRow>
        <x15:pivotRow count="1">
          <x15:c>
            <x15:v>200.02949999999998</x15:v>
          </x15:c>
        </x15:pivotRow>
        <x15:pivotRow count="1">
          <x15:c>
            <x15:v>201.2843</x15:v>
          </x15:c>
        </x15:pivotRow>
        <x15:pivotRow count="1">
          <x15:c>
            <x15:v>208.45259999999999</x15:v>
          </x15:c>
        </x15:pivotRow>
        <x15:pivotRow count="1">
          <x15:c>
            <x15:v>209.51429999999999</x15:v>
          </x15:c>
        </x15:pivotRow>
        <x15:pivotRow count="1">
          <x15:c>
            <x15:v>211.25</x15:v>
          </x15:c>
        </x15:pivotRow>
        <x15:pivotRow count="1">
          <x15:c>
            <x15:v>211.876</x15:v>
          </x15:c>
        </x15:pivotRow>
        <x15:pivotRow count="1">
          <x15:c>
            <x15:v>226.57599999999999</x15:v>
          </x15:c>
        </x15:pivotRow>
        <x15:pivotRow count="1">
          <x15:c>
            <x15:v>226.9725</x15:v>
          </x15:c>
        </x15:pivotRow>
        <x15:pivotRow count="1">
          <x15:c>
            <x15:v>240.1</x15:v>
          </x15:c>
        </x15:pivotRow>
        <x15:pivotRow count="1">
          <x15:c>
            <x15:v>250.88</x15:v>
          </x15:c>
        </x15:pivotRow>
        <x15:pivotRow count="1">
          <x15:c>
            <x15:v>259.2</x15:v>
          </x15:c>
        </x15:pivotRow>
        <x15:pivotRow count="1">
          <x15:c>
            <x15:v>261.88</x15:v>
          </x15:c>
        </x15:pivotRow>
        <x15:pivotRow count="1">
          <x15:c>
            <x15:v>264.2303</x15:v>
          </x15:c>
        </x15:pivotRow>
        <x15:pivotRow count="1">
          <x15:c>
            <x15:v>267.39249999999998</x15:v>
          </x15:c>
        </x15:pivotRow>
        <x15:pivotRow count="1">
          <x15:c>
            <x15:v>272.2047</x15:v>
          </x15:c>
        </x15:pivotRow>
        <x15:pivotRow count="1">
          <x15:c>
            <x15:v>273.8</x15:v>
          </x15:c>
        </x15:pivotRow>
        <x15:pivotRow count="1">
          <x15:c>
            <x15:v>273.85599999999999</x15:v>
          </x15:c>
        </x15:pivotRow>
        <x15:pivotRow count="1">
          <x15:c>
            <x15:v>284.51249999999999</x15:v>
          </x15:c>
        </x15:pivotRow>
        <x15:pivotRow count="1">
          <x15:c>
            <x15:v>289.64100000000002</x15:v>
          </x15:c>
        </x15:pivotRow>
        <x15:pivotRow count="1">
          <x15:c>
            <x15:v>315.7525</x15:v>
          </x15:c>
        </x15:pivotRow>
        <x15:pivotRow count="1">
          <x15:c>
            <x15:v>318.01330000000002</x15:v>
          </x15:c>
        </x15:pivotRow>
        <x15:pivotRow count="1">
          <x15:c>
            <x15:v>323.79770000000002</x15:v>
          </x15:c>
        </x15:pivotRow>
        <x15:pivotRow count="1">
          <x15:c>
            <x15:v>344.11599999999999</x15:v>
          </x15:c>
        </x15:pivotRow>
        <x15:pivotRow count="1">
          <x15:c>
            <x15:v>359.78</x15:v>
          </x15:c>
        </x15:pivotRow>
        <x15:pivotRow count="1">
          <x15:c>
            <x15:v>361.62</x15:v>
          </x15:c>
        </x15:pivotRow>
        <x15:pivotRow count="1">
          <x15:c>
            <x15:v>362.666</x15:v>
          </x15:c>
        </x15:pivotRow>
        <x15:pivotRow count="1">
          <x15:c>
            <x15:v>372.45609999999999</x15:v>
          </x15:c>
        </x15:pivotRow>
        <x15:pivotRow count="1">
          <x15:c>
            <x15:v>378.68269999999995</x15:v>
          </x15:c>
        </x15:pivotRow>
        <x15:pivotRow count="1">
          <x15:c>
            <x15:v>380.5761</x15:v>
          </x15:c>
        </x15:pivotRow>
        <x15:pivotRow count="1">
          <x15:c>
            <x15:v>387.09320000000002</x15:v>
          </x15:c>
        </x15:pivotRow>
        <x15:pivotRow count="1">
          <x15:c>
            <x15:v>387.17</x15:v>
          </x15:c>
        </x15:pivotRow>
        <x15:pivotRow count="1">
          <x15:c>
            <x15:v>396.05</x15:v>
          </x15:c>
        </x15:pivotRow>
        <x15:pivotRow count="1">
          <x15:c>
            <x15:v>413.28</x15:v>
          </x15:c>
        </x15:pivotRow>
        <x15:pivotRow count="1">
          <x15:c>
            <x15:v>414.71250000000003</x15:v>
          </x15:c>
        </x15:pivotRow>
        <x15:pivotRow count="1">
          <x15:c>
            <x15:v>419.91999999999996</x15:v>
          </x15:c>
        </x15:pivotRow>
        <x15:pivotRow count="1">
          <x15:c>
            <x15:v>420.11599999999999</x15:v>
          </x15:c>
        </x15:pivotRow>
        <x15:pivotRow count="1">
          <x15:c>
            <x15:v>434.14</x15:v>
          </x15:c>
        </x15:pivotRow>
        <x15:pivotRow count="1">
          <x15:c>
            <x15:v>440.50419999999997</x15:v>
          </x15:c>
        </x15:pivotRow>
        <x15:pivotRow count="1">
          <x15:c>
            <x15:v>446.39600000000002</x15:v>
          </x15:c>
        </x15:pivotRow>
        <x15:pivotRow count="1">
          <x15:c>
            <x15:v>455.92840000000001</x15:v>
          </x15:c>
        </x15:pivotRow>
        <x15:pivotRow count="1">
          <x15:c>
            <x15:v>460.8</x15:v>
          </x15:c>
        </x15:pivotRow>
        <x15:pivotRow count="1">
          <x15:c>
            <x15:v>466.81200000000001</x15:v>
          </x15:c>
        </x15:pivotRow>
        <x15:pivotRow count="1">
          <x15:c>
            <x15:v>470.11</x15:v>
          </x15:c>
        </x15:pivotRow>
        <x15:pivotRow count="1">
          <x15:c>
            <x15:v>470.45</x15:v>
          </x15:c>
        </x15:pivotRow>
        <x15:pivotRow count="1">
          <x15:c>
            <x15:v>478.29349999999999</x15:v>
          </x15:c>
        </x15:pivotRow>
        <x15:pivotRow count="1">
          <x15:c>
            <x15:v>480.2</x15:v>
          </x15:c>
        </x15:pivotRow>
        <x15:pivotRow count="1">
          <x15:c>
            <x15:v>484.4</x15:v>
          </x15:c>
        </x15:pivotRow>
        <x15:pivotRow count="1">
          <x15:c>
            <x15:v>499.28</x15:v>
          </x15:c>
        </x15:pivotRow>
        <x15:pivotRow count="1">
          <x15:c>
            <x15:v>499.59000000000003</x15:v>
          </x15:c>
        </x15:pivotRow>
        <x15:pivotRow count="1">
          <x15:c>
            <x15:v>500</x15:v>
          </x15:c>
        </x15:pivotRow>
        <x15:pivotRow count="1">
          <x15:c>
            <x15:v>500.62630000000001</x15:v>
          </x15:c>
        </x15:pivotRow>
        <x15:pivotRow count="1">
          <x15:c>
            <x15:v>503.06669999999997</x15:v>
          </x15:c>
        </x15:pivotRow>
        <x15:pivotRow count="1">
          <x15:c>
            <x15:v>506.33240000000001</x15:v>
          </x15:c>
        </x15:pivotRow>
        <x15:pivotRow count="1">
          <x15:c>
            <x15:v>506.60239999999999</x15:v>
          </x15:c>
        </x15:pivotRow>
        <x15:pivotRow count="1">
          <x15:c>
            <x15:v>507.66</x15:v>
          </x15:c>
        </x15:pivotRow>
        <x15:pivotRow count="1">
          <x15:c>
            <x15:v>510.28000000000003</x15:v>
          </x15:c>
        </x15:pivotRow>
        <x15:pivotRow count="1">
          <x15:c>
            <x15:v>511.49189999999999</x15:v>
          </x15:c>
        </x15:pivotRow>
        <x15:pivotRow count="1">
          <x15:c>
            <x15:v>516.58429999999998</x15:v>
          </x15:c>
        </x15:pivotRow>
        <x15:pivotRow count="1">
          <x15:c>
            <x15:v>517.72</x15:v>
          </x15:c>
        </x15:pivotRow>
        <x15:pivotRow count="1">
          <x15:c>
            <x15:v>522.73</x15:v>
          </x15:c>
        </x15:pivotRow>
        <x15:pivotRow count="1">
          <x15:c>
            <x15:v>524.41</x15:v>
          </x15:c>
        </x15:pivotRow>
        <x15:pivotRow count="1">
          <x15:c>
            <x15:v>524.88</x15:v>
          </x15:c>
        </x15:pivotRow>
        <x15:pivotRow count="1">
          <x15:c>
            <x15:v>528.41</x15:v>
          </x15:c>
        </x15:pivotRow>
        <x15:pivotRow count="1">
          <x15:c>
            <x15:v>534.7342000000001</x15:v>
          </x15:c>
        </x15:pivotRow>
        <x15:pivotRow count="1">
          <x15:c>
            <x15:v>545</x15:v>
          </x15:c>
        </x15:pivotRow>
        <x15:pivotRow count="1">
          <x15:c>
            <x15:v>545.79509999999993</x15:v>
          </x15:c>
        </x15:pivotRow>
        <x15:pivotRow count="1">
          <x15:c>
            <x15:v>550</x15:v>
          </x15:c>
        </x15:pivotRow>
        <x15:pivotRow count="1">
          <x15:c>
            <x15:v>552.2414</x15:v>
          </x15:c>
        </x15:pivotRow>
        <x15:pivotRow count="1">
          <x15:c>
            <x15:v>554.48</x15:v>
          </x15:c>
        </x15:pivotRow>
        <x15:pivotRow count="1">
          <x15:c>
            <x15:v>556.10519999999997</x15:v>
          </x15:c>
        </x15:pivotRow>
        <x15:pivotRow count="1">
          <x15:c>
            <x15:v>556.76420000000007</x15:v>
          </x15:c>
        </x15:pivotRow>
        <x15:pivotRow count="1">
          <x15:c>
            <x15:v>559.78980000000001</x15:v>
          </x15:c>
        </x15:pivotRow>
        <x15:pivotRow count="1">
          <x15:c>
            <x15:v>561.79999999999995</x15:v>
          </x15:c>
        </x15:pivotRow>
        <x15:pivotRow count="1">
          <x15:c>
            <x15:v>564.90519999999992</x15:v>
          </x15:c>
        </x15:pivotRow>
        <x15:pivotRow count="1">
          <x15:c>
            <x15:v>568.14100000000008</x15:v>
          </x15:c>
        </x15:pivotRow>
        <x15:pivotRow count="1">
          <x15:c>
            <x15:v>569.90279999999996</x15:v>
          </x15:c>
        </x15:pivotRow>
        <x15:pivotRow count="1">
          <x15:c>
            <x15:v>579.02670000000012</x15:v>
          </x15:c>
        </x15:pivotRow>
        <x15:pivotRow count="1">
          <x15:c>
            <x15:v>581.13409999999999</x15:v>
          </x15:c>
        </x15:pivotRow>
        <x15:pivotRow count="1">
          <x15:c>
            <x15:v>587.16819999999996</x15:v>
          </x15:c>
        </x15:pivotRow>
        <x15:pivotRow count="1">
          <x15:c>
            <x15:v>590.70000000000005</x15:v>
          </x15:c>
        </x15:pivotRow>
        <x15:pivotRow count="1">
          <x15:c>
            <x15:v>608.4</x15:v>
          </x15:c>
        </x15:pivotRow>
        <x15:pivotRow count="1">
          <x15:c>
            <x15:v>609.68190000000004</x15:v>
          </x15:c>
        </x15:pivotRow>
        <x15:pivotRow count="1">
          <x15:c>
            <x15:v>616.72</x15:v>
          </x15:c>
        </x15:pivotRow>
        <x15:pivotRow count="1">
          <x15:c>
            <x15:v>616.79999999999995</x15:v>
          </x15:c>
        </x15:pivotRow>
        <x15:pivotRow count="1">
          <x15:c>
            <x15:v>618.52</x15:v>
          </x15:c>
        </x15:pivotRow>
        <x15:pivotRow count="1">
          <x15:c>
            <x15:v>619.19999999999993</x15:v>
          </x15:c>
        </x15:pivotRow>
        <x15:pivotRow count="1">
          <x15:c>
            <x15:v>620.19999999999993</x15:v>
          </x15:c>
        </x15:pivotRow>
        <x15:pivotRow count="1">
          <x15:c>
            <x15:v>625.072</x15:v>
          </x15:c>
        </x15:pivotRow>
        <x15:pivotRow count="1">
          <x15:c>
            <x15:v>632.48250000000007</x15:v>
          </x15:c>
        </x15:pivotRow>
        <x15:pivotRow count="1">
          <x15:c>
            <x15:v>633.3125</x15:v>
          </x15:c>
        </x15:pivotRow>
        <x15:pivotRow count="1">
          <x15:c>
            <x15:v>634.21</x15:v>
          </x15:c>
        </x15:pivotRow>
        <x15:pivotRow count="1">
          <x15:c>
            <x15:v>640</x15:v>
          </x15:c>
        </x15:pivotRow>
        <x15:pivotRow count="1">
          <x15:c>
            <x15:v>643.05029999999999</x15:v>
          </x15:c>
        </x15:pivotRow>
        <x15:pivotRow count="1">
          <x15:c>
            <x15:v>651.28860000000009</x15:v>
          </x15:c>
        </x15:pivotRow>
        <x15:pivotRow count="1">
          <x15:c>
            <x15:v>652.5</x15:v>
          </x15:c>
        </x15:pivotRow>
        <x15:pivotRow count="1">
          <x15:c>
            <x15:v>653.33000000000004</x15:v>
          </x15:c>
        </x15:pivotRow>
        <x15:pivotRow count="1">
          <x15:c>
            <x15:v>654.25</x15:v>
          </x15:c>
        </x15:pivotRow>
        <x15:pivotRow count="1">
          <x15:c>
            <x15:v>658.20169999999996</x15:v>
          </x15:c>
        </x15:pivotRow>
        <x15:pivotRow count="1">
          <x15:c>
            <x15:v>658.88419999999996</x15:v>
          </x15:c>
        </x15:pivotRow>
        <x15:pivotRow count="1">
          <x15:c>
            <x15:v>661.06680000000006</x15:v>
          </x15:c>
        </x15:pivotRow>
        <x15:pivotRow count="1">
          <x15:c>
            <x15:v>663.47190000000001</x15:v>
          </x15:c>
        </x15:pivotRow>
        <x15:pivotRow count="1">
          <x15:c>
            <x15:v>663.4828</x15:v>
          </x15:c>
        </x15:pivotRow>
        <x15:pivotRow count="1">
          <x15:c>
            <x15:v>670.61250000000007</x15:v>
          </x15:c>
        </x15:pivotRow>
        <x15:pivotRow count="1">
          <x15:c>
            <x15:v>674.1</x15:v>
          </x15:c>
        </x15:pivotRow>
        <x15:pivotRow count="1">
          <x15:c>
            <x15:v>677.33470000000011</x15:v>
          </x15:c>
        </x15:pivotRow>
        <x15:pivotRow count="1">
          <x15:c>
            <x15:v>677.83</x15:v>
          </x15:c>
        </x15:pivotRow>
        <x15:pivotRow count="1">
          <x15:c>
            <x15:v>680.2</x15:v>
          </x15:c>
        </x15:pivotRow>
        <x15:pivotRow count="1">
          <x15:c>
            <x15:v>683.13520000000005</x15:v>
          </x15:c>
        </x15:pivotRow>
        <x15:pivotRow count="1">
          <x15:c>
            <x15:v>687.44</x15:v>
          </x15:c>
        </x15:pivotRow>
        <x15:pivotRow count="1">
          <x15:c>
            <x15:v>691.61430000000007</x15:v>
          </x15:c>
        </x15:pivotRow>
        <x15:pivotRow count="1">
          <x15:c>
            <x15:v>691.8</x15:v>
          </x15:c>
        </x15:pivotRow>
        <x15:pivotRow count="1">
          <x15:c>
            <x15:v>691.82</x15:v>
          </x15:c>
        </x15:pivotRow>
        <x15:pivotRow count="1">
          <x15:c>
            <x15:v>692.02429999999993</x15:v>
          </x15:c>
        </x15:pivotRow>
        <x15:pivotRow count="1">
          <x15:c>
            <x15:v>692.476</x15:v>
          </x15:c>
        </x15:pivotRow>
        <x15:pivotRow count="1">
          <x15:c>
            <x15:v>694.11329999999998</x15:v>
          </x15:c>
        </x15:pivotRow>
        <x15:pivotRow count="1">
          <x15:c>
            <x15:v>695.5</x15:v>
          </x15:c>
        </x15:pivotRow>
        <x15:pivotRow count="1">
          <x15:c>
            <x15:v>696.33929999999998</x15:v>
          </x15:c>
        </x15:pivotRow>
        <x15:pivotRow count="1">
          <x15:c>
            <x15:v>696.57180000000005</x15:v>
          </x15:c>
        </x15:pivotRow>
        <x15:pivotRow count="1">
          <x15:c>
            <x15:v>706.56000000000006</x15:v>
          </x15:c>
        </x15:pivotRow>
        <x15:pivotRow count="1">
          <x15:c>
            <x15:v>709.81</x15:v>
          </x15:c>
        </x15:pivotRow>
        <x15:pivotRow count="1">
          <x15:c>
            <x15:v>711.61400000000003</x15:v>
          </x15:c>
        </x15:pivotRow>
        <x15:pivotRow count="1">
          <x15:c>
            <x15:v>715.68</x15:v>
          </x15:c>
        </x15:pivotRow>
        <x15:pivotRow count="1">
          <x15:c>
            <x15:v>725.85</x15:v>
          </x15:c>
        </x15:pivotRow>
        <x15:pivotRow count="1">
          <x15:c>
            <x15:v>727.33600000000001</x15:v>
          </x15:c>
        </x15:pivotRow>
        <x15:pivotRow count="1">
          <x15:c>
            <x15:v>730.4</x15:v>
          </x15:c>
        </x15:pivotRow>
        <x15:pivotRow count="1">
          <x15:c>
            <x15:v>731.86210000000005</x15:v>
          </x15:c>
        </x15:pivotRow>
        <x15:pivotRow count="1">
          <x15:c>
            <x15:v>740.10760000000005</x15:v>
          </x15:c>
        </x15:pivotRow>
        <x15:pivotRow count="1">
          <x15:c>
            <x15:v>740.89599999999996</x15:v>
          </x15:c>
        </x15:pivotRow>
        <x15:pivotRow count="1">
          <x15:c>
            <x15:v>756.23250000000007</x15:v>
          </x15:c>
        </x15:pivotRow>
        <x15:pivotRow count="1">
          <x15:c>
            <x15:v>756.7</x15:v>
          </x15:c>
        </x15:pivotRow>
        <x15:pivotRow count="1">
          <x15:c>
            <x15:v>758.24669999999992</x15:v>
          </x15:c>
        </x15:pivotRow>
        <x15:pivotRow count="1">
          <x15:c>
            <x15:v>759.48</x15:v>
          </x15:c>
        </x15:pivotRow>
        <x15:pivotRow count="1">
          <x15:c>
            <x15:v>762.23400000000004</x15:v>
          </x15:c>
        </x15:pivotRow>
        <x15:pivotRow count="1">
          <x15:c>
            <x15:v>763.16360000000009</x15:v>
          </x15:c>
        </x15:pivotRow>
        <x15:pivotRow count="1">
          <x15:c>
            <x15:v>765.97900000000004</x15:v>
          </x15:c>
        </x15:pivotRow>
        <x15:pivotRow count="1">
          <x15:c>
            <x15:v>766.61249999999995</x15:v>
          </x15:c>
        </x15:pivotRow>
        <x15:pivotRow count="1">
          <x15:c>
            <x15:v>768.15419999999995</x15:v>
          </x15:c>
        </x15:pivotRow>
        <x15:pivotRow count="1">
          <x15:c>
            <x15:v>769.40359999999998</x15:v>
          </x15:c>
        </x15:pivotRow>
        <x15:pivotRow count="1">
          <x15:c>
            <x15:v>770.46849999999995</x15:v>
          </x15:c>
        </x15:pivotRow>
        <x15:pivotRow count="1">
          <x15:c>
            <x15:v>771.37599999999998</x15:v>
          </x15:c>
        </x15:pivotRow>
        <x15:pivotRow count="1">
          <x15:c>
            <x15:v>776.99109999999985</x15:v>
          </x15:c>
        </x15:pivotRow>
        <x15:pivotRow count="1">
          <x15:c>
            <x15:v>780.20029999999997</x15:v>
          </x15:c>
        </x15:pivotRow>
        <x15:pivotRow count="1">
          <x15:c>
            <x15:v>782.55250000000001</x15:v>
          </x15:c>
        </x15:pivotRow>
        <x15:pivotRow count="1">
          <x15:c>
            <x15:v>782.65</x15:v>
          </x15:c>
        </x15:pivotRow>
        <x15:pivotRow count="1">
          <x15:c>
            <x15:v>783.15000000000009</x15:v>
          </x15:c>
        </x15:pivotRow>
        <x15:pivotRow count="1">
          <x15:c>
            <x15:v>792.06329999999991</x15:v>
          </x15:c>
        </x15:pivotRow>
        <x15:pivotRow count="1">
          <x15:c>
            <x15:v>798.68910000000005</x15:v>
          </x15:c>
        </x15:pivotRow>
        <x15:pivotRow count="1">
          <x15:c>
            <x15:v>799.25</x15:v>
          </x15:c>
        </x15:pivotRow>
        <x15:pivotRow count="1">
          <x15:c>
            <x15:v>802.68880000000001</x15:v>
          </x15:c>
        </x15:pivotRow>
        <x15:pivotRow count="1">
          <x15:c>
            <x15:v>803.40750000000003</x15:v>
          </x15:c>
        </x15:pivotRow>
        <x15:pivotRow count="1">
          <x15:c>
            <x15:v>806.1</x15:v>
          </x15:c>
        </x15:pivotRow>
        <x15:pivotRow count="1">
          <x15:c>
            <x15:v>826.94999999999993</x15:v>
          </x15:c>
        </x15:pivotRow>
        <x15:pivotRow count="1">
          <x15:c>
            <x15:v>828</x15:v>
          </x15:c>
        </x15:pivotRow>
        <x15:pivotRow count="1">
          <x15:c>
            <x15:v>841.92</x15:v>
          </x15:c>
        </x15:pivotRow>
        <x15:pivotRow count="1">
          <x15:c>
            <x15:v>855.29169999999999</x15:v>
          </x15:c>
        </x15:pivotRow>
        <x15:pivotRow count="1">
          <x15:c>
            <x15:v>860.28880000000004</x15:v>
          </x15:c>
        </x15:pivotRow>
        <x15:pivotRow count="1">
          <x15:c>
            <x15:v>864.12570000000005</x15:v>
          </x15:c>
        </x15:pivotRow>
        <x15:pivotRow count="1">
          <x15:c>
            <x15:v>865.39600000000007</x15:v>
          </x15:c>
        </x15:pivotRow>
        <x15:pivotRow count="1">
          <x15:c>
            <x15:v>869.80230000000006</x15:v>
          </x15:c>
        </x15:pivotRow>
        <x15:pivotRow count="1">
          <x15:c>
            <x15:v>869.86289999999997</x15:v>
          </x15:c>
        </x15:pivotRow>
        <x15:pivotRow count="1">
          <x15:c>
            <x15:v>872.73879999999986</x15:v>
          </x15:c>
        </x15:pivotRow>
        <x15:pivotRow count="1">
          <x15:c>
            <x15:v>882.13</x15:v>
          </x15:c>
        </x15:pivotRow>
        <x15:pivotRow count="1">
          <x15:c>
            <x15:v>886.07600000000002</x15:v>
          </x15:c>
        </x15:pivotRow>
        <x15:pivotRow count="1">
          <x15:c>
            <x15:v>887.81600000000003</x15:v>
          </x15:c>
        </x15:pivotRow>
        <x15:pivotRow count="1">
          <x15:c>
            <x15:v>892.01599999999985</x15:v>
          </x15:c>
        </x15:pivotRow>
        <x15:pivotRow count="1">
          <x15:c>
            <x15:v>896.18000000000018</x15:v>
          </x15:c>
        </x15:pivotRow>
        <x15:pivotRow count="1">
          <x15:c>
            <x15:v>896.94500000000005</x15:v>
          </x15:c>
        </x15:pivotRow>
        <x15:pivotRow count="1">
          <x15:c>
            <x15:v>897.02600000000007</x15:v>
          </x15:c>
        </x15:pivotRow>
        <x15:pivotRow count="1">
          <x15:c>
            <x15:v>909.41810000000021</x15:v>
          </x15:c>
        </x15:pivotRow>
        <x15:pivotRow count="1">
          <x15:c>
            <x15:v>909.79600000000005</x15:v>
          </x15:c>
        </x15:pivotRow>
        <x15:pivotRow count="1">
          <x15:c>
            <x15:v>915.64</x15:v>
          </x15:c>
        </x15:pivotRow>
        <x15:pivotRow count="1">
          <x15:c>
            <x15:v>918.11029999999994</x15:v>
          </x15:c>
        </x15:pivotRow>
        <x15:pivotRow count="1">
          <x15:c>
            <x15:v>921.38279999999997</x15:v>
          </x15:c>
        </x15:pivotRow>
        <x15:pivotRow count="1">
          <x15:c>
            <x15:v>922.52600000000007</x15:v>
          </x15:c>
        </x15:pivotRow>
        <x15:pivotRow count="1">
          <x15:c>
            <x15:v>925.17450000000008</x15:v>
          </x15:c>
        </x15:pivotRow>
        <x15:pivotRow count="1">
          <x15:c>
            <x15:v>928.99249999999995</x15:v>
          </x15:c>
        </x15:pivotRow>
        <x15:pivotRow count="1">
          <x15:c>
            <x15:v>932.4559999999999</x15:v>
          </x15:c>
        </x15:pivotRow>
        <x15:pivotRow count="1">
          <x15:c>
            <x15:v>934.14509999999996</x15:v>
          </x15:c>
        </x15:pivotRow>
        <x15:pivotRow count="1">
          <x15:c>
            <x15:v>936.57</x15:v>
          </x15:c>
        </x15:pivotRow>
        <x15:pivotRow count="1">
          <x15:c>
            <x15:v>938.66819999999996</x15:v>
          </x15:c>
        </x15:pivotRow>
        <x15:pivotRow count="1">
          <x15:c>
            <x15:v>938.93000000000006</x15:v>
          </x15:c>
        </x15:pivotRow>
        <x15:pivotRow count="1">
          <x15:c>
            <x15:v>941</x15:v>
          </x15:c>
        </x15:pivotRow>
        <x15:pivotRow count="1">
          <x15:c>
            <x15:v>945.45</x15:v>
          </x15:c>
        </x15:pivotRow>
        <x15:pivotRow count="1">
          <x15:c>
            <x15:v>946.02200000000005</x15:v>
          </x15:c>
        </x15:pivotRow>
        <x15:pivotRow count="1">
          <x15:c>
            <x15:v>953.93000000000006</x15:v>
          </x15:c>
        </x15:pivotRow>
        <x15:pivotRow count="1">
          <x15:c>
            <x15:v>956.88429999999994</x15:v>
          </x15:c>
        </x15:pivotRow>
        <x15:pivotRow count="1">
          <x15:c>
            <x15:v>964.9357</x15:v>
          </x15:c>
        </x15:pivotRow>
        <x15:pivotRow count="1">
          <x15:c>
            <x15:v>965.05250000000012</x15:v>
          </x15:c>
        </x15:pivotRow>
        <x15:pivotRow count="1">
          <x15:c>
            <x15:v>977.17820000000006</x15:v>
          </x15:c>
        </x15:pivotRow>
        <x15:pivotRow count="1">
          <x15:c>
            <x15:v>984.40000000000009</x15:v>
          </x15:c>
        </x15:pivotRow>
        <x15:pivotRow count="1">
          <x15:c>
            <x15:v>995.2971</x15:v>
          </x15:c>
        </x15:pivotRow>
        <x15:pivotRow count="1">
          <x15:c>
            <x15:v>996.38519999999994</x15:v>
          </x15:c>
        </x15:pivotRow>
        <x15:pivotRow count="1">
          <x15:c>
            <x15:v>999.41669999999999</x15:v>
          </x15:c>
        </x15:pivotRow>
        <x15:pivotRow count="1">
          <x15:c>
            <x15:v>1001.296</x15:v>
          </x15:c>
        </x15:pivotRow>
        <x15:pivotRow count="1">
          <x15:c>
            <x15:v>1005.9412</x15:v>
          </x15:c>
        </x15:pivotRow>
        <x15:pivotRow count="1">
          <x15:c>
            <x15:v>1010.03</x15:v>
          </x15:c>
        </x15:pivotRow>
        <x15:pivotRow count="1">
          <x15:c>
            <x15:v>1012.2</x15:v>
          </x15:c>
        </x15:pivotRow>
        <x15:pivotRow count="1">
          <x15:c>
            <x15:v>1019.2199999999998</x15:v>
          </x15:c>
        </x15:pivotRow>
        <x15:pivotRow count="1">
          <x15:c>
            <x15:v>1026.1300000000001</x15:v>
          </x15:c>
        </x15:pivotRow>
        <x15:pivotRow count="1">
          <x15:c>
            <x15:v>1027.69</x15:v>
          </x15:c>
        </x15:pivotRow>
        <x15:pivotRow count="1">
          <x15:c>
            <x15:v>1029.1189999999999</x15:v>
          </x15:c>
        </x15:pivotRow>
        <x15:pivotRow count="1">
          <x15:c>
            <x15:v>1032.0885000000001</x15:v>
          </x15:c>
        </x15:pivotRow>
        <x15:pivotRow count="1">
          <x15:c>
            <x15:v>1032.6342</x15:v>
          </x15:c>
        </x15:pivotRow>
        <x15:pivotRow count="1">
          <x15:c>
            <x15:v>1035.3777</x15:v>
          </x15:c>
        </x15:pivotRow>
        <x15:pivotRow count="1">
          <x15:c>
            <x15:v>1040.3652000000002</x15:v>
          </x15:c>
        </x15:pivotRow>
        <x15:pivotRow count="1">
          <x15:c>
            <x15:v>1048.3606</x15:v>
          </x15:c>
        </x15:pivotRow>
        <x15:pivotRow count="1">
          <x15:c>
            <x15:v>1052.05</x15:v>
          </x15:c>
        </x15:pivotRow>
        <x15:pivotRow count="1">
          <x15:c>
            <x15:v>1056.9985000000001</x15:v>
          </x15:c>
        </x15:pivotRow>
        <x15:pivotRow count="1">
          <x15:c>
            <x15:v>1061.4734000000001</x15:v>
          </x15:c>
        </x15:pivotRow>
        <x15:pivotRow count="1">
          <x15:c>
            <x15:v>1062.6399999999999</x15:v>
          </x15:c>
        </x15:pivotRow>
        <x15:pivotRow count="1">
          <x15:c>
            <x15:v>1064.0719999999999</x15:v>
          </x15:c>
        </x15:pivotRow>
        <x15:pivotRow count="1">
          <x15:c>
            <x15:v>1067.2221999999999</x15:v>
          </x15:c>
        </x15:pivotRow>
        <x15:pivotRow count="1">
          <x15:c>
            <x15:v>1069.92</x15:v>
          </x15:c>
        </x15:pivotRow>
        <x15:pivotRow count="1">
          <x15:c>
            <x15:v>1075.55</x15:v>
          </x15:c>
        </x15:pivotRow>
        <x15:pivotRow count="1">
          <x15:c>
            <x15:v>1079.4099999999999</x15:v>
          </x15:c>
        </x15:pivotRow>
        <x15:pivotRow count="1">
          <x15:c>
            <x15:v>1080.72</x15:v>
          </x15:c>
        </x15:pivotRow>
        <x15:pivotRow count="1">
          <x15:c>
            <x15:v>1082.7343000000001</x15:v>
          </x15:c>
        </x15:pivotRow>
        <x15:pivotRow count="1">
          <x15:c>
            <x15:v>1082.789</x15:v>
          </x15:c>
        </x15:pivotRow>
        <x15:pivotRow count="1">
          <x15:c>
            <x15:v>1086.5178000000001</x15:v>
          </x15:c>
        </x15:pivotRow>
        <x15:pivotRow count="1">
          <x15:c>
            <x15:v>1089.4902</x15:v>
          </x15:c>
        </x15:pivotRow>
        <x15:pivotRow count="1">
          <x15:c>
            <x15:v>1093.4332999999999</x15:v>
          </x15:c>
        </x15:pivotRow>
        <x15:pivotRow count="1">
          <x15:c>
            <x15:v>1095.57</x15:v>
          </x15:c>
        </x15:pivotRow>
        <x15:pivotRow count="1">
          <x15:c>
            <x15:v>1097.08</x15:v>
          </x15:c>
        </x15:pivotRow>
        <x15:pivotRow count="1">
          <x15:c>
            <x15:v>1106.8000000000002</x15:v>
          </x15:c>
        </x15:pivotRow>
        <x15:pivotRow count="1">
          <x15:c>
            <x15:v>1108.0624</x15:v>
          </x15:c>
        </x15:pivotRow>
        <x15:pivotRow count="1">
          <x15:c>
            <x15:v>1108.4308999999998</x15:v>
          </x15:c>
        </x15:pivotRow>
        <x15:pivotRow count="1">
          <x15:c>
            <x15:v>1111.6600000000001</x15:v>
          </x15:c>
        </x15:pivotRow>
        <x15:pivotRow count="1">
          <x15:c>
            <x15:v>1113.6889999999999</x15:v>
          </x15:c>
        </x15:pivotRow>
        <x15:pivotRow count="1">
          <x15:c>
            <x15:v>1114.1300000000001</x15:v>
          </x15:c>
        </x15:pivotRow>
        <x15:pivotRow count="1">
          <x15:c>
            <x15:v>1116.4219000000001</x15:v>
          </x15:c>
        </x15:pivotRow>
        <x15:pivotRow count="1">
          <x15:c>
            <x15:v>1125.1675</x15:v>
          </x15:c>
        </x15:pivotRow>
        <x15:pivotRow count="1">
          <x15:c>
            <x15:v>1129.4299999999998</x15:v>
          </x15:c>
        </x15:pivotRow>
        <x15:pivotRow count="1">
          <x15:c>
            <x15:v>1136.3499999999999</x15:v>
          </x15:c>
        </x15:pivotRow>
        <x15:pivotRow count="1">
          <x15:c>
            <x15:v>1137.06</x15:v>
          </x15:c>
        </x15:pivotRow>
        <x15:pivotRow count="1">
          <x15:c>
            <x15:v>1140.6592000000001</x15:v>
          </x15:c>
        </x15:pivotRow>
        <x15:pivotRow count="1">
          <x15:c>
            <x15:v>1144.9299999999998</x15:v>
          </x15:c>
        </x15:pivotRow>
        <x15:pivotRow count="1">
          <x15:c>
            <x15:v>1146.74</x15:v>
          </x15:c>
        </x15:pivotRow>
        <x15:pivotRow count="1">
          <x15:c>
            <x15:v>1148.3502000000001</x15:v>
          </x15:c>
        </x15:pivotRow>
        <x15:pivotRow count="1">
          <x15:c>
            <x15:v>1157.6125</x15:v>
          </x15:c>
        </x15:pivotRow>
        <x15:pivotRow count="1">
          <x15:c>
            <x15:v>1160.9831000000001</x15:v>
          </x15:c>
        </x15:pivotRow>
        <x15:pivotRow count="1">
          <x15:c>
            <x15:v>1167.9650000000001</x15:v>
          </x15:c>
        </x15:pivotRow>
        <x15:pivotRow count="1">
          <x15:c>
            <x15:v>1171.5259999999998</x15:v>
          </x15:c>
        </x15:pivotRow>
        <x15:pivotRow count="1">
          <x15:c>
            <x15:v>1180.0951</x15:v>
          </x15:c>
        </x15:pivotRow>
        <x15:pivotRow count="1">
          <x15:c>
            <x15:v>1184.0900000000001</x15:v>
          </x15:c>
        </x15:pivotRow>
        <x15:pivotRow count="1">
          <x15:c>
            <x15:v>1188.8124</x15:v>
          </x15:c>
        </x15:pivotRow>
        <x15:pivotRow count="1">
          <x15:c>
            <x15:v>1195.5160000000001</x15:v>
          </x15:c>
        </x15:pivotRow>
        <x15:pivotRow count="1">
          <x15:c>
            <x15:v>1201.9545000000001</x15:v>
          </x15:c>
        </x15:pivotRow>
        <x15:pivotRow count="1">
          <x15:c>
            <x15:v>1212.3724</x15:v>
          </x15:c>
        </x15:pivotRow>
        <x15:pivotRow count="1">
          <x15:c>
            <x15:v>1215.6224999999999</x15:v>
          </x15:c>
        </x15:pivotRow>
        <x15:pivotRow count="1">
          <x15:c>
            <x15:v>1216.1526999999999</x15:v>
          </x15:c>
        </x15:pivotRow>
        <x15:pivotRow count="1">
          <x15:c>
            <x15:v>1225.3133</x15:v>
          </x15:c>
        </x15:pivotRow>
        <x15:pivotRow count="1">
          <x15:c>
            <x15:v>1226.463</x15:v>
          </x15:c>
        </x15:pivotRow>
        <x15:pivotRow count="1">
          <x15:c>
            <x15:v>1228.7254</x15:v>
          </x15:c>
        </x15:pivotRow>
        <x15:pivotRow count="1">
          <x15:c>
            <x15:v>1229.04</x15:v>
          </x15:c>
        </x15:pivotRow>
        <x15:pivotRow count="1">
          <x15:c>
            <x15:v>1230.2122999999999</x15:v>
          </x15:c>
        </x15:pivotRow>
        <x15:pivotRow count="1">
          <x15:c>
            <x15:v>1231.78</x15:v>
          </x15:c>
        </x15:pivotRow>
        <x15:pivotRow count="1">
          <x15:c>
            <x15:v>1237.75</x15:v>
          </x15:c>
        </x15:pivotRow>
        <x15:pivotRow count="1">
          <x15:c>
            <x15:v>1240.1500000000001</x15:v>
          </x15:c>
        </x15:pivotRow>
        <x15:pivotRow count="1">
          <x15:c>
            <x15:v>1244.7910999999999</x15:v>
          </x15:c>
        </x15:pivotRow>
        <x15:pivotRow count="1">
          <x15:c>
            <x15:v>1247.3800000000001</x15:v>
          </x15:c>
        </x15:pivotRow>
        <x15:pivotRow count="1">
          <x15:c>
            <x15:v>1251.5</x15:v>
          </x15:c>
        </x15:pivotRow>
        <x15:pivotRow count="1">
          <x15:c>
            <x15:v>1253.5032999999999</x15:v>
          </x15:c>
        </x15:pivotRow>
        <x15:pivotRow count="1">
          <x15:c>
            <x15:v>1256.2822999999999</x15:v>
          </x15:c>
        </x15:pivotRow>
        <x15:pivotRow count="1">
          <x15:c>
            <x15:v>1270.2778000000001</x15:v>
          </x15:c>
        </x15:pivotRow>
        <x15:pivotRow count="1">
          <x15:c>
            <x15:v>1270.6143</x15:v>
          </x15:c>
        </x15:pivotRow>
        <x15:pivotRow count="1">
          <x15:c>
            <x15:v>1271.4099999999999</x15:v>
          </x15:c>
        </x15:pivotRow>
        <x15:pivotRow count="1">
          <x15:c>
            <x15:v>1273.2799999999997</x15:v>
          </x15:c>
        </x15:pivotRow>
        <x15:pivotRow count="1">
          <x15:c>
            <x15:v>1277.0642</x15:v>
          </x15:c>
        </x15:pivotRow>
        <x15:pivotRow count="1">
          <x15:c>
            <x15:v>1277.4095</x15:v>
          </x15:c>
        </x15:pivotRow>
        <x15:pivotRow count="1">
          <x15:c>
            <x15:v>1280.0424</x15:v>
          </x15:c>
        </x15:pivotRow>
        <x15:pivotRow count="1">
          <x15:c>
            <x15:v>1282.5903000000001</x15:v>
          </x15:c>
        </x15:pivotRow>
        <x15:pivotRow count="1">
          <x15:c>
            <x15:v>1285.0652</x15:v>
          </x15:c>
        </x15:pivotRow>
        <x15:pivotRow count="1">
          <x15:c>
            <x15:v>1290.05</x15:v>
          </x15:c>
        </x15:pivotRow>
        <x15:pivotRow count="1">
          <x15:c>
            <x15:v>1294.6713999999999</x15:v>
          </x15:c>
        </x15:pivotRow>
        <x15:pivotRow count="1">
          <x15:c>
            <x15:v>1302.1525000000001</x15:v>
          </x15:c>
        </x15:pivotRow>
        <x15:pivotRow count="1">
          <x15:c>
            <x15:v>1303.5951</x15:v>
          </x15:c>
        </x15:pivotRow>
        <x15:pivotRow count="1">
          <x15:c>
            <x15:v>1304.08</x15:v>
          </x15:c>
        </x15:pivotRow>
        <x15:pivotRow count="1">
          <x15:c>
            <x15:v>1305.1324</x15:v>
          </x15:c>
        </x15:pivotRow>
        <x15:pivotRow count="1">
          <x15:c>
            <x15:v>1306.6724999999999</x15:v>
          </x15:c>
        </x15:pivotRow>
        <x15:pivotRow count="1">
          <x15:c>
            <x15:v>1318.63</x15:v>
          </x15:c>
        </x15:pivotRow>
        <x15:pivotRow count="1">
          <x15:c>
            <x15:v>1321.91</x15:v>
          </x15:c>
        </x15:pivotRow>
        <x15:pivotRow count="1">
          <x15:c>
            <x15:v>1323.4760000000001</x15:v>
          </x15:c>
        </x15:pivotRow>
        <x15:pivotRow count="1">
          <x15:c>
            <x15:v>1331.75</x15:v>
          </x15:c>
        </x15:pivotRow>
        <x15:pivotRow count="1">
          <x15:c>
            <x15:v>1338.6588999999999</x15:v>
          </x15:c>
        </x15:pivotRow>
        <x15:pivotRow count="1">
          <x15:c>
            <x15:v>1359.4043000000001</x15:v>
          </x15:c>
        </x15:pivotRow>
        <x15:pivotRow count="1">
          <x15:c>
            <x15:v>1363.8186000000001</x15:v>
          </x15:c>
        </x15:pivotRow>
        <x15:pivotRow count="1">
          <x15:c>
            <x15:v>1384.1</x15:v>
          </x15:c>
        </x15:pivotRow>
        <x15:pivotRow count="1">
          <x15:c>
            <x15:v>1389.28</x15:v>
          </x15:c>
        </x15:pivotRow>
        <x15:pivotRow count="1">
          <x15:c>
            <x15:v>1393.8</x15:v>
          </x15:c>
        </x15:pivotRow>
        <x15:pivotRow count="1">
          <x15:c>
            <x15:v>1396.8704</x15:v>
          </x15:c>
        </x15:pivotRow>
        <x15:pivotRow count="1">
          <x15:c>
            <x15:v>1397.3924</x15:v>
          </x15:c>
        </x15:pivotRow>
        <x15:pivotRow count="1">
          <x15:c>
            <x15:v>1405.3681999999999</x15:v>
          </x15:c>
        </x15:pivotRow>
        <x15:pivotRow count="1">
          <x15:c>
            <x15:v>1409.7833000000001</x15:v>
          </x15:c>
        </x15:pivotRow>
        <x15:pivotRow count="1">
          <x15:c>
            <x15:v>1416.3653999999999</x15:v>
          </x15:c>
        </x15:pivotRow>
        <x15:pivotRow count="1">
          <x15:c>
            <x15:v>1420.6657</x15:v>
          </x15:c>
        </x15:pivotRow>
        <x15:pivotRow count="1">
          <x15:c>
            <x15:v>1427.8479</x15:v>
          </x15:c>
        </x15:pivotRow>
        <x15:pivotRow count="1">
          <x15:c>
            <x15:v>1431.48</x15:v>
          </x15:c>
        </x15:pivotRow>
        <x15:pivotRow count="1">
          <x15:c>
            <x15:v>1440.6333</x15:v>
          </x15:c>
        </x15:pivotRow>
        <x15:pivotRow count="1">
          <x15:c>
            <x15:v>1475.6699999999998</x15:v>
          </x15:c>
        </x15:pivotRow>
        <x15:pivotRow count="1">
          <x15:c>
            <x15:v>1484.4342000000001</x15:v>
          </x15:c>
        </x15:pivotRow>
        <x15:pivotRow count="1">
          <x15:c>
            <x15:v>1486.0588</x15:v>
          </x15:c>
        </x15:pivotRow>
        <x15:pivotRow count="1">
          <x15:c>
            <x15:v>1486.9252000000001</x15:v>
          </x15:c>
        </x15:pivotRow>
        <x15:pivotRow count="1">
          <x15:c>
            <x15:v>1488.8276000000001</x15:v>
          </x15:c>
        </x15:pivotRow>
        <x15:pivotRow count="1">
          <x15:c>
            <x15:v>1498.45</x15:v>
          </x15:c>
        </x15:pivotRow>
        <x15:pivotRow count="1">
          <x15:c>
            <x15:v>1506.12</x15:v>
          </x15:c>
        </x15:pivotRow>
        <x15:pivotRow count="1">
          <x15:c>
            <x15:v>1511.7643</x15:v>
          </x15:c>
        </x15:pivotRow>
        <x15:pivotRow count="1">
          <x15:c>
            <x15:v>1523.5700000000002</x15:v>
          </x15:c>
        </x15:pivotRow>
        <x15:pivotRow count="1">
          <x15:c>
            <x15:v>1550.6925000000001</x15:v>
          </x15:c>
        </x15:pivotRow>
        <x15:pivotRow count="1">
          <x15:c>
            <x15:v>1553.2419</x15:v>
          </x15:c>
        </x15:pivotRow>
        <x15:pivotRow count="1">
          <x15:c>
            <x15:v>1553.326</x15:v>
          </x15:c>
        </x15:pivotRow>
        <x15:pivotRow count="1">
          <x15:c>
            <x15:v>1555.2956999999999</x15:v>
          </x15:c>
        </x15:pivotRow>
        <x15:pivotRow count="1">
          <x15:c>
            <x15:v>1563.1599999999999</x15:v>
          </x15:c>
        </x15:pivotRow>
        <x15:pivotRow count="1">
          <x15:c>
            <x15:v>1566.2646999999999</x15:v>
          </x15:c>
        </x15:pivotRow>
        <x15:pivotRow count="1">
          <x15:c>
            <x15:v>1574.5657000000001</x15:v>
          </x15:c>
        </x15:pivotRow>
        <x15:pivotRow count="1">
          <x15:c>
            <x15:v>1576.8777</x15:v>
          </x15:c>
        </x15:pivotRow>
        <x15:pivotRow count="1">
          <x15:c>
            <x15:v>1577.279</x15:v>
          </x15:c>
        </x15:pivotRow>
        <x15:pivotRow count="1">
          <x15:c>
            <x15:v>1584.0752000000002</x15:v>
          </x15:c>
        </x15:pivotRow>
        <x15:pivotRow count="1">
          <x15:c>
            <x15:v>1586.87</x15:v>
          </x15:c>
        </x15:pivotRow>
        <x15:pivotRow count="1">
          <x15:c>
            <x15:v>1590.3936000000001</x15:v>
          </x15:c>
        </x15:pivotRow>
        <x15:pivotRow count="1">
          <x15:c>
            <x15:v>1590.7636000000002</x15:v>
          </x15:c>
        </x15:pivotRow>
        <x15:pivotRow count="1">
          <x15:c>
            <x15:v>1591.5804000000001</x15:v>
          </x15:c>
        </x15:pivotRow>
        <x15:pivotRow count="1">
          <x15:c>
            <x15:v>1592.3824999999999</x15:v>
          </x15:c>
        </x15:pivotRow>
        <x15:pivotRow count="1">
          <x15:c>
            <x15:v>1593.58</x15:v>
          </x15:c>
        </x15:pivotRow>
        <x15:pivotRow count="1">
          <x15:c>
            <x15:v>1595.1666999999998</x15:v>
          </x15:c>
        </x15:pivotRow>
        <x15:pivotRow count="1">
          <x15:c>
            <x15:v>1596.3803</x15:v>
          </x15:c>
        </x15:pivotRow>
        <x15:pivotRow count="1">
          <x15:c>
            <x15:v>1597.1859999999999</x15:v>
          </x15:c>
        </x15:pivotRow>
        <x15:pivotRow count="1">
          <x15:c>
            <x15:v>1599.1</x15:v>
          </x15:c>
        </x15:pivotRow>
        <x15:pivotRow count="1">
          <x15:c>
            <x15:v>1601.66</x15:v>
          </x15:c>
        </x15:pivotRow>
        <x15:pivotRow count="1">
          <x15:c>
            <x15:v>1609.1424</x15:v>
          </x15:c>
        </x15:pivotRow>
        <x15:pivotRow count="1">
          <x15:c>
            <x15:v>1609.3420999999998</x15:v>
          </x15:c>
        </x15:pivotRow>
        <x15:pivotRow count="1">
          <x15:c>
            <x15:v>1613.8842</x15:v>
          </x15:c>
        </x15:pivotRow>
        <x15:pivotRow count="1">
          <x15:c>
            <x15:v>1615.9317000000001</x15:v>
          </x15:c>
        </x15:pivotRow>
        <x15:pivotRow count="1">
          <x15:c>
            <x15:v>1616.0843</x15:v>
          </x15:c>
        </x15:pivotRow>
        <x15:pivotRow count="1">
          <x15:c>
            <x15:v>1616.95</x15:v>
          </x15:c>
        </x15:pivotRow>
        <x15:pivotRow count="1">
          <x15:c>
            <x15:v>1619.3742999999999</x15:v>
          </x15:c>
        </x15:pivotRow>
        <x15:pivotRow count="1">
          <x15:c>
            <x15:v>1627.4624999999999</x15:v>
          </x15:c>
        </x15:pivotRow>
        <x15:pivotRow count="1">
          <x15:c>
            <x15:v>1631.7925</x15:v>
          </x15:c>
        </x15:pivotRow>
        <x15:pivotRow count="1">
          <x15:c>
            <x15:v>1641.2533000000001</x15:v>
          </x15:c>
        </x15:pivotRow>
        <x15:pivotRow count="1">
          <x15:c>
            <x15:v>1641.77</x15:v>
          </x15:c>
        </x15:pivotRow>
        <x15:pivotRow count="1">
          <x15:c>
            <x15:v>1663.8193000000001</x15:v>
          </x15:c>
        </x15:pivotRow>
        <x15:pivotRow count="1">
          <x15:c>
            <x15:v>1668.7441999999999</x15:v>
          </x15:c>
        </x15:pivotRow>
        <x15:pivotRow count="1">
          <x15:c>
            <x15:v>1691.0825</x15:v>
          </x15:c>
        </x15:pivotRow>
        <x15:pivotRow count="1">
          <x15:c>
            <x15:v>1700.606</x15:v>
          </x15:c>
        </x15:pivotRow>
        <x15:pivotRow count="1">
          <x15:c>
            <x15:v>1719.8753000000002</x15:v>
          </x15:c>
        </x15:pivotRow>
        <x15:pivotRow count="1">
          <x15:c>
            <x15:v>1734.3285000000001</x15:v>
          </x15:c>
        </x15:pivotRow>
        <x15:pivotRow count="1">
          <x15:c>
            <x15:v>1747.6325000000002</x15:v>
          </x15:c>
        </x15:pivotRow>
        <x15:pivotRow count="1">
          <x15:c>
            <x15:v>1755.8924999999999</x15:v>
          </x15:c>
        </x15:pivotRow>
        <x15:pivotRow count="1">
          <x15:c>
            <x15:v>1764.4960000000001</x15:v>
          </x15:c>
        </x15:pivotRow>
        <x15:pivotRow count="1">
          <x15:c>
            <x15:v>1769.8516999999999</x15:v>
          </x15:c>
        </x15:pivotRow>
        <x15:pivotRow count="1">
          <x15:c>
            <x15:v>1777.31</x15:v>
          </x15:c>
        </x15:pivotRow>
        <x15:pivotRow count="1">
          <x15:c>
            <x15:v>1782.7943</x15:v>
          </x15:c>
        </x15:pivotRow>
        <x15:pivotRow count="1">
          <x15:c>
            <x15:v>1794.8117</x15:v>
          </x15:c>
        </x15:pivotRow>
        <x15:pivotRow count="1">
          <x15:c>
            <x15:v>1820.8323999999998</x15:v>
          </x15:c>
        </x15:pivotRow>
        <x15:pivotRow count="1">
          <x15:c>
            <x15:v>1823.9102</x15:v>
          </x15:c>
        </x15:pivotRow>
        <x15:pivotRow count="1">
          <x15:c>
            <x15:v>1825</x15:v>
          </x15:c>
        </x15:pivotRow>
        <x15:pivotRow count="1">
          <x15:c>
            <x15:v>1832.146</x15:v>
          </x15:c>
        </x15:pivotRow>
        <x15:pivotRow count="1">
          <x15:c>
            <x15:v>1832.52</x15:v>
          </x15:c>
        </x15:pivotRow>
        <x15:pivotRow count="1">
          <x15:c>
            <x15:v>1836.49</x15:v>
          </x15:c>
        </x15:pivotRow>
        <x15:pivotRow count="1">
          <x15:c>
            <x15:v>1846.2954</x15:v>
          </x15:c>
        </x15:pivotRow>
        <x15:pivotRow count="1">
          <x15:c>
            <x15:v>1847.5900000000001</x15:v>
          </x15:c>
        </x15:pivotRow>
        <x15:pivotRow count="1">
          <x15:c>
            <x15:v>1854.4993000000002</x15:v>
          </x15:c>
        </x15:pivotRow>
        <x15:pivotRow count="1">
          <x15:c>
            <x15:v>1874.4959999999999</x15:v>
          </x15:c>
        </x15:pivotRow>
        <x15:pivotRow count="1">
          <x15:c>
            <x15:v>1884.4046000000001</x15:v>
          </x15:c>
        </x15:pivotRow>
        <x15:pivotRow count="1">
          <x15:c>
            <x15:v>1888.5457999999999</x15:v>
          </x15:c>
        </x15:pivotRow>
        <x15:pivotRow count="1">
          <x15:c>
            <x15:v>1889.3778</x15:v>
          </x15:c>
        </x15:pivotRow>
        <x15:pivotRow count="1">
          <x15:c>
            <x15:v>1913.4472999999998</x15:v>
          </x15:c>
        </x15:pivotRow>
        <x15:pivotRow count="1">
          <x15:c>
            <x15:v>1913.9670000000001</x15:v>
          </x15:c>
        </x15:pivotRow>
        <x15:pivotRow count="1">
          <x15:c>
            <x15:v>1919.6860000000004</x15:v>
          </x15:c>
        </x15:pivotRow>
        <x15:pivotRow count="1">
          <x15:c>
            <x15:v>1923.17</x15:v>
          </x15:c>
        </x15:pivotRow>
        <x15:pivotRow count="1">
          <x15:c>
            <x15:v>1925.3566000000001</x15:v>
          </x15:c>
        </x15:pivotRow>
        <x15:pivotRow count="1">
          <x15:c>
            <x15:v>1934.9099999999999</x15:v>
          </x15:c>
        </x15:pivotRow>
        <x15:pivotRow count="1">
          <x15:c>
            <x15:v>1939.76</x15:v>
          </x15:c>
        </x15:pivotRow>
        <x15:pivotRow count="1">
          <x15:c>
            <x15:v>1946.2642999999998</x15:v>
          </x15:c>
        </x15:pivotRow>
        <x15:pivotRow count="1">
          <x15:c>
            <x15:v>1957.5125000000003</x15:v>
          </x15:c>
        </x15:pivotRow>
        <x15:pivotRow count="1">
          <x15:c>
            <x15:v>1971.5293000000001</x15:v>
          </x15:c>
        </x15:pivotRow>
        <x15:pivotRow count="1">
          <x15:c>
            <x15:v>1976.4823000000001</x15:v>
          </x15:c>
        </x15:pivotRow>
        <x15:pivotRow count="1">
          <x15:c>
            <x15:v>1979.7234000000001</x15:v>
          </x15:c>
        </x15:pivotRow>
        <x15:pivotRow count="1">
          <x15:c>
            <x15:v>1987.2476000000001</x15:v>
          </x15:c>
        </x15:pivotRow>
        <x15:pivotRow count="1">
          <x15:c>
            <x15:v>1992.1599999999999</x15:v>
          </x15:c>
        </x15:pivotRow>
        <x15:pivotRow count="1">
          <x15:c>
            <x15:v>2016.4207999999999</x15:v>
          </x15:c>
        </x15:pivotRow>
        <x15:pivotRow count="1">
          <x15:c>
            <x15:v>2032.5650000000001</x15:v>
          </x15:c>
        </x15:pivotRow>
        <x15:pivotRow count="1">
          <x15:c>
            <x15:v>2034.7483999999999</x15:v>
          </x15:c>
        </x15:pivotRow>
        <x15:pivotRow count="1">
          <x15:c>
            <x15:v>2034.8</x15:v>
          </x15:c>
        </x15:pivotRow>
        <x15:pivotRow count="1">
          <x15:c>
            <x15:v>2035.5373999999999</x15:v>
          </x15:c>
        </x15:pivotRow>
        <x15:pivotRow count="1">
          <x15:c>
            <x15:v>2047.8416999999999</x15:v>
          </x15:c>
        </x15:pivotRow>
        <x15:pivotRow count="1">
          <x15:c>
            <x15:v>2059.2498000000001</x15:v>
          </x15:c>
        </x15:pivotRow>
        <x15:pivotRow count="1">
          <x15:c>
            <x15:v>2072.27</x15:v>
          </x15:c>
        </x15:pivotRow>
        <x15:pivotRow count="1">
          <x15:c>
            <x15:v>2073.6280999999999</x15:v>
          </x15:c>
        </x15:pivotRow>
        <x15:pivotRow count="1">
          <x15:c>
            <x15:v>2087.3825000000002</x15:v>
          </x15:c>
        </x15:pivotRow>
        <x15:pivotRow count="1">
          <x15:c>
            <x15:v>2087.4403000000002</x15:v>
          </x15:c>
        </x15:pivotRow>
        <x15:pivotRow count="1">
          <x15:c>
            <x15:v>2088.0052000000001</x15:v>
          </x15:c>
        </x15:pivotRow>
        <x15:pivotRow count="1">
          <x15:c>
            <x15:v>2089.8134</x15:v>
          </x15:c>
        </x15:pivotRow>
        <x15:pivotRow count="1">
          <x15:c>
            <x15:v>2117.8424999999997</x15:v>
          </x15:c>
        </x15:pivotRow>
        <x15:pivotRow count="1">
          <x15:c>
            <x15:v>2127.3603000000003</x15:v>
          </x15:c>
        </x15:pivotRow>
        <x15:pivotRow count="1">
          <x15:c>
            <x15:v>2134.9742999999999</x15:v>
          </x15:c>
        </x15:pivotRow>
        <x15:pivotRow count="1">
          <x15:c>
            <x15:v>2144.1142999999997</x15:v>
          </x15:c>
        </x15:pivotRow>
        <x15:pivotRow count="1">
          <x15:c>
            <x15:v>2144.5996</x15:v>
          </x15:c>
        </x15:pivotRow>
        <x15:pivotRow count="1">
          <x15:c>
            <x15:v>2151.2816000000003</x15:v>
          </x15:c>
        </x15:pivotRow>
        <x15:pivotRow count="1">
          <x15:c>
            <x15:v>2164.096</x15:v>
          </x15:c>
        </x15:pivotRow>
        <x15:pivotRow count="1">
          <x15:c>
            <x15:v>2172.5842999999995</x15:v>
          </x15:c>
        </x15:pivotRow>
        <x15:pivotRow count="1">
          <x15:c>
            <x15:v>2182.6367</x15:v>
          </x15:c>
        </x15:pivotRow>
        <x15:pivotRow count="1">
          <x15:c>
            <x15:v>2207.1800000000003</x15:v>
          </x15:c>
        </x15:pivotRow>
        <x15:pivotRow count="1">
          <x15:c>
            <x15:v>2242.1185</x15:v>
          </x15:c>
        </x15:pivotRow>
        <x15:pivotRow count="1">
          <x15:c>
            <x15:v>2266.4899999999998</x15:v>
          </x15:c>
        </x15:pivotRow>
        <x15:pivotRow count="1">
          <x15:c>
            <x15:v>2266.6124</x15:v>
          </x15:c>
        </x15:pivotRow>
        <x15:pivotRow count="1">
          <x15:c>
            <x15:v>2276.5499999999997</x15:v>
          </x15:c>
        </x15:pivotRow>
        <x15:pivotRow count="1">
          <x15:c>
            <x15:v>2278.0445</x15:v>
          </x15:c>
        </x15:pivotRow>
        <x15:pivotRow count="1">
          <x15:c>
            <x15:v>2291.4299000000001</x15:v>
          </x15:c>
        </x15:pivotRow>
        <x15:pivotRow count="1">
          <x15:c>
            <x15:v>2301.9223999999999</x15:v>
          </x15:c>
        </x15:pivotRow>
        <x15:pivotRow count="1">
          <x15:c>
            <x15:v>2312.64</x15:v>
          </x15:c>
        </x15:pivotRow>
        <x15:pivotRow count="1">
          <x15:c>
            <x15:v>2336.8891000000003</x15:v>
          </x15:c>
        </x15:pivotRow>
        <x15:pivotRow count="1">
          <x15:c>
            <x15:v>2342.4792000000002</x15:v>
          </x15:c>
        </x15:pivotRow>
        <x15:pivotRow count="1">
          <x15:c>
            <x15:v>2346.2904999999996</x15:v>
          </x15:c>
        </x15:pivotRow>
        <x15:pivotRow count="1">
          <x15:c>
            <x15:v>2360.6194</x15:v>
          </x15:c>
        </x15:pivotRow>
        <x15:pivotRow count="1">
          <x15:c>
            <x15:v>2371.2311</x15:v>
          </x15:c>
        </x15:pivotRow>
        <x15:pivotRow count="1">
          <x15:c>
            <x15:v>2383.3325</x15:v>
          </x15:c>
        </x15:pivotRow>
        <x15:pivotRow count="1">
          <x15:c>
            <x15:v>2388.1999999999998</x15:v>
          </x15:c>
        </x15:pivotRow>
        <x15:pivotRow count="1">
          <x15:c>
            <x15:v>2391.2537999999995</x15:v>
          </x15:c>
        </x15:pivotRow>
        <x15:pivotRow count="1">
          <x15:c>
            <x15:v>2396.7042999999999</x15:v>
          </x15:c>
        </x15:pivotRow>
        <x15:pivotRow count="1">
          <x15:c>
            <x15:v>2424.6642000000002</x15:v>
          </x15:c>
        </x15:pivotRow>
        <x15:pivotRow count="1">
          <x15:c>
            <x15:v>2429.0941000000003</x15:v>
          </x15:c>
        </x15:pivotRow>
        <x15:pivotRow count="1">
          <x15:c>
            <x15:v>2437.1</x15:v>
          </x15:c>
        </x15:pivotRow>
        <x15:pivotRow count="1">
          <x15:c>
            <x15:v>2447.1165000000001</x15:v>
          </x15:c>
        </x15:pivotRow>
        <x15:pivotRow count="1">
          <x15:c>
            <x15:v>2454.9587000000001</x15:v>
          </x15:c>
        </x15:pivotRow>
        <x15:pivotRow count="1">
          <x15:c>
            <x15:v>2471.1626000000001</x15:v>
          </x15:c>
        </x15:pivotRow>
        <x15:pivotRow count="1">
          <x15:c>
            <x15:v>2510.3597</x15:v>
          </x15:c>
        </x15:pivotRow>
        <x15:pivotRow count="1">
          <x15:c>
            <x15:v>2532.7060000000001</x15:v>
          </x15:c>
        </x15:pivotRow>
        <x15:pivotRow count="1">
          <x15:c>
            <x15:v>2544.1057000000001</x15:v>
          </x15:c>
        </x15:pivotRow>
        <x15:pivotRow count="1">
          <x15:c>
            <x15:v>2570.2843000000003</x15:v>
          </x15:c>
        </x15:pivotRow>
        <x15:pivotRow count="1">
          <x15:c>
            <x15:v>2587.7689000000005</x15:v>
          </x15:c>
        </x15:pivotRow>
        <x15:pivotRow count="1">
          <x15:c>
            <x15:v>2590.9344000000001</x15:v>
          </x15:c>
        </x15:pivotRow>
        <x15:pivotRow count="1">
          <x15:c>
            <x15:v>2599.1851000000001</x15:v>
          </x15:c>
        </x15:pivotRow>
        <x15:pivotRow count="1">
          <x15:c>
            <x15:v>2610.7142000000003</x15:v>
          </x15:c>
        </x15:pivotRow>
        <x15:pivotRow count="1">
          <x15:c>
            <x15:v>2647.6244000000002</x15:v>
          </x15:c>
        </x15:pivotRow>
        <x15:pivotRow count="1">
          <x15:c>
            <x15:v>2663.2433000000001</x15:v>
          </x15:c>
        </x15:pivotRow>
        <x15:pivotRow count="1">
          <x15:c>
            <x15:v>2699.02</x15:v>
          </x15:c>
        </x15:pivotRow>
        <x15:pivotRow count="1">
          <x15:c>
            <x15:v>2771.6514999999999</x15:v>
          </x15:c>
        </x15:pivotRow>
        <x15:pivotRow count="1">
          <x15:c>
            <x15:v>2779.0541000000003</x15:v>
          </x15:c>
        </x15:pivotRow>
        <x15:pivotRow count="1">
          <x15:c>
            <x15:v>2807.8999999999996</x15:v>
          </x15:c>
        </x15:pivotRow>
        <x15:pivotRow count="1">
          <x15:c>
            <x15:v>2813.5378999999998</x15:v>
          </x15:c>
        </x15:pivotRow>
        <x15:pivotRow count="1">
          <x15:c>
            <x15:v>2821.1941000000006</x15:v>
          </x15:c>
        </x15:pivotRow>
        <x15:pivotRow count="1">
          <x15:c>
            <x15:v>2834.6159999999995</x15:v>
          </x15:c>
        </x15:pivotRow>
        <x15:pivotRow count="1">
          <x15:c>
            <x15:v>2848.2</x15:v>
          </x15:c>
        </x15:pivotRow>
        <x15:pivotRow count="1">
          <x15:c>
            <x15:v>2873.1757000000002</x15:v>
          </x15:c>
        </x15:pivotRow>
        <x15:pivotRow count="1">
          <x15:c>
            <x15:v>2909.6042000000007</x15:v>
          </x15:c>
        </x15:pivotRow>
        <x15:pivotRow count="1">
          <x15:c>
            <x15:v>3011.3327000000004</x15:v>
          </x15:c>
        </x15:pivotRow>
        <x15:pivotRow count="1">
          <x15:c>
            <x15:v>3061.0000000000005</x15:v>
          </x15:c>
        </x15:pivotRow>
        <x15:pivotRow count="1">
          <x15:c>
            <x15:v>3069.79</x15:v>
          </x15:c>
        </x15:pivotRow>
        <x15:pivotRow count="1">
          <x15:c>
            <x15:v>3103.8524000000002</x15:v>
          </x15:c>
        </x15:pivotRow>
        <x15:pivotRow count="1">
          <x15:c>
            <x15:v>3209.71</x15:v>
          </x15:c>
        </x15:pivotRow>
        <x15:pivotRow count="1">
          <x15:c>
            <x15:v>3342.5457000000001</x15:v>
          </x15:c>
        </x15:pivotRow>
        <x15:pivotRow count="1">
          <x15:c>
            <x15:v>3442.57</x15:v>
          </x15:c>
        </x15:pivotRow>
        <x15:pivotRow count="1">
          <x15:c>
            <x15:v>3587.5486000000001</x15:v>
          </x15:c>
        </x15:pivotRow>
        <x15:pivotRow count="1">
          <x15:c>
            <x15:v>3589.47</x15:v>
          </x15:c>
        </x15:pivotRow>
        <x15:pivotRow count="1">
          <x15:c>
            <x15:v>3650.8073000000004</x15:v>
          </x15:c>
        </x15:pivotRow>
        <x15:pivotRow count="1">
          <x15:c>
            <x15:v>3697.37</x15:v>
          </x15:c>
        </x15:pivotRow>
        <x15:pivotRow count="1">
          <x15:c>
            <x15:v>3904.28</x15:v>
          </x15:c>
        </x15:pivotRow>
        <x15:pivotRow count="1">
          <x15:c>
            <x15:v>4286.6518000000005</x15:v>
          </x15:c>
        </x15:pivotRow>
        <x15:pivotRow count="1">
          <x15:c>
            <x15:v>593564.71930000035</x15:v>
          </x15:c>
        </x15:pivotRow>
      </x15:pivotTableData>
    </ext>
    <ext xmlns:x15="http://schemas.microsoft.com/office/spreadsheetml/2010/11/main" uri="{E67621CE-5B39-4880-91FE-76760E9C1902}">
      <x15:pivotTableUISettings sourceDataName="WorksheetConnection_Data Practice!$A$1:$M$2340">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7B62DF3-8DBF-4048-84C1-6424ED6D83A4}" sourceName="[Range 1].[Region]">
  <data>
    <olap pivotCacheId="1140494870">
      <levels count="2">
        <level uniqueName="[Range 1].[Region].[(All)]" sourceCaption="(All)" count="0"/>
        <level uniqueName="[Range 1].[Region].[Region]" sourceCaption="Region" count="4">
          <ranges>
            <range startItem="0">
              <i n="[Range 1].[Region].&amp;[APAC]" c="APAC"/>
              <i n="[Range 1].[Region].&amp;[EMEA]" c="EMEA"/>
              <i n="[Range 1].[Region].&amp;[LATAM]" c="LATAM"/>
              <i n="[Range 1].[Region].&amp;[NA]" c="NA"/>
            </range>
          </ranges>
        </level>
      </levels>
      <selections count="1">
        <selection n="[Range 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3B68A261-2588-4C41-97FF-224FD8286314}" sourceName="[Range 1].[Item]">
  <data>
    <olap pivotCacheId="1140494870">
      <levels count="2">
        <level uniqueName="[Range 1].[Item].[(All)]" sourceCaption="(All)" count="0"/>
        <level uniqueName="[Range 1].[Item].[Item]" sourceCaption="Item" count="12">
          <ranges>
            <range startItem="0">
              <i n="[Range 1].[Item].&amp;[Air conditioner]" c="Air conditioner"/>
              <i n="[Range 1].[Item].&amp;[Blender]" c="Blender"/>
              <i n="[Range 1].[Item].&amp;[Ceiling fan]" c="Ceiling fan"/>
              <i n="[Range 1].[Item].&amp;[Coffee grinder]" c="Coffee grinder"/>
              <i n="[Range 1].[Item].&amp;[Dishwasher]" c="Dishwasher"/>
              <i n="[Range 1].[Item].&amp;[Iron]" c="Iron"/>
              <i n="[Range 1].[Item].&amp;[Microwave]" c="Microwave"/>
              <i n="[Range 1].[Item].&amp;[Oven]" c="Oven"/>
              <i n="[Range 1].[Item].&amp;[Refrigerator]" c="Refrigerator"/>
              <i n="[Range 1].[Item].&amp;[Toaster]" c="Toaster"/>
              <i n="[Range 1].[Item].&amp;[Vacuum Cleaner]" c="Vacuum Cleaner"/>
              <i n="[Range 1].[Item].&amp;[Washing Machine]" c="Washing Machine"/>
            </range>
          </ranges>
        </level>
      </levels>
      <selections count="1">
        <selection n="[Range 1].[Ite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1" xr10:uid="{1C07F1EF-7535-4F3D-B168-0DDB9D9507B3}" sourceName="[Range 1].[Store]">
  <data>
    <olap pivotCacheId="1140494870">
      <levels count="2">
        <level uniqueName="[Range 1].[Store].[(All)]" sourceCaption="(All)" count="0"/>
        <level uniqueName="[Range 1].[Store].[Store]" sourceCaption="Store" count="50">
          <ranges>
            <range startItem="0">
              <i n="[Range 1].[Store].&amp;[Amsterdam]" c="Amsterdam"/>
              <i n="[Range 1].[Store].&amp;[Athens]" c="Athens"/>
              <i n="[Range 1].[Store].&amp;[Bangalore]" c="Bangalore"/>
              <i n="[Range 1].[Store].&amp;[Bangkok]" c="Bangkok"/>
              <i n="[Range 1].[Store].&amp;[Berlin]" c="Berlin"/>
              <i n="[Range 1].[Store].&amp;[Birmingham]" c="Birmingham"/>
              <i n="[Range 1].[Store].&amp;[Bogota]" c="Bogota"/>
              <i n="[Range 1].[Store].&amp;[Bucharest]" c="Bucharest"/>
              <i n="[Range 1].[Store].&amp;[Buenos Aires]" c="Buenos Aires"/>
              <i n="[Range 1].[Store].&amp;[Cairo]" c="Cairo"/>
              <i n="[Range 1].[Store].&amp;[Capetown]" c="Capetown"/>
              <i n="[Range 1].[Store].&amp;[Chicago]" c="Chicago"/>
              <i n="[Range 1].[Store].&amp;[Delhi]" c="Delhi"/>
              <i n="[Range 1].[Store].&amp;[Dubai]" c="Dubai"/>
              <i n="[Range 1].[Store].&amp;[Dublin]" c="Dublin"/>
              <i n="[Range 1].[Store].&amp;[Guangzhou]" c="Guangzhou"/>
              <i n="[Range 1].[Store].&amp;[Ho Chi Minh City]" c="Ho Chi Minh City"/>
              <i n="[Range 1].[Store].&amp;[Houston]" c="Houston"/>
              <i n="[Range 1].[Store].&amp;[Istanbul]" c="Istanbul"/>
              <i n="[Range 1].[Store].&amp;[Jerusalem]" c="Jerusalem"/>
              <i n="[Range 1].[Store].&amp;[Kansas City]" c="Kansas City"/>
              <i n="[Range 1].[Store].&amp;[Kuala Lumpur]" c="Kuala Lumpur"/>
              <i n="[Range 1].[Store].&amp;[Lima]" c="Lima"/>
              <i n="[Range 1].[Store].&amp;[London]" c="London"/>
              <i n="[Range 1].[Store].&amp;[Los Angeles]" c="Los Angeles"/>
              <i n="[Range 1].[Store].&amp;[Madria]" c="Madria"/>
              <i n="[Range 1].[Store].&amp;[Mexico City]" c="Mexico City"/>
              <i n="[Range 1].[Store].&amp;[Moscow]" c="Moscow"/>
              <i n="[Range 1].[Store].&amp;[New York]" c="New York"/>
              <i n="[Range 1].[Store].&amp;[Osaka]" c="Osaka"/>
              <i n="[Range 1].[Store].&amp;[Paris]" c="Paris"/>
              <i n="[Range 1].[Store].&amp;[Prague]" c="Prague"/>
              <i n="[Range 1].[Store].&amp;[Riyadh]" c="Riyadh"/>
              <i n="[Range 1].[Store].&amp;[Rochester]" c="Rochester"/>
              <i n="[Range 1].[Store].&amp;[Rome]" c="Rome"/>
              <i n="[Range 1].[Store].&amp;[San Fransisco]" c="San Fransisco"/>
              <i n="[Range 1].[Store].&amp;[Santiago]" c="Santiago"/>
              <i n="[Range 1].[Store].&amp;[Sao Paolo]" c="Sao Paolo"/>
              <i n="[Range 1].[Store].&amp;[Seattle]" c="Seattle"/>
              <i n="[Range 1].[Store].&amp;[Seoul]" c="Seoul"/>
              <i n="[Range 1].[Store].&amp;[Shanghai]" c="Shanghai"/>
              <i n="[Range 1].[Store].&amp;[Shenzhen]" c="Shenzhen"/>
              <i n="[Range 1].[Store].&amp;[Sydney]" c="Sydney"/>
              <i n="[Range 1].[Store].&amp;[Tel Aviv]" c="Tel Aviv"/>
              <i n="[Range 1].[Store].&amp;[Tijuana]" c="Tijuana"/>
              <i n="[Range 1].[Store].&amp;[Tokyo]" c="Tokyo"/>
              <i n="[Range 1].[Store].&amp;[Toronto]" c="Toronto"/>
              <i n="[Range 1].[Store].&amp;[Vancouver]" c="Vancouver"/>
              <i n="[Range 1].[Store].&amp;[Vienna]" c="Vienna"/>
              <i n="[Range 1].[Store].&amp;[Warsaw]" c="Warsaw"/>
            </range>
          </ranges>
        </level>
      </levels>
      <selections count="1">
        <selection n="[Range 1].[Stor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F4B6256-F228-4B0F-843E-E7653F2BA490}" sourceName="[Range 1].[Item]">
  <data>
    <olap pivotCacheId="1140494870">
      <levels count="2">
        <level uniqueName="[Range 1].[Item].[(All)]" sourceCaption="(All)" count="0"/>
        <level uniqueName="[Range 1].[Item].[Item]" sourceCaption="Item" count="12">
          <ranges>
            <range startItem="0">
              <i n="[Range 1].[Item].&amp;[Air conditioner]" c="Air conditioner"/>
              <i n="[Range 1].[Item].&amp;[Blender]" c="Blender"/>
              <i n="[Range 1].[Item].&amp;[Ceiling fan]" c="Ceiling fan"/>
              <i n="[Range 1].[Item].&amp;[Coffee grinder]" c="Coffee grinder"/>
              <i n="[Range 1].[Item].&amp;[Dishwasher]" c="Dishwasher"/>
              <i n="[Range 1].[Item].&amp;[Iron]" c="Iron"/>
              <i n="[Range 1].[Item].&amp;[Microwave]" c="Microwave"/>
              <i n="[Range 1].[Item].&amp;[Oven]" c="Oven"/>
              <i n="[Range 1].[Item].&amp;[Refrigerator]" c="Refrigerator"/>
              <i n="[Range 1].[Item].&amp;[Toaster]" c="Toaster"/>
              <i n="[Range 1].[Item].&amp;[Vacuum Cleaner]" c="Vacuum Cleaner"/>
              <i n="[Range 1].[Item].&amp;[Washing Machine]" c="Washing Machine"/>
            </range>
          </ranges>
        </level>
      </levels>
      <selections count="1">
        <selection n="[Range 1].[Item].[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A4FB2E-2629-4FE7-998E-5A483753A4A4}" sourceName="[Range 1].[Region]">
  <data>
    <olap pivotCacheId="1140494870">
      <levels count="2">
        <level uniqueName="[Range 1].[Region].[(All)]" sourceCaption="(All)" count="0"/>
        <level uniqueName="[Range 1].[Region].[Region]" sourceCaption="Region" count="4">
          <ranges>
            <range startItem="0">
              <i n="[Range 1].[Region].&amp;[APAC]" c="APAC"/>
              <i n="[Range 1].[Region].&amp;[EMEA]" c="EMEA"/>
              <i n="[Range 1].[Region].&amp;[LATAM]" c="LATAM"/>
              <i n="[Range 1].[Region].&amp;[NA]" c="NA"/>
            </range>
          </ranges>
        </level>
      </levels>
      <selections count="1">
        <selection n="[Range 1].[Region].[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03203FB5-E309-42A7-AAD9-5CAF33D18593}" sourceName="[Range 1].[Store]">
  <data>
    <olap pivotCacheId="1140494870">
      <levels count="2">
        <level uniqueName="[Range 1].[Store].[(All)]" sourceCaption="(All)" count="0"/>
        <level uniqueName="[Range 1].[Store].[Store]" sourceCaption="Store" count="50">
          <ranges>
            <range startItem="0">
              <i n="[Range 1].[Store].&amp;[Amsterdam]" c="Amsterdam"/>
              <i n="[Range 1].[Store].&amp;[Athens]" c="Athens"/>
              <i n="[Range 1].[Store].&amp;[Bangalore]" c="Bangalore"/>
              <i n="[Range 1].[Store].&amp;[Bangkok]" c="Bangkok"/>
              <i n="[Range 1].[Store].&amp;[Berlin]" c="Berlin"/>
              <i n="[Range 1].[Store].&amp;[Birmingham]" c="Birmingham"/>
              <i n="[Range 1].[Store].&amp;[Bogota]" c="Bogota"/>
              <i n="[Range 1].[Store].&amp;[Bucharest]" c="Bucharest"/>
              <i n="[Range 1].[Store].&amp;[Buenos Aires]" c="Buenos Aires"/>
              <i n="[Range 1].[Store].&amp;[Cairo]" c="Cairo"/>
              <i n="[Range 1].[Store].&amp;[Capetown]" c="Capetown"/>
              <i n="[Range 1].[Store].&amp;[Chicago]" c="Chicago"/>
              <i n="[Range 1].[Store].&amp;[Delhi]" c="Delhi"/>
              <i n="[Range 1].[Store].&amp;[Dubai]" c="Dubai"/>
              <i n="[Range 1].[Store].&amp;[Dublin]" c="Dublin"/>
              <i n="[Range 1].[Store].&amp;[Guangzhou]" c="Guangzhou"/>
              <i n="[Range 1].[Store].&amp;[Ho Chi Minh City]" c="Ho Chi Minh City"/>
              <i n="[Range 1].[Store].&amp;[Houston]" c="Houston"/>
              <i n="[Range 1].[Store].&amp;[Istanbul]" c="Istanbul"/>
              <i n="[Range 1].[Store].&amp;[Jerusalem]" c="Jerusalem"/>
              <i n="[Range 1].[Store].&amp;[Kansas City]" c="Kansas City"/>
              <i n="[Range 1].[Store].&amp;[Kuala Lumpur]" c="Kuala Lumpur"/>
              <i n="[Range 1].[Store].&amp;[Lima]" c="Lima"/>
              <i n="[Range 1].[Store].&amp;[London]" c="London"/>
              <i n="[Range 1].[Store].&amp;[Los Angeles]" c="Los Angeles"/>
              <i n="[Range 1].[Store].&amp;[Madria]" c="Madria"/>
              <i n="[Range 1].[Store].&amp;[Mexico City]" c="Mexico City"/>
              <i n="[Range 1].[Store].&amp;[Moscow]" c="Moscow"/>
              <i n="[Range 1].[Store].&amp;[New York]" c="New York"/>
              <i n="[Range 1].[Store].&amp;[Osaka]" c="Osaka"/>
              <i n="[Range 1].[Store].&amp;[Paris]" c="Paris"/>
              <i n="[Range 1].[Store].&amp;[Prague]" c="Prague"/>
              <i n="[Range 1].[Store].&amp;[Riyadh]" c="Riyadh"/>
              <i n="[Range 1].[Store].&amp;[Rochester]" c="Rochester"/>
              <i n="[Range 1].[Store].&amp;[Rome]" c="Rome"/>
              <i n="[Range 1].[Store].&amp;[San Fransisco]" c="San Fransisco"/>
              <i n="[Range 1].[Store].&amp;[Santiago]" c="Santiago"/>
              <i n="[Range 1].[Store].&amp;[Sao Paolo]" c="Sao Paolo"/>
              <i n="[Range 1].[Store].&amp;[Seattle]" c="Seattle"/>
              <i n="[Range 1].[Store].&amp;[Seoul]" c="Seoul"/>
              <i n="[Range 1].[Store].&amp;[Shanghai]" c="Shanghai"/>
              <i n="[Range 1].[Store].&amp;[Shenzhen]" c="Shenzhen"/>
              <i n="[Range 1].[Store].&amp;[Sydney]" c="Sydney"/>
              <i n="[Range 1].[Store].&amp;[Tel Aviv]" c="Tel Aviv"/>
              <i n="[Range 1].[Store].&amp;[Tijuana]" c="Tijuana"/>
              <i n="[Range 1].[Store].&amp;[Tokyo]" c="Tokyo"/>
              <i n="[Range 1].[Store].&amp;[Toronto]" c="Toronto"/>
              <i n="[Range 1].[Store].&amp;[Vancouver]" c="Vancouver"/>
              <i n="[Range 1].[Store].&amp;[Vienna]" c="Vienna"/>
              <i n="[Range 1].[Store].&amp;[Warsaw]" c="Warsaw"/>
            </range>
          </ranges>
        </level>
      </levels>
      <selections count="1">
        <selection n="[Range 1].[Store].[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2" xr10:uid="{A5F0EFEB-1F25-40FC-9C71-D34044B366A1}" sourceName="[Range 1].[Item]">
  <data>
    <olap pivotCacheId="1140494870">
      <levels count="2">
        <level uniqueName="[Range 1].[Item].[(All)]" sourceCaption="(All)" count="0"/>
        <level uniqueName="[Range 1].[Item].[Item]" sourceCaption="Item" count="12">
          <ranges>
            <range startItem="0">
              <i n="[Range 1].[Item].&amp;[Air conditioner]" c="Air conditioner"/>
              <i n="[Range 1].[Item].&amp;[Blender]" c="Blender"/>
              <i n="[Range 1].[Item].&amp;[Ceiling fan]" c="Ceiling fan"/>
              <i n="[Range 1].[Item].&amp;[Coffee grinder]" c="Coffee grinder"/>
              <i n="[Range 1].[Item].&amp;[Dishwasher]" c="Dishwasher"/>
              <i n="[Range 1].[Item].&amp;[Iron]" c="Iron"/>
              <i n="[Range 1].[Item].&amp;[Microwave]" c="Microwave"/>
              <i n="[Range 1].[Item].&amp;[Oven]" c="Oven"/>
              <i n="[Range 1].[Item].&amp;[Refrigerator]" c="Refrigerator"/>
              <i n="[Range 1].[Item].&amp;[Toaster]" c="Toaster"/>
              <i n="[Range 1].[Item].&amp;[Vacuum Cleaner]" c="Vacuum Cleaner"/>
              <i n="[Range 1].[Item].&amp;[Washing Machine]" c="Washing Machine"/>
            </range>
          </ranges>
        </level>
      </levels>
      <selections count="1">
        <selection n="[Range 1].[Item].[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9FBB0819-AE44-423F-AC83-63507FF12650}" sourceName="[Range 1].[Region]">
  <data>
    <olap pivotCacheId="1140494870">
      <levels count="2">
        <level uniqueName="[Range 1].[Region].[(All)]" sourceCaption="(All)" count="0"/>
        <level uniqueName="[Range 1].[Region].[Region]" sourceCaption="Region" count="4">
          <ranges>
            <range startItem="0">
              <i n="[Range 1].[Region].&amp;[APAC]" c="APAC"/>
              <i n="[Range 1].[Region].&amp;[EMEA]" c="EMEA"/>
              <i n="[Range 1].[Region].&amp;[LATAM]" c="LATAM"/>
              <i n="[Range 1].[Region].&amp;[NA]" c="NA"/>
            </range>
          </ranges>
        </level>
      </levels>
      <selections count="1">
        <selection n="[Range 1].[Region].[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2" xr10:uid="{C796247B-B97C-427C-A2FE-D4188AB1F4BC}" sourceName="[Range 1].[Store]">
  <data>
    <olap pivotCacheId="1140494870">
      <levels count="2">
        <level uniqueName="[Range 1].[Store].[(All)]" sourceCaption="(All)" count="0"/>
        <level uniqueName="[Range 1].[Store].[Store]" sourceCaption="Store" count="50">
          <ranges>
            <range startItem="0">
              <i n="[Range 1].[Store].&amp;[Amsterdam]" c="Amsterdam"/>
              <i n="[Range 1].[Store].&amp;[Athens]" c="Athens"/>
              <i n="[Range 1].[Store].&amp;[Bangalore]" c="Bangalore"/>
              <i n="[Range 1].[Store].&amp;[Bangkok]" c="Bangkok"/>
              <i n="[Range 1].[Store].&amp;[Berlin]" c="Berlin"/>
              <i n="[Range 1].[Store].&amp;[Birmingham]" c="Birmingham"/>
              <i n="[Range 1].[Store].&amp;[Bogota]" c="Bogota"/>
              <i n="[Range 1].[Store].&amp;[Bucharest]" c="Bucharest"/>
              <i n="[Range 1].[Store].&amp;[Buenos Aires]" c="Buenos Aires"/>
              <i n="[Range 1].[Store].&amp;[Cairo]" c="Cairo"/>
              <i n="[Range 1].[Store].&amp;[Capetown]" c="Capetown"/>
              <i n="[Range 1].[Store].&amp;[Chicago]" c="Chicago"/>
              <i n="[Range 1].[Store].&amp;[Delhi]" c="Delhi"/>
              <i n="[Range 1].[Store].&amp;[Dubai]" c="Dubai"/>
              <i n="[Range 1].[Store].&amp;[Dublin]" c="Dublin"/>
              <i n="[Range 1].[Store].&amp;[Guangzhou]" c="Guangzhou"/>
              <i n="[Range 1].[Store].&amp;[Ho Chi Minh City]" c="Ho Chi Minh City"/>
              <i n="[Range 1].[Store].&amp;[Houston]" c="Houston"/>
              <i n="[Range 1].[Store].&amp;[Istanbul]" c="Istanbul"/>
              <i n="[Range 1].[Store].&amp;[Jerusalem]" c="Jerusalem"/>
              <i n="[Range 1].[Store].&amp;[Kansas City]" c="Kansas City"/>
              <i n="[Range 1].[Store].&amp;[Kuala Lumpur]" c="Kuala Lumpur"/>
              <i n="[Range 1].[Store].&amp;[Lima]" c="Lima"/>
              <i n="[Range 1].[Store].&amp;[London]" c="London"/>
              <i n="[Range 1].[Store].&amp;[Los Angeles]" c="Los Angeles"/>
              <i n="[Range 1].[Store].&amp;[Madria]" c="Madria"/>
              <i n="[Range 1].[Store].&amp;[Mexico City]" c="Mexico City"/>
              <i n="[Range 1].[Store].&amp;[Moscow]" c="Moscow"/>
              <i n="[Range 1].[Store].&amp;[New York]" c="New York"/>
              <i n="[Range 1].[Store].&amp;[Osaka]" c="Osaka"/>
              <i n="[Range 1].[Store].&amp;[Paris]" c="Paris"/>
              <i n="[Range 1].[Store].&amp;[Prague]" c="Prague"/>
              <i n="[Range 1].[Store].&amp;[Riyadh]" c="Riyadh"/>
              <i n="[Range 1].[Store].&amp;[Rochester]" c="Rochester"/>
              <i n="[Range 1].[Store].&amp;[Rome]" c="Rome"/>
              <i n="[Range 1].[Store].&amp;[San Fransisco]" c="San Fransisco"/>
              <i n="[Range 1].[Store].&amp;[Santiago]" c="Santiago"/>
              <i n="[Range 1].[Store].&amp;[Sao Paolo]" c="Sao Paolo"/>
              <i n="[Range 1].[Store].&amp;[Seattle]" c="Seattle"/>
              <i n="[Range 1].[Store].&amp;[Seoul]" c="Seoul"/>
              <i n="[Range 1].[Store].&amp;[Shanghai]" c="Shanghai"/>
              <i n="[Range 1].[Store].&amp;[Shenzhen]" c="Shenzhen"/>
              <i n="[Range 1].[Store].&amp;[Sydney]" c="Sydney"/>
              <i n="[Range 1].[Store].&amp;[Tel Aviv]" c="Tel Aviv"/>
              <i n="[Range 1].[Store].&amp;[Tijuana]" c="Tijuana"/>
              <i n="[Range 1].[Store].&amp;[Tokyo]" c="Tokyo"/>
              <i n="[Range 1].[Store].&amp;[Toronto]" c="Toronto"/>
              <i n="[Range 1].[Store].&amp;[Vancouver]" c="Vancouver"/>
              <i n="[Range 1].[Store].&amp;[Vienna]" c="Vienna"/>
              <i n="[Range 1].[Store].&amp;[Warsaw]" c="Warsaw"/>
            </range>
          </ranges>
        </level>
      </levels>
      <selections count="1">
        <selection n="[Range 1].[Store].[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85BE1D1-A857-4C6A-924D-ADBFC618A367}" cache="Slicer_Region1" caption="Region" level="1" rowHeight="234950"/>
  <slicer name="Item 1" xr10:uid="{FEE9F562-E03D-40B4-919D-955FDE20DE05}" cache="Slicer_Item1" caption="Item" level="1" rowHeight="234950"/>
  <slicer name="Store 1" xr10:uid="{CB82AB4C-43D6-4095-A5CF-39E3589523EE}" cache="Slicer_Store1" caption="Stor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56FC33C3-E1C3-48B9-B33E-FFED3E95C6B2}" cache="Slicer_Item" caption="Item" level="1" rowHeight="234950"/>
  <slicer name="Region" xr10:uid="{8A785D29-F734-44D3-BFE4-F1B6F6EA13F4}" cache="Slicer_Region" caption="Region" level="1" rowHeight="234950"/>
  <slicer name="Store" xr10:uid="{7399CE35-064B-4AEC-A433-BCCDCDE6CF6D}" cache="Slicer_Store" caption="Stor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759F4E9A-C283-48F3-B6BD-46953097EB41}" cache="Slicer_Item2" caption="Item" level="1" rowHeight="234950"/>
  <slicer name="Region 2" xr10:uid="{0D0275F9-DCB4-47A7-AD8C-6DAC811E5F96}" cache="Slicer_Region2" caption="Region" level="1" rowHeight="234950"/>
  <slicer name="Store 2" xr10:uid="{74A720A0-8E01-47F9-A735-4DB4EE4FE8F2}" cache="Slicer_Store2" caption="Stor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C6DE-0556-46B6-8AEC-0DB713BB024F}">
  <dimension ref="A1"/>
  <sheetViews>
    <sheetView showGridLines="0" showRowColHeaders="0" workbookViewId="0">
      <selection activeCell="M34" sqref="M34"/>
    </sheetView>
  </sheetViews>
  <sheetFormatPr defaultRowHeight="14.4" x14ac:dyDescent="0.3"/>
  <cols>
    <col min="1" max="1" width="13.21875" bestFit="1" customWidth="1"/>
    <col min="2" max="2" width="18.44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B2AB4-7F82-4150-8852-2D18ED548304}">
  <dimension ref="A1"/>
  <sheetViews>
    <sheetView showGridLines="0" showRowColHeaders="0" tabSelected="1" workbookViewId="0">
      <selection activeCell="G33" sqref="G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FB4FF-9A50-4FF6-9D22-8DF7172D39D8}">
  <dimension ref="A1"/>
  <sheetViews>
    <sheetView showGridLines="0" showRowColHeaders="0" workbookViewId="0">
      <selection activeCell="G33" sqref="G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B6DB-1C10-47B9-9BCF-92E2022C4BA3}">
  <dimension ref="A1"/>
  <sheetViews>
    <sheetView showGridLines="0" workbookViewId="0">
      <selection activeCell="J11" sqref="J11"/>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40"/>
  <sheetViews>
    <sheetView zoomScale="99" zoomScaleNormal="99" workbookViewId="0">
      <selection activeCell="G1" sqref="G1"/>
    </sheetView>
  </sheetViews>
  <sheetFormatPr defaultRowHeight="14.4" x14ac:dyDescent="0.3"/>
  <cols>
    <col min="1" max="1" width="13.5546875" customWidth="1"/>
    <col min="2" max="2" width="14.109375" customWidth="1"/>
    <col min="3" max="3" width="15.88671875" customWidth="1"/>
    <col min="4" max="4" width="9" customWidth="1"/>
    <col min="5" max="5" width="16.5546875" style="6" customWidth="1"/>
    <col min="6" max="6" width="15.77734375" style="4" customWidth="1"/>
    <col min="7" max="7" width="20.77734375" customWidth="1"/>
    <col min="8" max="8" width="13.88671875" customWidth="1"/>
    <col min="9" max="9" width="12.109375" customWidth="1"/>
    <col min="10" max="10" width="11.88671875" customWidth="1"/>
    <col min="11" max="11" width="16.77734375" customWidth="1"/>
    <col min="12" max="12" width="13.88671875" customWidth="1"/>
    <col min="13" max="13" width="11.88671875" customWidth="1"/>
  </cols>
  <sheetData>
    <row r="1" spans="1:13" x14ac:dyDescent="0.3">
      <c r="A1" s="4" t="s">
        <v>0</v>
      </c>
      <c r="B1" s="3" t="s">
        <v>1</v>
      </c>
      <c r="C1" s="3" t="s">
        <v>2</v>
      </c>
      <c r="D1" s="3" t="s">
        <v>3</v>
      </c>
      <c r="E1" s="7" t="s">
        <v>4</v>
      </c>
      <c r="F1" s="3" t="s">
        <v>5</v>
      </c>
      <c r="G1" s="3" t="s">
        <v>6</v>
      </c>
      <c r="H1" s="3" t="s">
        <v>7</v>
      </c>
      <c r="I1" s="3" t="s">
        <v>8</v>
      </c>
      <c r="J1" s="3" t="s">
        <v>9</v>
      </c>
      <c r="K1" s="3" t="s">
        <v>2960</v>
      </c>
      <c r="L1" s="3" t="s">
        <v>2961</v>
      </c>
      <c r="M1" s="3" t="s">
        <v>2962</v>
      </c>
    </row>
    <row r="2" spans="1:13" x14ac:dyDescent="0.3">
      <c r="A2" t="s">
        <v>10</v>
      </c>
      <c r="B2" s="1" t="s">
        <v>11</v>
      </c>
      <c r="C2" s="1" t="s">
        <v>12</v>
      </c>
      <c r="D2" s="1" t="s">
        <v>13</v>
      </c>
      <c r="E2" s="5">
        <v>43379</v>
      </c>
      <c r="F2" s="3" t="s">
        <v>14</v>
      </c>
      <c r="G2" s="1" t="s">
        <v>15</v>
      </c>
      <c r="H2" s="1">
        <v>80</v>
      </c>
      <c r="I2" s="1">
        <v>79</v>
      </c>
      <c r="J2" s="2">
        <v>1.2500000000000001E-2</v>
      </c>
      <c r="K2">
        <f>I2*J2</f>
        <v>0.98750000000000004</v>
      </c>
      <c r="L2">
        <f>I2-K2</f>
        <v>78.012500000000003</v>
      </c>
      <c r="M2" t="str">
        <f>TEXT(E2, "mmm-yyyy")</f>
        <v>Oct-2018</v>
      </c>
    </row>
    <row r="3" spans="1:13" x14ac:dyDescent="0.3">
      <c r="A3" t="s">
        <v>16</v>
      </c>
      <c r="B3" s="1" t="s">
        <v>17</v>
      </c>
      <c r="C3" s="1" t="s">
        <v>18</v>
      </c>
      <c r="D3" s="1" t="s">
        <v>19</v>
      </c>
      <c r="E3" s="5">
        <v>42086</v>
      </c>
      <c r="F3" s="3" t="s">
        <v>14</v>
      </c>
      <c r="G3" s="1" t="s">
        <v>20</v>
      </c>
      <c r="H3" s="1">
        <v>80</v>
      </c>
      <c r="I3" s="1">
        <v>54</v>
      </c>
      <c r="J3" s="2">
        <v>0.32500000000000001</v>
      </c>
      <c r="K3">
        <f>I3*J3</f>
        <v>17.55</v>
      </c>
      <c r="L3">
        <f>I3-K3</f>
        <v>36.450000000000003</v>
      </c>
      <c r="M3" t="str">
        <f>TEXT(E3, "mmm-yyyy")</f>
        <v>Mar-2015</v>
      </c>
    </row>
    <row r="4" spans="1:13" x14ac:dyDescent="0.3">
      <c r="A4" t="s">
        <v>21</v>
      </c>
      <c r="B4" s="1" t="s">
        <v>22</v>
      </c>
      <c r="C4" s="1" t="s">
        <v>23</v>
      </c>
      <c r="D4" s="1" t="s">
        <v>24</v>
      </c>
      <c r="E4" s="5">
        <v>42828</v>
      </c>
      <c r="F4" s="3" t="s">
        <v>25</v>
      </c>
      <c r="G4" s="1" t="s">
        <v>26</v>
      </c>
      <c r="H4" s="1">
        <v>700</v>
      </c>
      <c r="I4" s="1">
        <v>686</v>
      </c>
      <c r="J4" s="2">
        <v>0.02</v>
      </c>
      <c r="K4">
        <f t="shared" ref="K4:K67" si="0">I4*J4</f>
        <v>13.72</v>
      </c>
      <c r="L4">
        <f t="shared" ref="L4:L67" si="1">I4-K4</f>
        <v>672.28</v>
      </c>
      <c r="M4" t="str">
        <f t="shared" ref="M4:M67" si="2">TEXT(E4, "mmm-yyyy")</f>
        <v>Apr-2017</v>
      </c>
    </row>
    <row r="5" spans="1:13" x14ac:dyDescent="0.3">
      <c r="A5" t="s">
        <v>27</v>
      </c>
      <c r="B5" s="1" t="s">
        <v>28</v>
      </c>
      <c r="C5" s="1" t="s">
        <v>29</v>
      </c>
      <c r="D5" s="1" t="s">
        <v>13</v>
      </c>
      <c r="E5" s="5">
        <v>43326</v>
      </c>
      <c r="F5" s="3" t="s">
        <v>30</v>
      </c>
      <c r="G5" s="1" t="s">
        <v>31</v>
      </c>
      <c r="H5" s="1">
        <v>150</v>
      </c>
      <c r="I5" s="1">
        <v>137</v>
      </c>
      <c r="J5" s="2">
        <v>8.6699999999999999E-2</v>
      </c>
      <c r="K5">
        <f t="shared" si="0"/>
        <v>11.8779</v>
      </c>
      <c r="L5">
        <f t="shared" si="1"/>
        <v>125.1221</v>
      </c>
      <c r="M5" t="str">
        <f t="shared" si="2"/>
        <v>Aug-2018</v>
      </c>
    </row>
    <row r="6" spans="1:13" x14ac:dyDescent="0.3">
      <c r="A6" t="s">
        <v>32</v>
      </c>
      <c r="B6" s="1" t="s">
        <v>33</v>
      </c>
      <c r="C6" s="1" t="s">
        <v>34</v>
      </c>
      <c r="D6" s="1" t="s">
        <v>35</v>
      </c>
      <c r="E6" s="5">
        <v>42485</v>
      </c>
      <c r="F6" s="3" t="s">
        <v>36</v>
      </c>
      <c r="G6" s="1" t="s">
        <v>37</v>
      </c>
      <c r="H6" s="1">
        <v>50</v>
      </c>
      <c r="I6" s="1">
        <v>37</v>
      </c>
      <c r="J6" s="2">
        <v>0.26</v>
      </c>
      <c r="K6">
        <f t="shared" si="0"/>
        <v>9.620000000000001</v>
      </c>
      <c r="L6">
        <f t="shared" si="1"/>
        <v>27.38</v>
      </c>
      <c r="M6" t="str">
        <f t="shared" si="2"/>
        <v>Apr-2016</v>
      </c>
    </row>
    <row r="7" spans="1:13" x14ac:dyDescent="0.3">
      <c r="A7" t="s">
        <v>38</v>
      </c>
      <c r="B7" s="1" t="s">
        <v>39</v>
      </c>
      <c r="C7" s="1" t="s">
        <v>40</v>
      </c>
      <c r="D7" s="1" t="s">
        <v>35</v>
      </c>
      <c r="E7" s="5">
        <v>41872</v>
      </c>
      <c r="F7" s="3" t="s">
        <v>41</v>
      </c>
      <c r="G7" s="1" t="s">
        <v>42</v>
      </c>
      <c r="H7" s="1">
        <v>30</v>
      </c>
      <c r="I7" s="1">
        <v>29</v>
      </c>
      <c r="J7" s="2">
        <v>3.3300000000000003E-2</v>
      </c>
      <c r="K7">
        <f t="shared" si="0"/>
        <v>0.96570000000000011</v>
      </c>
      <c r="L7">
        <f t="shared" si="1"/>
        <v>28.034299999999998</v>
      </c>
      <c r="M7" t="str">
        <f t="shared" si="2"/>
        <v>Aug-2014</v>
      </c>
    </row>
    <row r="8" spans="1:13" x14ac:dyDescent="0.3">
      <c r="A8" t="s">
        <v>43</v>
      </c>
      <c r="B8" s="1" t="s">
        <v>44</v>
      </c>
      <c r="C8" s="1" t="s">
        <v>45</v>
      </c>
      <c r="D8" s="1" t="s">
        <v>24</v>
      </c>
      <c r="E8" s="5">
        <v>41789</v>
      </c>
      <c r="F8" s="3" t="s">
        <v>46</v>
      </c>
      <c r="G8" s="1" t="s">
        <v>47</v>
      </c>
      <c r="H8" s="1">
        <v>500</v>
      </c>
      <c r="I8" s="1">
        <v>465</v>
      </c>
      <c r="J8" s="2">
        <v>7.0000000000000007E-2</v>
      </c>
      <c r="K8">
        <f t="shared" si="0"/>
        <v>32.550000000000004</v>
      </c>
      <c r="L8">
        <f t="shared" si="1"/>
        <v>432.45</v>
      </c>
      <c r="M8" t="str">
        <f t="shared" si="2"/>
        <v>May-2014</v>
      </c>
    </row>
    <row r="9" spans="1:13" x14ac:dyDescent="0.3">
      <c r="A9" t="s">
        <v>48</v>
      </c>
      <c r="B9" s="1" t="s">
        <v>49</v>
      </c>
      <c r="C9" s="1" t="s">
        <v>50</v>
      </c>
      <c r="D9" s="1" t="s">
        <v>24</v>
      </c>
      <c r="E9" s="5">
        <v>42148</v>
      </c>
      <c r="F9" s="3" t="s">
        <v>2963</v>
      </c>
      <c r="G9" s="1" t="s">
        <v>51</v>
      </c>
      <c r="H9" s="1">
        <v>30</v>
      </c>
      <c r="I9" s="1">
        <v>28</v>
      </c>
      <c r="J9" s="2">
        <v>6.6699999999999995E-2</v>
      </c>
      <c r="K9">
        <f t="shared" si="0"/>
        <v>1.8675999999999999</v>
      </c>
      <c r="L9">
        <f t="shared" si="1"/>
        <v>26.132400000000001</v>
      </c>
      <c r="M9" t="str">
        <f t="shared" si="2"/>
        <v>May-2015</v>
      </c>
    </row>
    <row r="10" spans="1:13" x14ac:dyDescent="0.3">
      <c r="A10" t="s">
        <v>52</v>
      </c>
      <c r="B10" s="1" t="s">
        <v>53</v>
      </c>
      <c r="C10" s="1" t="s">
        <v>54</v>
      </c>
      <c r="D10" s="1" t="s">
        <v>13</v>
      </c>
      <c r="E10" s="5">
        <v>42574</v>
      </c>
      <c r="F10" s="3" t="s">
        <v>55</v>
      </c>
      <c r="G10" s="1" t="s">
        <v>56</v>
      </c>
      <c r="H10" s="1">
        <v>800</v>
      </c>
      <c r="I10" s="1">
        <v>760</v>
      </c>
      <c r="J10" s="2">
        <v>0.05</v>
      </c>
      <c r="K10">
        <f t="shared" si="0"/>
        <v>38</v>
      </c>
      <c r="L10">
        <f t="shared" si="1"/>
        <v>722</v>
      </c>
      <c r="M10" t="str">
        <f t="shared" si="2"/>
        <v>Jul-2016</v>
      </c>
    </row>
    <row r="11" spans="1:13" x14ac:dyDescent="0.3">
      <c r="A11" t="s">
        <v>57</v>
      </c>
      <c r="B11" s="1" t="s">
        <v>44</v>
      </c>
      <c r="C11" s="1" t="s">
        <v>45</v>
      </c>
      <c r="D11" s="1" t="s">
        <v>24</v>
      </c>
      <c r="E11" s="5">
        <v>43006</v>
      </c>
      <c r="F11" s="3" t="s">
        <v>41</v>
      </c>
      <c r="G11" s="1" t="s">
        <v>47</v>
      </c>
      <c r="H11" s="1">
        <v>30</v>
      </c>
      <c r="I11" s="1">
        <v>28</v>
      </c>
      <c r="J11" s="2">
        <v>6.6699999999999995E-2</v>
      </c>
      <c r="K11">
        <f t="shared" si="0"/>
        <v>1.8675999999999999</v>
      </c>
      <c r="L11">
        <f t="shared" si="1"/>
        <v>26.132400000000001</v>
      </c>
      <c r="M11" t="str">
        <f t="shared" si="2"/>
        <v>Sep-2017</v>
      </c>
    </row>
    <row r="12" spans="1:13" x14ac:dyDescent="0.3">
      <c r="A12" t="s">
        <v>58</v>
      </c>
      <c r="B12" s="1" t="s">
        <v>59</v>
      </c>
      <c r="C12" s="1" t="s">
        <v>60</v>
      </c>
      <c r="D12" s="1" t="s">
        <v>13</v>
      </c>
      <c r="E12" s="5">
        <v>42111</v>
      </c>
      <c r="F12" s="3" t="s">
        <v>61</v>
      </c>
      <c r="G12" s="1" t="s">
        <v>62</v>
      </c>
      <c r="H12" s="1">
        <v>1000</v>
      </c>
      <c r="I12" s="1">
        <v>500</v>
      </c>
      <c r="J12" s="2">
        <v>0.5</v>
      </c>
      <c r="K12">
        <f t="shared" si="0"/>
        <v>250</v>
      </c>
      <c r="L12">
        <f t="shared" si="1"/>
        <v>250</v>
      </c>
      <c r="M12" t="str">
        <f t="shared" si="2"/>
        <v>Apr-2015</v>
      </c>
    </row>
    <row r="13" spans="1:13" x14ac:dyDescent="0.3">
      <c r="A13" t="s">
        <v>63</v>
      </c>
      <c r="B13" s="1" t="s">
        <v>64</v>
      </c>
      <c r="C13" s="1" t="s">
        <v>65</v>
      </c>
      <c r="D13" s="1" t="s">
        <v>35</v>
      </c>
      <c r="E13" s="5">
        <v>43417</v>
      </c>
      <c r="F13" s="3" t="s">
        <v>25</v>
      </c>
      <c r="G13" s="1" t="s">
        <v>66</v>
      </c>
      <c r="H13" s="1">
        <v>700</v>
      </c>
      <c r="I13" s="1">
        <v>679</v>
      </c>
      <c r="J13" s="2">
        <v>0.03</v>
      </c>
      <c r="K13">
        <f t="shared" si="0"/>
        <v>20.37</v>
      </c>
      <c r="L13">
        <f t="shared" si="1"/>
        <v>658.63</v>
      </c>
      <c r="M13" t="str">
        <f t="shared" si="2"/>
        <v>Nov-2018</v>
      </c>
    </row>
    <row r="14" spans="1:13" x14ac:dyDescent="0.3">
      <c r="A14" t="s">
        <v>67</v>
      </c>
      <c r="B14" s="1" t="s">
        <v>49</v>
      </c>
      <c r="C14" s="1" t="s">
        <v>50</v>
      </c>
      <c r="D14" s="1" t="s">
        <v>24</v>
      </c>
      <c r="E14" s="5">
        <v>43144</v>
      </c>
      <c r="F14" s="3" t="s">
        <v>41</v>
      </c>
      <c r="G14" s="1" t="s">
        <v>68</v>
      </c>
      <c r="H14" s="1">
        <v>30</v>
      </c>
      <c r="I14" s="1">
        <v>28</v>
      </c>
      <c r="J14" s="2">
        <v>6.6699999999999995E-2</v>
      </c>
      <c r="K14">
        <f t="shared" si="0"/>
        <v>1.8675999999999999</v>
      </c>
      <c r="L14">
        <f t="shared" si="1"/>
        <v>26.132400000000001</v>
      </c>
      <c r="M14" t="str">
        <f t="shared" si="2"/>
        <v>Feb-2018</v>
      </c>
    </row>
    <row r="15" spans="1:13" x14ac:dyDescent="0.3">
      <c r="A15" t="s">
        <v>69</v>
      </c>
      <c r="B15" s="1" t="s">
        <v>70</v>
      </c>
      <c r="C15" s="1" t="s">
        <v>71</v>
      </c>
      <c r="D15" s="1" t="s">
        <v>35</v>
      </c>
      <c r="E15" s="5">
        <v>43151</v>
      </c>
      <c r="F15" s="3" t="s">
        <v>72</v>
      </c>
      <c r="G15" s="1" t="s">
        <v>73</v>
      </c>
      <c r="H15" s="1">
        <v>500</v>
      </c>
      <c r="I15" s="1">
        <v>490</v>
      </c>
      <c r="J15" s="2">
        <v>0.02</v>
      </c>
      <c r="K15">
        <f t="shared" si="0"/>
        <v>9.8000000000000007</v>
      </c>
      <c r="L15">
        <f t="shared" si="1"/>
        <v>480.2</v>
      </c>
      <c r="M15" t="str">
        <f t="shared" si="2"/>
        <v>Feb-2018</v>
      </c>
    </row>
    <row r="16" spans="1:13" x14ac:dyDescent="0.3">
      <c r="A16" t="s">
        <v>74</v>
      </c>
      <c r="B16" s="1" t="s">
        <v>33</v>
      </c>
      <c r="C16" s="1" t="s">
        <v>34</v>
      </c>
      <c r="D16" s="1" t="s">
        <v>35</v>
      </c>
      <c r="E16" s="5">
        <v>42451</v>
      </c>
      <c r="F16" s="3" t="s">
        <v>55</v>
      </c>
      <c r="G16" s="1" t="s">
        <v>75</v>
      </c>
      <c r="H16" s="1">
        <v>800</v>
      </c>
      <c r="I16" s="1">
        <v>672</v>
      </c>
      <c r="J16" s="2">
        <v>0.16</v>
      </c>
      <c r="K16">
        <f t="shared" si="0"/>
        <v>107.52</v>
      </c>
      <c r="L16">
        <f t="shared" si="1"/>
        <v>564.48</v>
      </c>
      <c r="M16" t="str">
        <f t="shared" si="2"/>
        <v>Mar-2016</v>
      </c>
    </row>
    <row r="17" spans="1:13" x14ac:dyDescent="0.3">
      <c r="A17" t="s">
        <v>76</v>
      </c>
      <c r="B17" s="1" t="s">
        <v>77</v>
      </c>
      <c r="C17" s="1" t="s">
        <v>78</v>
      </c>
      <c r="D17" s="1" t="s">
        <v>35</v>
      </c>
      <c r="E17" s="5">
        <v>42392</v>
      </c>
      <c r="F17" s="3" t="s">
        <v>14</v>
      </c>
      <c r="G17" s="1" t="s">
        <v>79</v>
      </c>
      <c r="H17" s="1">
        <v>80</v>
      </c>
      <c r="I17" s="1">
        <v>78</v>
      </c>
      <c r="J17" s="2">
        <v>2.5000000000000001E-2</v>
      </c>
      <c r="K17">
        <f t="shared" si="0"/>
        <v>1.9500000000000002</v>
      </c>
      <c r="L17">
        <f t="shared" si="1"/>
        <v>76.05</v>
      </c>
      <c r="M17" t="str">
        <f t="shared" si="2"/>
        <v>Jan-2016</v>
      </c>
    </row>
    <row r="18" spans="1:13" x14ac:dyDescent="0.3">
      <c r="A18" t="s">
        <v>80</v>
      </c>
      <c r="B18" s="1" t="s">
        <v>81</v>
      </c>
      <c r="C18" s="1" t="s">
        <v>82</v>
      </c>
      <c r="D18" s="1" t="s">
        <v>13</v>
      </c>
      <c r="E18" s="5">
        <v>42305</v>
      </c>
      <c r="F18" s="3" t="s">
        <v>61</v>
      </c>
      <c r="G18" s="1" t="s">
        <v>83</v>
      </c>
      <c r="H18" s="1">
        <v>1000</v>
      </c>
      <c r="I18" s="1">
        <v>620</v>
      </c>
      <c r="J18" s="2">
        <v>0.38</v>
      </c>
      <c r="K18">
        <f t="shared" si="0"/>
        <v>235.6</v>
      </c>
      <c r="L18">
        <f t="shared" si="1"/>
        <v>384.4</v>
      </c>
      <c r="M18" t="str">
        <f t="shared" si="2"/>
        <v>Oct-2015</v>
      </c>
    </row>
    <row r="19" spans="1:13" x14ac:dyDescent="0.3">
      <c r="A19" t="s">
        <v>84</v>
      </c>
      <c r="B19" s="1" t="s">
        <v>85</v>
      </c>
      <c r="C19" s="1" t="s">
        <v>86</v>
      </c>
      <c r="D19" s="1" t="s">
        <v>13</v>
      </c>
      <c r="E19" s="5">
        <v>43083</v>
      </c>
      <c r="F19" s="3" t="s">
        <v>72</v>
      </c>
      <c r="G19" s="1" t="s">
        <v>87</v>
      </c>
      <c r="H19" s="1">
        <v>500</v>
      </c>
      <c r="I19" s="1">
        <v>500</v>
      </c>
      <c r="J19" s="2">
        <v>0</v>
      </c>
      <c r="K19">
        <f t="shared" si="0"/>
        <v>0</v>
      </c>
      <c r="L19">
        <f t="shared" si="1"/>
        <v>500</v>
      </c>
      <c r="M19" t="str">
        <f t="shared" si="2"/>
        <v>Dec-2017</v>
      </c>
    </row>
    <row r="20" spans="1:13" x14ac:dyDescent="0.3">
      <c r="A20" t="s">
        <v>88</v>
      </c>
      <c r="B20" s="1" t="s">
        <v>17</v>
      </c>
      <c r="C20" s="1" t="s">
        <v>18</v>
      </c>
      <c r="D20" s="1" t="s">
        <v>19</v>
      </c>
      <c r="E20" s="5">
        <v>41931</v>
      </c>
      <c r="F20" s="3" t="s">
        <v>30</v>
      </c>
      <c r="G20" s="1" t="s">
        <v>89</v>
      </c>
      <c r="H20" s="1">
        <v>150</v>
      </c>
      <c r="I20" s="1">
        <v>150</v>
      </c>
      <c r="J20" s="2">
        <v>0</v>
      </c>
      <c r="K20">
        <f t="shared" si="0"/>
        <v>0</v>
      </c>
      <c r="L20">
        <f t="shared" si="1"/>
        <v>150</v>
      </c>
      <c r="M20" t="str">
        <f t="shared" si="2"/>
        <v>Oct-2014</v>
      </c>
    </row>
    <row r="21" spans="1:13" x14ac:dyDescent="0.3">
      <c r="A21" t="s">
        <v>90</v>
      </c>
      <c r="B21" s="1" t="s">
        <v>91</v>
      </c>
      <c r="C21" s="1" t="s">
        <v>92</v>
      </c>
      <c r="D21" s="1" t="s">
        <v>35</v>
      </c>
      <c r="E21" s="5">
        <v>41931</v>
      </c>
      <c r="F21" s="3" t="s">
        <v>61</v>
      </c>
      <c r="G21" s="1" t="s">
        <v>93</v>
      </c>
      <c r="H21" s="1">
        <v>1000</v>
      </c>
      <c r="I21" s="1">
        <v>950</v>
      </c>
      <c r="J21" s="2">
        <v>0.05</v>
      </c>
      <c r="K21">
        <f t="shared" si="0"/>
        <v>47.5</v>
      </c>
      <c r="L21">
        <f t="shared" si="1"/>
        <v>902.5</v>
      </c>
      <c r="M21" t="str">
        <f t="shared" si="2"/>
        <v>Oct-2014</v>
      </c>
    </row>
    <row r="22" spans="1:13" x14ac:dyDescent="0.3">
      <c r="A22" t="s">
        <v>94</v>
      </c>
      <c r="B22" s="1" t="s">
        <v>95</v>
      </c>
      <c r="C22" s="1" t="s">
        <v>96</v>
      </c>
      <c r="D22" s="1" t="s">
        <v>13</v>
      </c>
      <c r="E22" s="5">
        <v>43447</v>
      </c>
      <c r="F22" s="3" t="s">
        <v>55</v>
      </c>
      <c r="G22" s="1" t="s">
        <v>97</v>
      </c>
      <c r="H22" s="1">
        <v>800</v>
      </c>
      <c r="I22" s="1">
        <v>736</v>
      </c>
      <c r="J22" s="2">
        <v>0.08</v>
      </c>
      <c r="K22">
        <f t="shared" si="0"/>
        <v>58.88</v>
      </c>
      <c r="L22">
        <f t="shared" si="1"/>
        <v>677.12</v>
      </c>
      <c r="M22" t="str">
        <f t="shared" si="2"/>
        <v>Dec-2018</v>
      </c>
    </row>
    <row r="23" spans="1:13" x14ac:dyDescent="0.3">
      <c r="A23" t="s">
        <v>98</v>
      </c>
      <c r="B23" s="1" t="s">
        <v>99</v>
      </c>
      <c r="C23" s="1" t="s">
        <v>100</v>
      </c>
      <c r="D23" s="1" t="s">
        <v>13</v>
      </c>
      <c r="E23" s="5">
        <v>42290</v>
      </c>
      <c r="F23" s="3" t="s">
        <v>41</v>
      </c>
      <c r="G23" s="1" t="s">
        <v>101</v>
      </c>
      <c r="H23" s="1">
        <v>30</v>
      </c>
      <c r="I23" s="1">
        <v>22</v>
      </c>
      <c r="J23" s="2">
        <v>0.26669999999999999</v>
      </c>
      <c r="K23">
        <f t="shared" si="0"/>
        <v>5.8673999999999999</v>
      </c>
      <c r="L23">
        <f t="shared" si="1"/>
        <v>16.1326</v>
      </c>
      <c r="M23" t="str">
        <f t="shared" si="2"/>
        <v>Oct-2015</v>
      </c>
    </row>
    <row r="24" spans="1:13" x14ac:dyDescent="0.3">
      <c r="A24" t="s">
        <v>102</v>
      </c>
      <c r="B24" s="1" t="s">
        <v>103</v>
      </c>
      <c r="C24" s="1" t="s">
        <v>71</v>
      </c>
      <c r="D24" s="1" t="s">
        <v>35</v>
      </c>
      <c r="E24" s="5">
        <v>43427</v>
      </c>
      <c r="F24" s="3" t="s">
        <v>104</v>
      </c>
      <c r="G24" s="1" t="s">
        <v>105</v>
      </c>
      <c r="H24" s="1">
        <v>70</v>
      </c>
      <c r="I24" s="1">
        <v>67</v>
      </c>
      <c r="J24" s="2">
        <v>4.2900000000000001E-2</v>
      </c>
      <c r="K24">
        <f t="shared" si="0"/>
        <v>2.8742999999999999</v>
      </c>
      <c r="L24">
        <f t="shared" si="1"/>
        <v>64.125699999999995</v>
      </c>
      <c r="M24" t="str">
        <f t="shared" si="2"/>
        <v>Nov-2018</v>
      </c>
    </row>
    <row r="25" spans="1:13" x14ac:dyDescent="0.3">
      <c r="A25" t="s">
        <v>106</v>
      </c>
      <c r="B25" s="1" t="s">
        <v>107</v>
      </c>
      <c r="C25" s="1" t="s">
        <v>108</v>
      </c>
      <c r="D25" s="1" t="s">
        <v>19</v>
      </c>
      <c r="E25" s="5">
        <v>42582</v>
      </c>
      <c r="F25" s="3" t="s">
        <v>41</v>
      </c>
      <c r="G25" s="1" t="s">
        <v>109</v>
      </c>
      <c r="H25" s="1">
        <v>30</v>
      </c>
      <c r="I25" s="1">
        <v>27</v>
      </c>
      <c r="J25" s="2">
        <v>0.1</v>
      </c>
      <c r="K25">
        <f t="shared" si="0"/>
        <v>2.7</v>
      </c>
      <c r="L25">
        <f t="shared" si="1"/>
        <v>24.3</v>
      </c>
      <c r="M25" t="str">
        <f t="shared" si="2"/>
        <v>Jul-2016</v>
      </c>
    </row>
    <row r="26" spans="1:13" x14ac:dyDescent="0.3">
      <c r="A26" t="s">
        <v>110</v>
      </c>
      <c r="B26" s="1" t="s">
        <v>111</v>
      </c>
      <c r="C26" s="1" t="s">
        <v>82</v>
      </c>
      <c r="D26" s="1" t="s">
        <v>13</v>
      </c>
      <c r="E26" s="5">
        <v>42338</v>
      </c>
      <c r="F26" s="3" t="s">
        <v>72</v>
      </c>
      <c r="G26" s="1" t="s">
        <v>112</v>
      </c>
      <c r="H26" s="1">
        <v>500</v>
      </c>
      <c r="I26" s="1">
        <v>495</v>
      </c>
      <c r="J26" s="2">
        <v>0.01</v>
      </c>
      <c r="K26">
        <f t="shared" si="0"/>
        <v>4.95</v>
      </c>
      <c r="L26">
        <f t="shared" si="1"/>
        <v>490.05</v>
      </c>
      <c r="M26" t="str">
        <f t="shared" si="2"/>
        <v>Nov-2015</v>
      </c>
    </row>
    <row r="27" spans="1:13" x14ac:dyDescent="0.3">
      <c r="A27" t="s">
        <v>113</v>
      </c>
      <c r="B27" s="1" t="s">
        <v>114</v>
      </c>
      <c r="C27" s="1" t="s">
        <v>54</v>
      </c>
      <c r="D27" s="1" t="s">
        <v>13</v>
      </c>
      <c r="E27" s="5">
        <v>43327</v>
      </c>
      <c r="F27" s="3" t="s">
        <v>115</v>
      </c>
      <c r="G27" s="1" t="s">
        <v>116</v>
      </c>
      <c r="H27" s="1">
        <v>250</v>
      </c>
      <c r="I27" s="1">
        <v>238</v>
      </c>
      <c r="J27" s="2">
        <v>4.8000000000000001E-2</v>
      </c>
      <c r="K27">
        <f t="shared" si="0"/>
        <v>11.423999999999999</v>
      </c>
      <c r="L27">
        <f t="shared" si="1"/>
        <v>226.57599999999999</v>
      </c>
      <c r="M27" t="str">
        <f t="shared" si="2"/>
        <v>Aug-2018</v>
      </c>
    </row>
    <row r="28" spans="1:13" x14ac:dyDescent="0.3">
      <c r="A28" t="s">
        <v>117</v>
      </c>
      <c r="B28" s="1" t="s">
        <v>118</v>
      </c>
      <c r="C28" s="1" t="s">
        <v>119</v>
      </c>
      <c r="D28" s="1" t="s">
        <v>35</v>
      </c>
      <c r="E28" s="5">
        <v>42993</v>
      </c>
      <c r="F28" s="3" t="s">
        <v>115</v>
      </c>
      <c r="G28" s="1" t="s">
        <v>120</v>
      </c>
      <c r="H28" s="1">
        <v>250</v>
      </c>
      <c r="I28" s="1">
        <v>240</v>
      </c>
      <c r="J28" s="2">
        <v>0.04</v>
      </c>
      <c r="K28">
        <f t="shared" si="0"/>
        <v>9.6</v>
      </c>
      <c r="L28">
        <f t="shared" si="1"/>
        <v>230.4</v>
      </c>
      <c r="M28" t="str">
        <f t="shared" si="2"/>
        <v>Sep-2017</v>
      </c>
    </row>
    <row r="29" spans="1:13" x14ac:dyDescent="0.3">
      <c r="A29" t="s">
        <v>121</v>
      </c>
      <c r="B29" s="1" t="s">
        <v>17</v>
      </c>
      <c r="C29" s="1" t="s">
        <v>18</v>
      </c>
      <c r="D29" s="1" t="s">
        <v>19</v>
      </c>
      <c r="E29" s="5">
        <v>42936</v>
      </c>
      <c r="F29" s="3" t="s">
        <v>122</v>
      </c>
      <c r="G29" s="1" t="s">
        <v>20</v>
      </c>
      <c r="H29" s="1">
        <v>50</v>
      </c>
      <c r="I29" s="1">
        <v>43</v>
      </c>
      <c r="J29" s="2">
        <v>0.14000000000000001</v>
      </c>
      <c r="K29">
        <f t="shared" si="0"/>
        <v>6.0200000000000005</v>
      </c>
      <c r="L29">
        <f t="shared" si="1"/>
        <v>36.979999999999997</v>
      </c>
      <c r="M29" t="str">
        <f t="shared" si="2"/>
        <v>Jul-2017</v>
      </c>
    </row>
    <row r="30" spans="1:13" x14ac:dyDescent="0.3">
      <c r="A30" t="s">
        <v>123</v>
      </c>
      <c r="B30" s="1" t="s">
        <v>124</v>
      </c>
      <c r="C30" s="1" t="s">
        <v>40</v>
      </c>
      <c r="D30" s="1" t="s">
        <v>35</v>
      </c>
      <c r="E30" s="5">
        <v>42673</v>
      </c>
      <c r="F30" s="3" t="s">
        <v>72</v>
      </c>
      <c r="G30" s="1" t="s">
        <v>125</v>
      </c>
      <c r="H30" s="1">
        <v>500</v>
      </c>
      <c r="I30" s="1">
        <v>495</v>
      </c>
      <c r="J30" s="2">
        <v>0.01</v>
      </c>
      <c r="K30">
        <f t="shared" si="0"/>
        <v>4.95</v>
      </c>
      <c r="L30">
        <f t="shared" si="1"/>
        <v>490.05</v>
      </c>
      <c r="M30" t="str">
        <f t="shared" si="2"/>
        <v>Oct-2016</v>
      </c>
    </row>
    <row r="31" spans="1:13" x14ac:dyDescent="0.3">
      <c r="A31" t="s">
        <v>126</v>
      </c>
      <c r="B31" s="1" t="s">
        <v>127</v>
      </c>
      <c r="C31" s="1" t="s">
        <v>128</v>
      </c>
      <c r="D31" s="1" t="s">
        <v>13</v>
      </c>
      <c r="E31" s="5">
        <v>43184</v>
      </c>
      <c r="F31" s="3" t="s">
        <v>104</v>
      </c>
      <c r="G31" s="1" t="s">
        <v>129</v>
      </c>
      <c r="H31" s="1">
        <v>70</v>
      </c>
      <c r="I31" s="1">
        <v>64</v>
      </c>
      <c r="J31" s="2">
        <v>8.5699999999999998E-2</v>
      </c>
      <c r="K31">
        <f t="shared" si="0"/>
        <v>5.4847999999999999</v>
      </c>
      <c r="L31">
        <f t="shared" si="1"/>
        <v>58.5152</v>
      </c>
      <c r="M31" t="str">
        <f t="shared" si="2"/>
        <v>Mar-2018</v>
      </c>
    </row>
    <row r="32" spans="1:13" x14ac:dyDescent="0.3">
      <c r="A32" t="s">
        <v>130</v>
      </c>
      <c r="B32" s="1" t="s">
        <v>131</v>
      </c>
      <c r="C32" s="1" t="s">
        <v>108</v>
      </c>
      <c r="D32" s="1" t="s">
        <v>19</v>
      </c>
      <c r="E32" s="5">
        <v>42943</v>
      </c>
      <c r="F32" s="3" t="s">
        <v>30</v>
      </c>
      <c r="G32" s="1" t="s">
        <v>132</v>
      </c>
      <c r="H32" s="1">
        <v>150</v>
      </c>
      <c r="I32" s="1">
        <v>138</v>
      </c>
      <c r="J32" s="2">
        <v>0.08</v>
      </c>
      <c r="K32">
        <f t="shared" si="0"/>
        <v>11.040000000000001</v>
      </c>
      <c r="L32">
        <f t="shared" si="1"/>
        <v>126.96</v>
      </c>
      <c r="M32" t="str">
        <f t="shared" si="2"/>
        <v>Jul-2017</v>
      </c>
    </row>
    <row r="33" spans="1:13" x14ac:dyDescent="0.3">
      <c r="A33" t="s">
        <v>133</v>
      </c>
      <c r="B33" s="1" t="s">
        <v>134</v>
      </c>
      <c r="C33" s="1" t="s">
        <v>92</v>
      </c>
      <c r="D33" s="1" t="s">
        <v>35</v>
      </c>
      <c r="E33" s="5">
        <v>42690</v>
      </c>
      <c r="F33" s="3" t="s">
        <v>30</v>
      </c>
      <c r="G33" s="1" t="s">
        <v>135</v>
      </c>
      <c r="H33" s="1">
        <v>150</v>
      </c>
      <c r="I33" s="1">
        <v>117</v>
      </c>
      <c r="J33" s="2">
        <v>0.22</v>
      </c>
      <c r="K33">
        <f t="shared" si="0"/>
        <v>25.74</v>
      </c>
      <c r="L33">
        <f t="shared" si="1"/>
        <v>91.26</v>
      </c>
      <c r="M33" t="str">
        <f t="shared" si="2"/>
        <v>Nov-2016</v>
      </c>
    </row>
    <row r="34" spans="1:13" x14ac:dyDescent="0.3">
      <c r="A34" t="s">
        <v>136</v>
      </c>
      <c r="B34" s="1" t="s">
        <v>11</v>
      </c>
      <c r="C34" s="1" t="s">
        <v>12</v>
      </c>
      <c r="D34" s="1" t="s">
        <v>13</v>
      </c>
      <c r="E34" s="5">
        <v>43120</v>
      </c>
      <c r="F34" s="3" t="s">
        <v>61</v>
      </c>
      <c r="G34" s="1" t="s">
        <v>137</v>
      </c>
      <c r="H34" s="1">
        <v>1000</v>
      </c>
      <c r="I34" s="1">
        <v>910</v>
      </c>
      <c r="J34" s="2">
        <v>0.09</v>
      </c>
      <c r="K34">
        <f t="shared" si="0"/>
        <v>81.899999999999991</v>
      </c>
      <c r="L34">
        <f t="shared" si="1"/>
        <v>828.1</v>
      </c>
      <c r="M34" t="str">
        <f t="shared" si="2"/>
        <v>Jan-2018</v>
      </c>
    </row>
    <row r="35" spans="1:13" x14ac:dyDescent="0.3">
      <c r="A35" t="s">
        <v>138</v>
      </c>
      <c r="B35" s="1" t="s">
        <v>99</v>
      </c>
      <c r="C35" s="1" t="s">
        <v>100</v>
      </c>
      <c r="D35" s="1" t="s">
        <v>13</v>
      </c>
      <c r="E35" s="5">
        <v>43032</v>
      </c>
      <c r="F35" s="3" t="s">
        <v>55</v>
      </c>
      <c r="G35" s="1" t="s">
        <v>101</v>
      </c>
      <c r="H35" s="1">
        <v>800</v>
      </c>
      <c r="I35" s="1">
        <v>584</v>
      </c>
      <c r="J35" s="2">
        <v>0.27</v>
      </c>
      <c r="K35">
        <f t="shared" si="0"/>
        <v>157.68</v>
      </c>
      <c r="L35">
        <f t="shared" si="1"/>
        <v>426.32</v>
      </c>
      <c r="M35" t="str">
        <f t="shared" si="2"/>
        <v>Oct-2017</v>
      </c>
    </row>
    <row r="36" spans="1:13" x14ac:dyDescent="0.3">
      <c r="A36" t="s">
        <v>139</v>
      </c>
      <c r="B36" s="1" t="s">
        <v>64</v>
      </c>
      <c r="C36" s="1" t="s">
        <v>65</v>
      </c>
      <c r="D36" s="1" t="s">
        <v>35</v>
      </c>
      <c r="E36" s="5">
        <v>42329</v>
      </c>
      <c r="F36" s="3" t="s">
        <v>14</v>
      </c>
      <c r="G36" s="1" t="s">
        <v>140</v>
      </c>
      <c r="H36" s="1">
        <v>80</v>
      </c>
      <c r="I36" s="1">
        <v>77</v>
      </c>
      <c r="J36" s="2">
        <v>3.7499999999999999E-2</v>
      </c>
      <c r="K36">
        <f t="shared" si="0"/>
        <v>2.8874999999999997</v>
      </c>
      <c r="L36">
        <f t="shared" si="1"/>
        <v>74.112499999999997</v>
      </c>
      <c r="M36" t="str">
        <f t="shared" si="2"/>
        <v>Nov-2015</v>
      </c>
    </row>
    <row r="37" spans="1:13" x14ac:dyDescent="0.3">
      <c r="A37" t="s">
        <v>141</v>
      </c>
      <c r="B37" s="1" t="s">
        <v>70</v>
      </c>
      <c r="C37" s="1" t="s">
        <v>71</v>
      </c>
      <c r="D37" s="1" t="s">
        <v>35</v>
      </c>
      <c r="E37" s="5">
        <v>43031</v>
      </c>
      <c r="F37" s="3" t="s">
        <v>72</v>
      </c>
      <c r="G37" s="1" t="s">
        <v>142</v>
      </c>
      <c r="H37" s="1">
        <v>500</v>
      </c>
      <c r="I37" s="1">
        <v>500</v>
      </c>
      <c r="J37" s="2">
        <v>0</v>
      </c>
      <c r="K37">
        <f t="shared" si="0"/>
        <v>0</v>
      </c>
      <c r="L37">
        <f t="shared" si="1"/>
        <v>500</v>
      </c>
      <c r="M37" t="str">
        <f t="shared" si="2"/>
        <v>Oct-2017</v>
      </c>
    </row>
    <row r="38" spans="1:13" x14ac:dyDescent="0.3">
      <c r="A38" t="s">
        <v>143</v>
      </c>
      <c r="B38" s="1" t="s">
        <v>22</v>
      </c>
      <c r="C38" s="1" t="s">
        <v>23</v>
      </c>
      <c r="D38" s="1" t="s">
        <v>24</v>
      </c>
      <c r="E38" s="5">
        <v>41835</v>
      </c>
      <c r="F38" s="3" t="s">
        <v>30</v>
      </c>
      <c r="G38" s="1" t="s">
        <v>144</v>
      </c>
      <c r="H38" s="1">
        <v>150</v>
      </c>
      <c r="I38" s="1">
        <v>146</v>
      </c>
      <c r="J38" s="2">
        <v>2.6700000000000002E-2</v>
      </c>
      <c r="K38">
        <f t="shared" si="0"/>
        <v>3.8982000000000001</v>
      </c>
      <c r="L38">
        <f t="shared" si="1"/>
        <v>142.1018</v>
      </c>
      <c r="M38" t="str">
        <f t="shared" si="2"/>
        <v>Jul-2014</v>
      </c>
    </row>
    <row r="39" spans="1:13" x14ac:dyDescent="0.3">
      <c r="A39" t="s">
        <v>145</v>
      </c>
      <c r="B39" s="1" t="s">
        <v>146</v>
      </c>
      <c r="C39" s="1" t="s">
        <v>147</v>
      </c>
      <c r="D39" s="1" t="s">
        <v>13</v>
      </c>
      <c r="E39" s="5">
        <v>41898</v>
      </c>
      <c r="F39" s="3" t="s">
        <v>46</v>
      </c>
      <c r="G39" s="1" t="s">
        <v>148</v>
      </c>
      <c r="H39" s="1">
        <v>500</v>
      </c>
      <c r="I39" s="1">
        <v>460</v>
      </c>
      <c r="J39" s="2">
        <v>0.08</v>
      </c>
      <c r="K39">
        <f t="shared" si="0"/>
        <v>36.800000000000004</v>
      </c>
      <c r="L39">
        <f t="shared" si="1"/>
        <v>423.2</v>
      </c>
      <c r="M39" t="str">
        <f t="shared" si="2"/>
        <v>Sep-2014</v>
      </c>
    </row>
    <row r="40" spans="1:13" x14ac:dyDescent="0.3">
      <c r="A40" t="s">
        <v>149</v>
      </c>
      <c r="B40" s="1" t="s">
        <v>150</v>
      </c>
      <c r="C40" s="1" t="s">
        <v>151</v>
      </c>
      <c r="D40" s="1" t="s">
        <v>13</v>
      </c>
      <c r="E40" s="5">
        <v>42571</v>
      </c>
      <c r="F40" s="3" t="s">
        <v>122</v>
      </c>
      <c r="G40" s="1" t="s">
        <v>152</v>
      </c>
      <c r="H40" s="1">
        <v>50</v>
      </c>
      <c r="I40" s="1">
        <v>43</v>
      </c>
      <c r="J40" s="2">
        <v>0.14000000000000001</v>
      </c>
      <c r="K40">
        <f t="shared" si="0"/>
        <v>6.0200000000000005</v>
      </c>
      <c r="L40">
        <f t="shared" si="1"/>
        <v>36.979999999999997</v>
      </c>
      <c r="M40" t="str">
        <f t="shared" si="2"/>
        <v>Jul-2016</v>
      </c>
    </row>
    <row r="41" spans="1:13" x14ac:dyDescent="0.3">
      <c r="A41" t="s">
        <v>153</v>
      </c>
      <c r="B41" s="1" t="s">
        <v>154</v>
      </c>
      <c r="C41" s="1" t="s">
        <v>108</v>
      </c>
      <c r="D41" s="1" t="s">
        <v>19</v>
      </c>
      <c r="E41" s="5">
        <v>43185</v>
      </c>
      <c r="F41" s="3" t="s">
        <v>14</v>
      </c>
      <c r="G41" s="1" t="s">
        <v>155</v>
      </c>
      <c r="H41" s="1">
        <v>80</v>
      </c>
      <c r="I41" s="1">
        <v>72</v>
      </c>
      <c r="J41" s="2">
        <v>0.1</v>
      </c>
      <c r="K41">
        <f t="shared" si="0"/>
        <v>7.2</v>
      </c>
      <c r="L41">
        <f t="shared" si="1"/>
        <v>64.8</v>
      </c>
      <c r="M41" t="str">
        <f t="shared" si="2"/>
        <v>Mar-2018</v>
      </c>
    </row>
    <row r="42" spans="1:13" x14ac:dyDescent="0.3">
      <c r="A42" t="s">
        <v>156</v>
      </c>
      <c r="B42" s="1" t="s">
        <v>157</v>
      </c>
      <c r="C42" s="1" t="s">
        <v>108</v>
      </c>
      <c r="D42" s="1" t="s">
        <v>19</v>
      </c>
      <c r="E42" s="5">
        <v>41813</v>
      </c>
      <c r="F42" s="3" t="s">
        <v>14</v>
      </c>
      <c r="G42" s="1" t="s">
        <v>158</v>
      </c>
      <c r="H42" s="1">
        <v>80</v>
      </c>
      <c r="I42" s="1">
        <v>75</v>
      </c>
      <c r="J42" s="2">
        <v>6.25E-2</v>
      </c>
      <c r="K42">
        <f t="shared" si="0"/>
        <v>4.6875</v>
      </c>
      <c r="L42">
        <f t="shared" si="1"/>
        <v>70.3125</v>
      </c>
      <c r="M42" t="str">
        <f t="shared" si="2"/>
        <v>Jun-2014</v>
      </c>
    </row>
    <row r="43" spans="1:13" x14ac:dyDescent="0.3">
      <c r="A43" t="s">
        <v>159</v>
      </c>
      <c r="B43" s="1" t="s">
        <v>33</v>
      </c>
      <c r="C43" s="1" t="s">
        <v>34</v>
      </c>
      <c r="D43" s="1" t="s">
        <v>35</v>
      </c>
      <c r="E43" s="5">
        <v>43342</v>
      </c>
      <c r="F43" s="3" t="s">
        <v>41</v>
      </c>
      <c r="G43" s="1" t="s">
        <v>160</v>
      </c>
      <c r="H43" s="1">
        <v>30</v>
      </c>
      <c r="I43" s="1">
        <v>26</v>
      </c>
      <c r="J43" s="2">
        <v>0.1333</v>
      </c>
      <c r="K43">
        <f t="shared" si="0"/>
        <v>3.4658000000000002</v>
      </c>
      <c r="L43">
        <f t="shared" si="1"/>
        <v>22.534199999999998</v>
      </c>
      <c r="M43" t="str">
        <f t="shared" si="2"/>
        <v>Aug-2018</v>
      </c>
    </row>
    <row r="44" spans="1:13" x14ac:dyDescent="0.3">
      <c r="A44" t="s">
        <v>161</v>
      </c>
      <c r="B44" s="1" t="s">
        <v>77</v>
      </c>
      <c r="C44" s="1" t="s">
        <v>78</v>
      </c>
      <c r="D44" s="1" t="s">
        <v>35</v>
      </c>
      <c r="E44" s="5">
        <v>41783</v>
      </c>
      <c r="F44" s="3" t="s">
        <v>41</v>
      </c>
      <c r="G44" s="1" t="s">
        <v>162</v>
      </c>
      <c r="H44" s="1">
        <v>30</v>
      </c>
      <c r="I44" s="1">
        <v>26</v>
      </c>
      <c r="J44" s="2">
        <v>0.1333</v>
      </c>
      <c r="K44">
        <f t="shared" si="0"/>
        <v>3.4658000000000002</v>
      </c>
      <c r="L44">
        <f t="shared" si="1"/>
        <v>22.534199999999998</v>
      </c>
      <c r="M44" t="str">
        <f t="shared" si="2"/>
        <v>May-2014</v>
      </c>
    </row>
    <row r="45" spans="1:13" x14ac:dyDescent="0.3">
      <c r="A45" t="s">
        <v>163</v>
      </c>
      <c r="B45" s="1" t="s">
        <v>39</v>
      </c>
      <c r="C45" s="1" t="s">
        <v>40</v>
      </c>
      <c r="D45" s="1" t="s">
        <v>35</v>
      </c>
      <c r="E45" s="5">
        <v>42783</v>
      </c>
      <c r="F45" s="3" t="s">
        <v>55</v>
      </c>
      <c r="G45" s="1" t="s">
        <v>164</v>
      </c>
      <c r="H45" s="1">
        <v>800</v>
      </c>
      <c r="I45" s="1">
        <v>640</v>
      </c>
      <c r="J45" s="2">
        <v>0.2</v>
      </c>
      <c r="K45">
        <f t="shared" si="0"/>
        <v>128</v>
      </c>
      <c r="L45">
        <f t="shared" si="1"/>
        <v>512</v>
      </c>
      <c r="M45" t="str">
        <f t="shared" si="2"/>
        <v>Feb-2017</v>
      </c>
    </row>
    <row r="46" spans="1:13" x14ac:dyDescent="0.3">
      <c r="A46" t="s">
        <v>165</v>
      </c>
      <c r="B46" s="1" t="s">
        <v>85</v>
      </c>
      <c r="C46" s="1" t="s">
        <v>86</v>
      </c>
      <c r="D46" s="1" t="s">
        <v>13</v>
      </c>
      <c r="E46" s="5">
        <v>41714</v>
      </c>
      <c r="F46" s="3" t="s">
        <v>55</v>
      </c>
      <c r="G46" s="1" t="s">
        <v>166</v>
      </c>
      <c r="H46" s="1">
        <v>800</v>
      </c>
      <c r="I46" s="1">
        <v>520</v>
      </c>
      <c r="J46" s="2">
        <v>0.35</v>
      </c>
      <c r="K46">
        <f t="shared" si="0"/>
        <v>182</v>
      </c>
      <c r="L46">
        <f t="shared" si="1"/>
        <v>338</v>
      </c>
      <c r="M46" t="str">
        <f t="shared" si="2"/>
        <v>Mar-2014</v>
      </c>
    </row>
    <row r="47" spans="1:13" x14ac:dyDescent="0.3">
      <c r="A47" t="s">
        <v>167</v>
      </c>
      <c r="B47" s="1" t="s">
        <v>114</v>
      </c>
      <c r="C47" s="1" t="s">
        <v>54</v>
      </c>
      <c r="D47" s="1" t="s">
        <v>13</v>
      </c>
      <c r="E47" s="5">
        <v>42848</v>
      </c>
      <c r="F47" s="3" t="s">
        <v>115</v>
      </c>
      <c r="G47" s="1" t="s">
        <v>168</v>
      </c>
      <c r="H47" s="1">
        <v>250</v>
      </c>
      <c r="I47" s="1">
        <v>220</v>
      </c>
      <c r="J47" s="2">
        <v>0.12</v>
      </c>
      <c r="K47">
        <f t="shared" si="0"/>
        <v>26.4</v>
      </c>
      <c r="L47">
        <f t="shared" si="1"/>
        <v>193.6</v>
      </c>
      <c r="M47" t="str">
        <f t="shared" si="2"/>
        <v>Apr-2017</v>
      </c>
    </row>
    <row r="48" spans="1:13" x14ac:dyDescent="0.3">
      <c r="A48" t="s">
        <v>169</v>
      </c>
      <c r="B48" s="1" t="s">
        <v>170</v>
      </c>
      <c r="C48" s="1" t="s">
        <v>171</v>
      </c>
      <c r="D48" s="1" t="s">
        <v>13</v>
      </c>
      <c r="E48" s="5">
        <v>42628</v>
      </c>
      <c r="F48" s="3" t="s">
        <v>25</v>
      </c>
      <c r="G48" s="1" t="s">
        <v>172</v>
      </c>
      <c r="H48" s="1">
        <v>700</v>
      </c>
      <c r="I48" s="1">
        <v>434</v>
      </c>
      <c r="J48" s="2">
        <v>0.38</v>
      </c>
      <c r="K48">
        <f t="shared" si="0"/>
        <v>164.92000000000002</v>
      </c>
      <c r="L48">
        <f t="shared" si="1"/>
        <v>269.08</v>
      </c>
      <c r="M48" t="str">
        <f t="shared" si="2"/>
        <v>Sep-2016</v>
      </c>
    </row>
    <row r="49" spans="1:13" x14ac:dyDescent="0.3">
      <c r="A49" t="s">
        <v>173</v>
      </c>
      <c r="B49" s="1" t="s">
        <v>174</v>
      </c>
      <c r="C49" s="1" t="s">
        <v>175</v>
      </c>
      <c r="D49" s="1" t="s">
        <v>13</v>
      </c>
      <c r="E49" s="5">
        <v>43307</v>
      </c>
      <c r="F49" s="3" t="s">
        <v>14</v>
      </c>
      <c r="G49" s="1" t="s">
        <v>176</v>
      </c>
      <c r="H49" s="1">
        <v>80</v>
      </c>
      <c r="I49" s="1">
        <v>50</v>
      </c>
      <c r="J49" s="2">
        <v>0.375</v>
      </c>
      <c r="K49">
        <f t="shared" si="0"/>
        <v>18.75</v>
      </c>
      <c r="L49">
        <f t="shared" si="1"/>
        <v>31.25</v>
      </c>
      <c r="M49" t="str">
        <f t="shared" si="2"/>
        <v>Jul-2018</v>
      </c>
    </row>
    <row r="50" spans="1:13" x14ac:dyDescent="0.3">
      <c r="A50" t="s">
        <v>177</v>
      </c>
      <c r="B50" s="1" t="s">
        <v>17</v>
      </c>
      <c r="C50" s="1" t="s">
        <v>18</v>
      </c>
      <c r="D50" s="1" t="s">
        <v>19</v>
      </c>
      <c r="E50" s="5">
        <v>41689</v>
      </c>
      <c r="F50" s="3" t="s">
        <v>115</v>
      </c>
      <c r="G50" s="1" t="s">
        <v>178</v>
      </c>
      <c r="H50" s="1">
        <v>250</v>
      </c>
      <c r="I50" s="1">
        <v>238</v>
      </c>
      <c r="J50" s="2">
        <v>4.8000000000000001E-2</v>
      </c>
      <c r="K50">
        <f t="shared" si="0"/>
        <v>11.423999999999999</v>
      </c>
      <c r="L50">
        <f t="shared" si="1"/>
        <v>226.57599999999999</v>
      </c>
      <c r="M50" t="str">
        <f t="shared" si="2"/>
        <v>Feb-2014</v>
      </c>
    </row>
    <row r="51" spans="1:13" x14ac:dyDescent="0.3">
      <c r="A51" t="s">
        <v>179</v>
      </c>
      <c r="B51" s="1" t="s">
        <v>95</v>
      </c>
      <c r="C51" s="1" t="s">
        <v>96</v>
      </c>
      <c r="D51" s="1" t="s">
        <v>13</v>
      </c>
      <c r="E51" s="5">
        <v>43056</v>
      </c>
      <c r="F51" s="3" t="s">
        <v>30</v>
      </c>
      <c r="G51" s="1" t="s">
        <v>180</v>
      </c>
      <c r="H51" s="1">
        <v>150</v>
      </c>
      <c r="I51" s="1">
        <v>140</v>
      </c>
      <c r="J51" s="2">
        <v>6.6699999999999995E-2</v>
      </c>
      <c r="K51">
        <f t="shared" si="0"/>
        <v>9.3379999999999992</v>
      </c>
      <c r="L51">
        <f t="shared" si="1"/>
        <v>130.66200000000001</v>
      </c>
      <c r="M51" t="str">
        <f t="shared" si="2"/>
        <v>Nov-2017</v>
      </c>
    </row>
    <row r="52" spans="1:13" x14ac:dyDescent="0.3">
      <c r="A52" t="s">
        <v>181</v>
      </c>
      <c r="B52" s="1" t="s">
        <v>182</v>
      </c>
      <c r="C52" s="1" t="s">
        <v>108</v>
      </c>
      <c r="D52" s="1" t="s">
        <v>19</v>
      </c>
      <c r="E52" s="5">
        <v>42568</v>
      </c>
      <c r="F52" s="3" t="s">
        <v>61</v>
      </c>
      <c r="G52" s="1" t="s">
        <v>183</v>
      </c>
      <c r="H52" s="1">
        <v>1000</v>
      </c>
      <c r="I52" s="1">
        <v>740</v>
      </c>
      <c r="J52" s="2">
        <v>0.26</v>
      </c>
      <c r="K52">
        <f t="shared" si="0"/>
        <v>192.4</v>
      </c>
      <c r="L52">
        <f t="shared" si="1"/>
        <v>547.6</v>
      </c>
      <c r="M52" t="str">
        <f t="shared" si="2"/>
        <v>Jul-2016</v>
      </c>
    </row>
    <row r="53" spans="1:13" x14ac:dyDescent="0.3">
      <c r="A53" t="s">
        <v>184</v>
      </c>
      <c r="B53" s="1" t="s">
        <v>150</v>
      </c>
      <c r="C53" s="1" t="s">
        <v>151</v>
      </c>
      <c r="D53" s="1" t="s">
        <v>13</v>
      </c>
      <c r="E53" s="5">
        <v>42854</v>
      </c>
      <c r="F53" s="3" t="s">
        <v>41</v>
      </c>
      <c r="G53" s="1" t="s">
        <v>185</v>
      </c>
      <c r="H53" s="1">
        <v>30</v>
      </c>
      <c r="I53" s="1">
        <v>25</v>
      </c>
      <c r="J53" s="2">
        <v>0.16669999999999999</v>
      </c>
      <c r="K53">
        <f t="shared" si="0"/>
        <v>4.1674999999999995</v>
      </c>
      <c r="L53">
        <f t="shared" si="1"/>
        <v>20.8325</v>
      </c>
      <c r="M53" t="str">
        <f t="shared" si="2"/>
        <v>Apr-2017</v>
      </c>
    </row>
    <row r="54" spans="1:13" x14ac:dyDescent="0.3">
      <c r="A54" t="s">
        <v>186</v>
      </c>
      <c r="B54" s="1" t="s">
        <v>187</v>
      </c>
      <c r="C54" s="1" t="s">
        <v>188</v>
      </c>
      <c r="D54" s="1" t="s">
        <v>13</v>
      </c>
      <c r="E54" s="5">
        <v>41866</v>
      </c>
      <c r="F54" s="3" t="s">
        <v>25</v>
      </c>
      <c r="G54" s="1" t="s">
        <v>189</v>
      </c>
      <c r="H54" s="1">
        <v>700</v>
      </c>
      <c r="I54" s="1">
        <v>665</v>
      </c>
      <c r="J54" s="2">
        <v>0.05</v>
      </c>
      <c r="K54">
        <f t="shared" si="0"/>
        <v>33.25</v>
      </c>
      <c r="L54">
        <f t="shared" si="1"/>
        <v>631.75</v>
      </c>
      <c r="M54" t="str">
        <f t="shared" si="2"/>
        <v>Aug-2014</v>
      </c>
    </row>
    <row r="55" spans="1:13" x14ac:dyDescent="0.3">
      <c r="A55" t="s">
        <v>190</v>
      </c>
      <c r="B55" s="1" t="s">
        <v>103</v>
      </c>
      <c r="C55" s="1" t="s">
        <v>71</v>
      </c>
      <c r="D55" s="1" t="s">
        <v>35</v>
      </c>
      <c r="E55" s="5">
        <v>43173</v>
      </c>
      <c r="F55" s="3" t="s">
        <v>46</v>
      </c>
      <c r="G55" s="1" t="s">
        <v>191</v>
      </c>
      <c r="H55" s="1">
        <v>500</v>
      </c>
      <c r="I55" s="1">
        <v>425</v>
      </c>
      <c r="J55" s="2">
        <v>0.15</v>
      </c>
      <c r="K55">
        <f t="shared" si="0"/>
        <v>63.75</v>
      </c>
      <c r="L55">
        <f t="shared" si="1"/>
        <v>361.25</v>
      </c>
      <c r="M55" t="str">
        <f t="shared" si="2"/>
        <v>Mar-2018</v>
      </c>
    </row>
    <row r="56" spans="1:13" x14ac:dyDescent="0.3">
      <c r="A56" t="s">
        <v>192</v>
      </c>
      <c r="B56" s="1" t="s">
        <v>11</v>
      </c>
      <c r="C56" s="1" t="s">
        <v>12</v>
      </c>
      <c r="D56" s="1" t="s">
        <v>13</v>
      </c>
      <c r="E56" s="5">
        <v>42613</v>
      </c>
      <c r="F56" s="3" t="s">
        <v>14</v>
      </c>
      <c r="G56" s="1" t="s">
        <v>193</v>
      </c>
      <c r="H56" s="1">
        <v>80</v>
      </c>
      <c r="I56" s="1">
        <v>78</v>
      </c>
      <c r="J56" s="2">
        <v>2.5000000000000001E-2</v>
      </c>
      <c r="K56">
        <f t="shared" si="0"/>
        <v>1.9500000000000002</v>
      </c>
      <c r="L56">
        <f t="shared" si="1"/>
        <v>76.05</v>
      </c>
      <c r="M56" t="str">
        <f t="shared" si="2"/>
        <v>Aug-2016</v>
      </c>
    </row>
    <row r="57" spans="1:13" x14ac:dyDescent="0.3">
      <c r="A57" t="s">
        <v>194</v>
      </c>
      <c r="B57" s="1" t="s">
        <v>81</v>
      </c>
      <c r="C57" s="1" t="s">
        <v>82</v>
      </c>
      <c r="D57" s="1" t="s">
        <v>13</v>
      </c>
      <c r="E57" s="5">
        <v>42239</v>
      </c>
      <c r="F57" s="3" t="s">
        <v>122</v>
      </c>
      <c r="G57" s="1" t="s">
        <v>195</v>
      </c>
      <c r="H57" s="1">
        <v>50</v>
      </c>
      <c r="I57" s="1">
        <v>39</v>
      </c>
      <c r="J57" s="2">
        <v>0.22</v>
      </c>
      <c r="K57">
        <f t="shared" si="0"/>
        <v>8.58</v>
      </c>
      <c r="L57">
        <f t="shared" si="1"/>
        <v>30.42</v>
      </c>
      <c r="M57" t="str">
        <f t="shared" si="2"/>
        <v>Aug-2015</v>
      </c>
    </row>
    <row r="58" spans="1:13" x14ac:dyDescent="0.3">
      <c r="A58" t="s">
        <v>196</v>
      </c>
      <c r="B58" s="1" t="s">
        <v>33</v>
      </c>
      <c r="C58" s="1" t="s">
        <v>34</v>
      </c>
      <c r="D58" s="1" t="s">
        <v>35</v>
      </c>
      <c r="E58" s="5">
        <v>42240</v>
      </c>
      <c r="F58" s="3" t="s">
        <v>41</v>
      </c>
      <c r="G58" s="1" t="s">
        <v>197</v>
      </c>
      <c r="H58" s="1">
        <v>30</v>
      </c>
      <c r="I58" s="1">
        <v>27</v>
      </c>
      <c r="J58" s="2">
        <v>0.1</v>
      </c>
      <c r="K58">
        <f t="shared" si="0"/>
        <v>2.7</v>
      </c>
      <c r="L58">
        <f t="shared" si="1"/>
        <v>24.3</v>
      </c>
      <c r="M58" t="str">
        <f t="shared" si="2"/>
        <v>Aug-2015</v>
      </c>
    </row>
    <row r="59" spans="1:13" x14ac:dyDescent="0.3">
      <c r="A59" t="s">
        <v>198</v>
      </c>
      <c r="B59" s="1" t="s">
        <v>91</v>
      </c>
      <c r="C59" s="1" t="s">
        <v>92</v>
      </c>
      <c r="D59" s="1" t="s">
        <v>35</v>
      </c>
      <c r="E59" s="5">
        <v>43085</v>
      </c>
      <c r="F59" s="3" t="s">
        <v>104</v>
      </c>
      <c r="G59" s="1" t="s">
        <v>199</v>
      </c>
      <c r="H59" s="1">
        <v>70</v>
      </c>
      <c r="I59" s="1">
        <v>64</v>
      </c>
      <c r="J59" s="2">
        <v>8.5699999999999998E-2</v>
      </c>
      <c r="K59">
        <f t="shared" si="0"/>
        <v>5.4847999999999999</v>
      </c>
      <c r="L59">
        <f t="shared" si="1"/>
        <v>58.5152</v>
      </c>
      <c r="M59" t="str">
        <f t="shared" si="2"/>
        <v>Dec-2017</v>
      </c>
    </row>
    <row r="60" spans="1:13" x14ac:dyDescent="0.3">
      <c r="A60" t="s">
        <v>200</v>
      </c>
      <c r="B60" s="1" t="s">
        <v>44</v>
      </c>
      <c r="C60" s="1" t="s">
        <v>45</v>
      </c>
      <c r="D60" s="1" t="s">
        <v>24</v>
      </c>
      <c r="E60" s="5">
        <v>41968</v>
      </c>
      <c r="F60" s="3" t="s">
        <v>36</v>
      </c>
      <c r="G60" s="1" t="s">
        <v>201</v>
      </c>
      <c r="H60" s="1">
        <v>50</v>
      </c>
      <c r="I60" s="1">
        <v>36</v>
      </c>
      <c r="J60" s="2">
        <v>0.28000000000000003</v>
      </c>
      <c r="K60">
        <f t="shared" si="0"/>
        <v>10.080000000000002</v>
      </c>
      <c r="L60">
        <f t="shared" si="1"/>
        <v>25.919999999999998</v>
      </c>
      <c r="M60" t="str">
        <f t="shared" si="2"/>
        <v>Nov-2014</v>
      </c>
    </row>
    <row r="61" spans="1:13" x14ac:dyDescent="0.3">
      <c r="A61" t="s">
        <v>202</v>
      </c>
      <c r="B61" s="1" t="s">
        <v>182</v>
      </c>
      <c r="C61" s="1" t="s">
        <v>108</v>
      </c>
      <c r="D61" s="1" t="s">
        <v>19</v>
      </c>
      <c r="E61" s="5">
        <v>43175</v>
      </c>
      <c r="F61" s="3" t="s">
        <v>122</v>
      </c>
      <c r="G61" s="1" t="s">
        <v>203</v>
      </c>
      <c r="H61" s="1">
        <v>50</v>
      </c>
      <c r="I61" s="1">
        <v>43</v>
      </c>
      <c r="J61" s="2">
        <v>0.14000000000000001</v>
      </c>
      <c r="K61">
        <f t="shared" si="0"/>
        <v>6.0200000000000005</v>
      </c>
      <c r="L61">
        <f t="shared" si="1"/>
        <v>36.979999999999997</v>
      </c>
      <c r="M61" t="str">
        <f t="shared" si="2"/>
        <v>Mar-2018</v>
      </c>
    </row>
    <row r="62" spans="1:13" x14ac:dyDescent="0.3">
      <c r="A62" t="s">
        <v>204</v>
      </c>
      <c r="B62" s="1" t="s">
        <v>205</v>
      </c>
      <c r="C62" s="1" t="s">
        <v>206</v>
      </c>
      <c r="D62" s="1" t="s">
        <v>24</v>
      </c>
      <c r="E62" s="5">
        <v>42169</v>
      </c>
      <c r="F62" s="3" t="s">
        <v>25</v>
      </c>
      <c r="G62" s="1" t="s">
        <v>207</v>
      </c>
      <c r="H62" s="1">
        <v>700</v>
      </c>
      <c r="I62" s="1">
        <v>693</v>
      </c>
      <c r="J62" s="2">
        <v>0.01</v>
      </c>
      <c r="K62">
        <f t="shared" si="0"/>
        <v>6.93</v>
      </c>
      <c r="L62">
        <f t="shared" si="1"/>
        <v>686.07</v>
      </c>
      <c r="M62" t="str">
        <f t="shared" si="2"/>
        <v>Jun-2015</v>
      </c>
    </row>
    <row r="63" spans="1:13" x14ac:dyDescent="0.3">
      <c r="A63" t="s">
        <v>208</v>
      </c>
      <c r="B63" s="1" t="s">
        <v>170</v>
      </c>
      <c r="C63" s="1" t="s">
        <v>171</v>
      </c>
      <c r="D63" s="1" t="s">
        <v>13</v>
      </c>
      <c r="E63" s="5">
        <v>41835</v>
      </c>
      <c r="F63" s="3" t="s">
        <v>61</v>
      </c>
      <c r="G63" s="1" t="s">
        <v>172</v>
      </c>
      <c r="H63" s="1">
        <v>1000</v>
      </c>
      <c r="I63" s="1">
        <v>810</v>
      </c>
      <c r="J63" s="2">
        <v>0.19</v>
      </c>
      <c r="K63">
        <f t="shared" si="0"/>
        <v>153.9</v>
      </c>
      <c r="L63">
        <f t="shared" si="1"/>
        <v>656.1</v>
      </c>
      <c r="M63" t="str">
        <f t="shared" si="2"/>
        <v>Jul-2014</v>
      </c>
    </row>
    <row r="64" spans="1:13" x14ac:dyDescent="0.3">
      <c r="A64" t="s">
        <v>209</v>
      </c>
      <c r="B64" s="1" t="s">
        <v>127</v>
      </c>
      <c r="C64" s="1" t="s">
        <v>128</v>
      </c>
      <c r="D64" s="1" t="s">
        <v>13</v>
      </c>
      <c r="E64" s="5">
        <v>42482</v>
      </c>
      <c r="F64" s="3" t="s">
        <v>41</v>
      </c>
      <c r="G64" s="1" t="s">
        <v>210</v>
      </c>
      <c r="H64" s="1">
        <v>30</v>
      </c>
      <c r="I64" s="1">
        <v>24</v>
      </c>
      <c r="J64" s="2">
        <v>0.2</v>
      </c>
      <c r="K64">
        <f t="shared" si="0"/>
        <v>4.8000000000000007</v>
      </c>
      <c r="L64">
        <f t="shared" si="1"/>
        <v>19.2</v>
      </c>
      <c r="M64" t="str">
        <f t="shared" si="2"/>
        <v>Apr-2016</v>
      </c>
    </row>
    <row r="65" spans="1:13" x14ac:dyDescent="0.3">
      <c r="A65" t="s">
        <v>211</v>
      </c>
      <c r="B65" s="1" t="s">
        <v>131</v>
      </c>
      <c r="C65" s="1" t="s">
        <v>108</v>
      </c>
      <c r="D65" s="1" t="s">
        <v>19</v>
      </c>
      <c r="E65" s="5">
        <v>41963</v>
      </c>
      <c r="F65" s="3" t="s">
        <v>55</v>
      </c>
      <c r="G65" s="1" t="s">
        <v>212</v>
      </c>
      <c r="H65" s="1">
        <v>800</v>
      </c>
      <c r="I65" s="1">
        <v>648</v>
      </c>
      <c r="J65" s="2">
        <v>0.19</v>
      </c>
      <c r="K65">
        <f t="shared" si="0"/>
        <v>123.12</v>
      </c>
      <c r="L65">
        <f t="shared" si="1"/>
        <v>524.88</v>
      </c>
      <c r="M65" t="str">
        <f t="shared" si="2"/>
        <v>Nov-2014</v>
      </c>
    </row>
    <row r="66" spans="1:13" x14ac:dyDescent="0.3">
      <c r="A66" t="s">
        <v>213</v>
      </c>
      <c r="B66" s="1" t="s">
        <v>39</v>
      </c>
      <c r="C66" s="1" t="s">
        <v>40</v>
      </c>
      <c r="D66" s="1" t="s">
        <v>35</v>
      </c>
      <c r="E66" s="5">
        <v>42931</v>
      </c>
      <c r="F66" s="3" t="s">
        <v>61</v>
      </c>
      <c r="G66" s="1" t="s">
        <v>214</v>
      </c>
      <c r="H66" s="1">
        <v>1000</v>
      </c>
      <c r="I66" s="1">
        <v>990</v>
      </c>
      <c r="J66" s="2">
        <v>0.01</v>
      </c>
      <c r="K66">
        <f t="shared" si="0"/>
        <v>9.9</v>
      </c>
      <c r="L66">
        <f t="shared" si="1"/>
        <v>980.1</v>
      </c>
      <c r="M66" t="str">
        <f t="shared" si="2"/>
        <v>Jul-2017</v>
      </c>
    </row>
    <row r="67" spans="1:13" x14ac:dyDescent="0.3">
      <c r="A67" t="s">
        <v>215</v>
      </c>
      <c r="B67" s="1" t="s">
        <v>95</v>
      </c>
      <c r="C67" s="1" t="s">
        <v>96</v>
      </c>
      <c r="D67" s="1" t="s">
        <v>13</v>
      </c>
      <c r="E67" s="5">
        <v>42050</v>
      </c>
      <c r="F67" s="3" t="s">
        <v>55</v>
      </c>
      <c r="G67" s="1" t="s">
        <v>216</v>
      </c>
      <c r="H67" s="1">
        <v>800</v>
      </c>
      <c r="I67" s="1">
        <v>720</v>
      </c>
      <c r="J67" s="2">
        <v>0.1</v>
      </c>
      <c r="K67">
        <f t="shared" si="0"/>
        <v>72</v>
      </c>
      <c r="L67">
        <f t="shared" si="1"/>
        <v>648</v>
      </c>
      <c r="M67" t="str">
        <f t="shared" si="2"/>
        <v>Feb-2015</v>
      </c>
    </row>
    <row r="68" spans="1:13" x14ac:dyDescent="0.3">
      <c r="A68" t="s">
        <v>217</v>
      </c>
      <c r="B68" s="1" t="s">
        <v>39</v>
      </c>
      <c r="C68" s="1" t="s">
        <v>40</v>
      </c>
      <c r="D68" s="1" t="s">
        <v>35</v>
      </c>
      <c r="E68" s="5">
        <v>43066</v>
      </c>
      <c r="F68" s="3" t="s">
        <v>36</v>
      </c>
      <c r="G68" s="1" t="s">
        <v>42</v>
      </c>
      <c r="H68" s="1">
        <v>50</v>
      </c>
      <c r="I68" s="1">
        <v>39</v>
      </c>
      <c r="J68" s="2">
        <v>0.22</v>
      </c>
      <c r="K68">
        <f t="shared" ref="K68:K131" si="3">I68*J68</f>
        <v>8.58</v>
      </c>
      <c r="L68">
        <f t="shared" ref="L68:L131" si="4">I68-K68</f>
        <v>30.42</v>
      </c>
      <c r="M68" t="str">
        <f t="shared" ref="M68:M131" si="5">TEXT(E68, "mmm-yyyy")</f>
        <v>Nov-2017</v>
      </c>
    </row>
    <row r="69" spans="1:13" x14ac:dyDescent="0.3">
      <c r="A69" t="s">
        <v>218</v>
      </c>
      <c r="B69" s="1" t="s">
        <v>174</v>
      </c>
      <c r="C69" s="1" t="s">
        <v>175</v>
      </c>
      <c r="D69" s="1" t="s">
        <v>13</v>
      </c>
      <c r="E69" s="5">
        <v>42916</v>
      </c>
      <c r="F69" s="3" t="s">
        <v>30</v>
      </c>
      <c r="G69" s="1" t="s">
        <v>219</v>
      </c>
      <c r="H69" s="1">
        <v>150</v>
      </c>
      <c r="I69" s="1">
        <v>144</v>
      </c>
      <c r="J69" s="2">
        <v>0.04</v>
      </c>
      <c r="K69">
        <f t="shared" si="3"/>
        <v>5.76</v>
      </c>
      <c r="L69">
        <f t="shared" si="4"/>
        <v>138.24</v>
      </c>
      <c r="M69" t="str">
        <f t="shared" si="5"/>
        <v>Jun-2017</v>
      </c>
    </row>
    <row r="70" spans="1:13" x14ac:dyDescent="0.3">
      <c r="A70" t="s">
        <v>220</v>
      </c>
      <c r="B70" s="1" t="s">
        <v>221</v>
      </c>
      <c r="C70" s="1" t="s">
        <v>40</v>
      </c>
      <c r="D70" s="1" t="s">
        <v>35</v>
      </c>
      <c r="E70" s="5">
        <v>41941</v>
      </c>
      <c r="F70" s="3" t="s">
        <v>25</v>
      </c>
      <c r="G70" s="1" t="s">
        <v>222</v>
      </c>
      <c r="H70" s="1">
        <v>700</v>
      </c>
      <c r="I70" s="1">
        <v>693</v>
      </c>
      <c r="J70" s="2">
        <v>0.01</v>
      </c>
      <c r="K70">
        <f t="shared" si="3"/>
        <v>6.93</v>
      </c>
      <c r="L70">
        <f t="shared" si="4"/>
        <v>686.07</v>
      </c>
      <c r="M70" t="str">
        <f t="shared" si="5"/>
        <v>Oct-2014</v>
      </c>
    </row>
    <row r="71" spans="1:13" x14ac:dyDescent="0.3">
      <c r="A71" t="s">
        <v>223</v>
      </c>
      <c r="B71" s="1" t="s">
        <v>224</v>
      </c>
      <c r="C71" s="1" t="s">
        <v>50</v>
      </c>
      <c r="D71" s="1" t="s">
        <v>24</v>
      </c>
      <c r="E71" s="5">
        <v>43217</v>
      </c>
      <c r="F71" s="3" t="s">
        <v>36</v>
      </c>
      <c r="G71" s="1" t="s">
        <v>225</v>
      </c>
      <c r="H71" s="1">
        <v>50</v>
      </c>
      <c r="I71" s="1">
        <v>45</v>
      </c>
      <c r="J71" s="2">
        <v>0.1</v>
      </c>
      <c r="K71">
        <f t="shared" si="3"/>
        <v>4.5</v>
      </c>
      <c r="L71">
        <f t="shared" si="4"/>
        <v>40.5</v>
      </c>
      <c r="M71" t="str">
        <f t="shared" si="5"/>
        <v>Apr-2018</v>
      </c>
    </row>
    <row r="72" spans="1:13" x14ac:dyDescent="0.3">
      <c r="A72" t="s">
        <v>226</v>
      </c>
      <c r="B72" s="1" t="s">
        <v>227</v>
      </c>
      <c r="C72" s="1" t="s">
        <v>228</v>
      </c>
      <c r="D72" s="1" t="s">
        <v>24</v>
      </c>
      <c r="E72" s="5">
        <v>43207</v>
      </c>
      <c r="F72" s="3" t="s">
        <v>61</v>
      </c>
      <c r="G72" s="1" t="s">
        <v>229</v>
      </c>
      <c r="H72" s="1">
        <v>1000</v>
      </c>
      <c r="I72" s="1">
        <v>570</v>
      </c>
      <c r="J72" s="2">
        <v>0.43</v>
      </c>
      <c r="K72">
        <f t="shared" si="3"/>
        <v>245.1</v>
      </c>
      <c r="L72">
        <f t="shared" si="4"/>
        <v>324.89999999999998</v>
      </c>
      <c r="M72" t="str">
        <f t="shared" si="5"/>
        <v>Apr-2018</v>
      </c>
    </row>
    <row r="73" spans="1:13" x14ac:dyDescent="0.3">
      <c r="A73" t="s">
        <v>230</v>
      </c>
      <c r="B73" s="1" t="s">
        <v>221</v>
      </c>
      <c r="C73" s="1" t="s">
        <v>40</v>
      </c>
      <c r="D73" s="1" t="s">
        <v>35</v>
      </c>
      <c r="E73" s="5">
        <v>41833</v>
      </c>
      <c r="F73" s="3" t="s">
        <v>122</v>
      </c>
      <c r="G73" s="1" t="s">
        <v>231</v>
      </c>
      <c r="H73" s="1">
        <v>50</v>
      </c>
      <c r="I73" s="1">
        <v>40</v>
      </c>
      <c r="J73" s="2">
        <v>0.2</v>
      </c>
      <c r="K73">
        <f t="shared" si="3"/>
        <v>8</v>
      </c>
      <c r="L73">
        <f t="shared" si="4"/>
        <v>32</v>
      </c>
      <c r="M73" t="str">
        <f t="shared" si="5"/>
        <v>Jul-2014</v>
      </c>
    </row>
    <row r="74" spans="1:13" x14ac:dyDescent="0.3">
      <c r="A74" t="s">
        <v>232</v>
      </c>
      <c r="B74" s="1" t="s">
        <v>127</v>
      </c>
      <c r="C74" s="1" t="s">
        <v>128</v>
      </c>
      <c r="D74" s="1" t="s">
        <v>13</v>
      </c>
      <c r="E74" s="5">
        <v>42446</v>
      </c>
      <c r="F74" s="3" t="s">
        <v>55</v>
      </c>
      <c r="G74" s="1" t="s">
        <v>233</v>
      </c>
      <c r="H74" s="1">
        <v>800</v>
      </c>
      <c r="I74" s="1">
        <v>608</v>
      </c>
      <c r="J74" s="2">
        <v>0.24</v>
      </c>
      <c r="K74">
        <f t="shared" si="3"/>
        <v>145.91999999999999</v>
      </c>
      <c r="L74">
        <f t="shared" si="4"/>
        <v>462.08000000000004</v>
      </c>
      <c r="M74" t="str">
        <f t="shared" si="5"/>
        <v>Mar-2016</v>
      </c>
    </row>
    <row r="75" spans="1:13" x14ac:dyDescent="0.3">
      <c r="A75" t="s">
        <v>234</v>
      </c>
      <c r="B75" s="1" t="s">
        <v>114</v>
      </c>
      <c r="C75" s="1" t="s">
        <v>54</v>
      </c>
      <c r="D75" s="1" t="s">
        <v>13</v>
      </c>
      <c r="E75" s="5">
        <v>43305</v>
      </c>
      <c r="F75" s="3" t="s">
        <v>14</v>
      </c>
      <c r="G75" s="1" t="s">
        <v>235</v>
      </c>
      <c r="H75" s="1">
        <v>80</v>
      </c>
      <c r="I75" s="1">
        <v>76</v>
      </c>
      <c r="J75" s="2">
        <v>0.05</v>
      </c>
      <c r="K75">
        <f t="shared" si="3"/>
        <v>3.8000000000000003</v>
      </c>
      <c r="L75">
        <f t="shared" si="4"/>
        <v>72.2</v>
      </c>
      <c r="M75" t="str">
        <f t="shared" si="5"/>
        <v>Jul-2018</v>
      </c>
    </row>
    <row r="76" spans="1:13" x14ac:dyDescent="0.3">
      <c r="A76" t="s">
        <v>236</v>
      </c>
      <c r="B76" s="1" t="s">
        <v>187</v>
      </c>
      <c r="C76" s="1" t="s">
        <v>188</v>
      </c>
      <c r="D76" s="1" t="s">
        <v>13</v>
      </c>
      <c r="E76" s="5">
        <v>42326</v>
      </c>
      <c r="F76" s="3" t="s">
        <v>25</v>
      </c>
      <c r="G76" s="1" t="s">
        <v>237</v>
      </c>
      <c r="H76" s="1">
        <v>700</v>
      </c>
      <c r="I76" s="1">
        <v>679</v>
      </c>
      <c r="J76" s="2">
        <v>0.03</v>
      </c>
      <c r="K76">
        <f t="shared" si="3"/>
        <v>20.37</v>
      </c>
      <c r="L76">
        <f t="shared" si="4"/>
        <v>658.63</v>
      </c>
      <c r="M76" t="str">
        <f t="shared" si="5"/>
        <v>Nov-2015</v>
      </c>
    </row>
    <row r="77" spans="1:13" x14ac:dyDescent="0.3">
      <c r="A77" t="s">
        <v>238</v>
      </c>
      <c r="B77" s="1" t="s">
        <v>107</v>
      </c>
      <c r="C77" s="1" t="s">
        <v>108</v>
      </c>
      <c r="D77" s="1" t="s">
        <v>19</v>
      </c>
      <c r="E77" s="5">
        <v>41904</v>
      </c>
      <c r="F77" s="3" t="s">
        <v>14</v>
      </c>
      <c r="G77" s="1" t="s">
        <v>239</v>
      </c>
      <c r="H77" s="1">
        <v>80</v>
      </c>
      <c r="I77" s="1">
        <v>58</v>
      </c>
      <c r="J77" s="2">
        <v>0.27500000000000002</v>
      </c>
      <c r="K77">
        <f t="shared" si="3"/>
        <v>15.950000000000001</v>
      </c>
      <c r="L77">
        <f t="shared" si="4"/>
        <v>42.05</v>
      </c>
      <c r="M77" t="str">
        <f t="shared" si="5"/>
        <v>Sep-2014</v>
      </c>
    </row>
    <row r="78" spans="1:13" x14ac:dyDescent="0.3">
      <c r="A78" t="s">
        <v>240</v>
      </c>
      <c r="B78" s="1" t="s">
        <v>241</v>
      </c>
      <c r="C78" s="1" t="s">
        <v>242</v>
      </c>
      <c r="D78" s="1" t="s">
        <v>13</v>
      </c>
      <c r="E78" s="5">
        <v>42765</v>
      </c>
      <c r="F78" s="3" t="s">
        <v>41</v>
      </c>
      <c r="G78" s="1" t="s">
        <v>243</v>
      </c>
      <c r="H78" s="1">
        <v>30</v>
      </c>
      <c r="I78" s="1">
        <v>26</v>
      </c>
      <c r="J78" s="2">
        <v>0.1333</v>
      </c>
      <c r="K78">
        <f t="shared" si="3"/>
        <v>3.4658000000000002</v>
      </c>
      <c r="L78">
        <f t="shared" si="4"/>
        <v>22.534199999999998</v>
      </c>
      <c r="M78" t="str">
        <f t="shared" si="5"/>
        <v>Jan-2017</v>
      </c>
    </row>
    <row r="79" spans="1:13" x14ac:dyDescent="0.3">
      <c r="A79" t="s">
        <v>244</v>
      </c>
      <c r="B79" s="1" t="s">
        <v>221</v>
      </c>
      <c r="C79" s="1" t="s">
        <v>40</v>
      </c>
      <c r="D79" s="1" t="s">
        <v>35</v>
      </c>
      <c r="E79" s="5">
        <v>42294</v>
      </c>
      <c r="F79" s="3" t="s">
        <v>30</v>
      </c>
      <c r="G79" s="1" t="s">
        <v>245</v>
      </c>
      <c r="H79" s="1">
        <v>150</v>
      </c>
      <c r="I79" s="1">
        <v>140</v>
      </c>
      <c r="J79" s="2">
        <v>6.6699999999999995E-2</v>
      </c>
      <c r="K79">
        <f t="shared" si="3"/>
        <v>9.3379999999999992</v>
      </c>
      <c r="L79">
        <f t="shared" si="4"/>
        <v>130.66200000000001</v>
      </c>
      <c r="M79" t="str">
        <f t="shared" si="5"/>
        <v>Oct-2015</v>
      </c>
    </row>
    <row r="80" spans="1:13" x14ac:dyDescent="0.3">
      <c r="A80" t="s">
        <v>246</v>
      </c>
      <c r="B80" s="1" t="s">
        <v>103</v>
      </c>
      <c r="C80" s="1" t="s">
        <v>71</v>
      </c>
      <c r="D80" s="1" t="s">
        <v>35</v>
      </c>
      <c r="E80" s="5">
        <v>43024</v>
      </c>
      <c r="F80" s="3" t="s">
        <v>72</v>
      </c>
      <c r="G80" s="1" t="s">
        <v>247</v>
      </c>
      <c r="H80" s="1">
        <v>500</v>
      </c>
      <c r="I80" s="1">
        <v>490</v>
      </c>
      <c r="J80" s="2">
        <v>0.02</v>
      </c>
      <c r="K80">
        <f t="shared" si="3"/>
        <v>9.8000000000000007</v>
      </c>
      <c r="L80">
        <f t="shared" si="4"/>
        <v>480.2</v>
      </c>
      <c r="M80" t="str">
        <f t="shared" si="5"/>
        <v>Oct-2017</v>
      </c>
    </row>
    <row r="81" spans="1:13" x14ac:dyDescent="0.3">
      <c r="A81" t="s">
        <v>248</v>
      </c>
      <c r="B81" s="1" t="s">
        <v>28</v>
      </c>
      <c r="C81" s="1" t="s">
        <v>29</v>
      </c>
      <c r="D81" s="1" t="s">
        <v>13</v>
      </c>
      <c r="E81" s="5">
        <v>41841</v>
      </c>
      <c r="F81" s="3" t="s">
        <v>115</v>
      </c>
      <c r="G81" s="1" t="s">
        <v>249</v>
      </c>
      <c r="H81" s="1">
        <v>250</v>
      </c>
      <c r="I81" s="1">
        <v>155</v>
      </c>
      <c r="J81" s="2">
        <v>0.38</v>
      </c>
      <c r="K81">
        <f t="shared" si="3"/>
        <v>58.9</v>
      </c>
      <c r="L81">
        <f t="shared" si="4"/>
        <v>96.1</v>
      </c>
      <c r="M81" t="str">
        <f t="shared" si="5"/>
        <v>Jul-2014</v>
      </c>
    </row>
    <row r="82" spans="1:13" x14ac:dyDescent="0.3">
      <c r="A82" t="s">
        <v>250</v>
      </c>
      <c r="B82" s="1" t="s">
        <v>205</v>
      </c>
      <c r="C82" s="1" t="s">
        <v>206</v>
      </c>
      <c r="D82" s="1" t="s">
        <v>24</v>
      </c>
      <c r="E82" s="5">
        <v>42324</v>
      </c>
      <c r="F82" s="3" t="s">
        <v>104</v>
      </c>
      <c r="G82" s="1" t="s">
        <v>251</v>
      </c>
      <c r="H82" s="1">
        <v>70</v>
      </c>
      <c r="I82" s="1">
        <v>48</v>
      </c>
      <c r="J82" s="2">
        <v>0.31430000000000002</v>
      </c>
      <c r="K82">
        <f t="shared" si="3"/>
        <v>15.086400000000001</v>
      </c>
      <c r="L82">
        <f t="shared" si="4"/>
        <v>32.913600000000002</v>
      </c>
      <c r="M82" t="str">
        <f t="shared" si="5"/>
        <v>Nov-2015</v>
      </c>
    </row>
    <row r="83" spans="1:13" x14ac:dyDescent="0.3">
      <c r="A83" t="s">
        <v>252</v>
      </c>
      <c r="B83" s="1" t="s">
        <v>44</v>
      </c>
      <c r="C83" s="1" t="s">
        <v>45</v>
      </c>
      <c r="D83" s="1" t="s">
        <v>24</v>
      </c>
      <c r="E83" s="5">
        <v>42266</v>
      </c>
      <c r="F83" s="3" t="s">
        <v>104</v>
      </c>
      <c r="G83" s="1" t="s">
        <v>253</v>
      </c>
      <c r="H83" s="1">
        <v>70</v>
      </c>
      <c r="I83" s="1">
        <v>69</v>
      </c>
      <c r="J83" s="2">
        <v>1.43E-2</v>
      </c>
      <c r="K83">
        <f t="shared" si="3"/>
        <v>0.98670000000000002</v>
      </c>
      <c r="L83">
        <f t="shared" si="4"/>
        <v>68.013300000000001</v>
      </c>
      <c r="M83" t="str">
        <f t="shared" si="5"/>
        <v>Sep-2015</v>
      </c>
    </row>
    <row r="84" spans="1:13" x14ac:dyDescent="0.3">
      <c r="A84" t="s">
        <v>254</v>
      </c>
      <c r="B84" s="1" t="s">
        <v>255</v>
      </c>
      <c r="C84" s="1" t="s">
        <v>256</v>
      </c>
      <c r="D84" s="1" t="s">
        <v>13</v>
      </c>
      <c r="E84" s="5">
        <v>41746</v>
      </c>
      <c r="F84" s="3" t="s">
        <v>36</v>
      </c>
      <c r="G84" s="1" t="s">
        <v>257</v>
      </c>
      <c r="H84" s="1">
        <v>50</v>
      </c>
      <c r="I84" s="1">
        <v>47</v>
      </c>
      <c r="J84" s="2">
        <v>0.06</v>
      </c>
      <c r="K84">
        <f t="shared" si="3"/>
        <v>2.82</v>
      </c>
      <c r="L84">
        <f t="shared" si="4"/>
        <v>44.18</v>
      </c>
      <c r="M84" t="str">
        <f t="shared" si="5"/>
        <v>Apr-2014</v>
      </c>
    </row>
    <row r="85" spans="1:13" x14ac:dyDescent="0.3">
      <c r="A85" t="s">
        <v>258</v>
      </c>
      <c r="B85" s="1" t="s">
        <v>22</v>
      </c>
      <c r="C85" s="1" t="s">
        <v>23</v>
      </c>
      <c r="D85" s="1" t="s">
        <v>24</v>
      </c>
      <c r="E85" s="5">
        <v>42444</v>
      </c>
      <c r="F85" s="3" t="s">
        <v>115</v>
      </c>
      <c r="G85" s="1" t="s">
        <v>26</v>
      </c>
      <c r="H85" s="1">
        <v>250</v>
      </c>
      <c r="I85" s="1">
        <v>195</v>
      </c>
      <c r="J85" s="2">
        <v>0.22</v>
      </c>
      <c r="K85">
        <f t="shared" si="3"/>
        <v>42.9</v>
      </c>
      <c r="L85">
        <f t="shared" si="4"/>
        <v>152.1</v>
      </c>
      <c r="M85" t="str">
        <f t="shared" si="5"/>
        <v>Mar-2016</v>
      </c>
    </row>
    <row r="86" spans="1:13" x14ac:dyDescent="0.3">
      <c r="A86" t="s">
        <v>259</v>
      </c>
      <c r="B86" s="1" t="s">
        <v>221</v>
      </c>
      <c r="C86" s="1" t="s">
        <v>40</v>
      </c>
      <c r="D86" s="1" t="s">
        <v>35</v>
      </c>
      <c r="E86" s="5">
        <v>43119</v>
      </c>
      <c r="F86" s="3" t="s">
        <v>55</v>
      </c>
      <c r="G86" s="1" t="s">
        <v>260</v>
      </c>
      <c r="H86" s="1">
        <v>800</v>
      </c>
      <c r="I86" s="1">
        <v>512</v>
      </c>
      <c r="J86" s="2">
        <v>0.36</v>
      </c>
      <c r="K86">
        <f t="shared" si="3"/>
        <v>184.32</v>
      </c>
      <c r="L86">
        <f t="shared" si="4"/>
        <v>327.68</v>
      </c>
      <c r="M86" t="str">
        <f t="shared" si="5"/>
        <v>Jan-2018</v>
      </c>
    </row>
    <row r="87" spans="1:13" x14ac:dyDescent="0.3">
      <c r="A87" t="s">
        <v>261</v>
      </c>
      <c r="B87" s="1" t="s">
        <v>221</v>
      </c>
      <c r="C87" s="1" t="s">
        <v>40</v>
      </c>
      <c r="D87" s="1" t="s">
        <v>35</v>
      </c>
      <c r="E87" s="5">
        <v>43218</v>
      </c>
      <c r="F87" s="3" t="s">
        <v>14</v>
      </c>
      <c r="G87" s="1" t="s">
        <v>262</v>
      </c>
      <c r="H87" s="1">
        <v>80</v>
      </c>
      <c r="I87" s="1">
        <v>79</v>
      </c>
      <c r="J87" s="2">
        <v>1.2500000000000001E-2</v>
      </c>
      <c r="K87">
        <f t="shared" si="3"/>
        <v>0.98750000000000004</v>
      </c>
      <c r="L87">
        <f t="shared" si="4"/>
        <v>78.012500000000003</v>
      </c>
      <c r="M87" t="str">
        <f t="shared" si="5"/>
        <v>Apr-2018</v>
      </c>
    </row>
    <row r="88" spans="1:13" x14ac:dyDescent="0.3">
      <c r="A88" t="s">
        <v>263</v>
      </c>
      <c r="B88" s="1" t="s">
        <v>264</v>
      </c>
      <c r="C88" s="1" t="s">
        <v>265</v>
      </c>
      <c r="D88" s="1" t="s">
        <v>13</v>
      </c>
      <c r="E88" s="5">
        <v>41711</v>
      </c>
      <c r="F88" s="3" t="s">
        <v>104</v>
      </c>
      <c r="G88" s="1" t="s">
        <v>266</v>
      </c>
      <c r="H88" s="1">
        <v>70</v>
      </c>
      <c r="I88" s="1">
        <v>50</v>
      </c>
      <c r="J88" s="2">
        <v>0.28570000000000001</v>
      </c>
      <c r="K88">
        <f t="shared" si="3"/>
        <v>14.285</v>
      </c>
      <c r="L88">
        <f t="shared" si="4"/>
        <v>35.715000000000003</v>
      </c>
      <c r="M88" t="str">
        <f t="shared" si="5"/>
        <v>Mar-2014</v>
      </c>
    </row>
    <row r="89" spans="1:13" x14ac:dyDescent="0.3">
      <c r="A89" t="s">
        <v>267</v>
      </c>
      <c r="B89" s="1" t="s">
        <v>131</v>
      </c>
      <c r="C89" s="1" t="s">
        <v>108</v>
      </c>
      <c r="D89" s="1" t="s">
        <v>19</v>
      </c>
      <c r="E89" s="5">
        <v>42244</v>
      </c>
      <c r="F89" s="3" t="s">
        <v>30</v>
      </c>
      <c r="G89" s="1" t="s">
        <v>268</v>
      </c>
      <c r="H89" s="1">
        <v>150</v>
      </c>
      <c r="I89" s="1">
        <v>150</v>
      </c>
      <c r="J89" s="2">
        <v>0</v>
      </c>
      <c r="K89">
        <f t="shared" si="3"/>
        <v>0</v>
      </c>
      <c r="L89">
        <f t="shared" si="4"/>
        <v>150</v>
      </c>
      <c r="M89" t="str">
        <f t="shared" si="5"/>
        <v>Aug-2015</v>
      </c>
    </row>
    <row r="90" spans="1:13" x14ac:dyDescent="0.3">
      <c r="A90" t="s">
        <v>269</v>
      </c>
      <c r="B90" s="1" t="s">
        <v>270</v>
      </c>
      <c r="C90" s="1" t="s">
        <v>271</v>
      </c>
      <c r="D90" s="1" t="s">
        <v>35</v>
      </c>
      <c r="E90" s="5">
        <v>42422</v>
      </c>
      <c r="F90" s="3" t="s">
        <v>104</v>
      </c>
      <c r="G90" s="1" t="s">
        <v>272</v>
      </c>
      <c r="H90" s="1">
        <v>70</v>
      </c>
      <c r="I90" s="1">
        <v>64</v>
      </c>
      <c r="J90" s="2">
        <v>8.5699999999999998E-2</v>
      </c>
      <c r="K90">
        <f t="shared" si="3"/>
        <v>5.4847999999999999</v>
      </c>
      <c r="L90">
        <f t="shared" si="4"/>
        <v>58.5152</v>
      </c>
      <c r="M90" t="str">
        <f t="shared" si="5"/>
        <v>Feb-2016</v>
      </c>
    </row>
    <row r="91" spans="1:13" x14ac:dyDescent="0.3">
      <c r="A91" t="s">
        <v>273</v>
      </c>
      <c r="B91" s="1" t="s">
        <v>170</v>
      </c>
      <c r="C91" s="1" t="s">
        <v>171</v>
      </c>
      <c r="D91" s="1" t="s">
        <v>13</v>
      </c>
      <c r="E91" s="5">
        <v>42673</v>
      </c>
      <c r="F91" s="3" t="s">
        <v>36</v>
      </c>
      <c r="G91" s="1" t="s">
        <v>274</v>
      </c>
      <c r="H91" s="1">
        <v>50</v>
      </c>
      <c r="I91" s="1">
        <v>46</v>
      </c>
      <c r="J91" s="2">
        <v>0.08</v>
      </c>
      <c r="K91">
        <f t="shared" si="3"/>
        <v>3.68</v>
      </c>
      <c r="L91">
        <f t="shared" si="4"/>
        <v>42.32</v>
      </c>
      <c r="M91" t="str">
        <f t="shared" si="5"/>
        <v>Oct-2016</v>
      </c>
    </row>
    <row r="92" spans="1:13" x14ac:dyDescent="0.3">
      <c r="A92" t="s">
        <v>275</v>
      </c>
      <c r="B92" s="1" t="s">
        <v>11</v>
      </c>
      <c r="C92" s="1" t="s">
        <v>12</v>
      </c>
      <c r="D92" s="1" t="s">
        <v>13</v>
      </c>
      <c r="E92" s="5">
        <v>42479</v>
      </c>
      <c r="F92" s="3" t="s">
        <v>61</v>
      </c>
      <c r="G92" s="1" t="s">
        <v>276</v>
      </c>
      <c r="H92" s="1">
        <v>1000</v>
      </c>
      <c r="I92" s="1">
        <v>880</v>
      </c>
      <c r="J92" s="2">
        <v>0.12</v>
      </c>
      <c r="K92">
        <f t="shared" si="3"/>
        <v>105.6</v>
      </c>
      <c r="L92">
        <f t="shared" si="4"/>
        <v>774.4</v>
      </c>
      <c r="M92" t="str">
        <f t="shared" si="5"/>
        <v>Apr-2016</v>
      </c>
    </row>
    <row r="93" spans="1:13" x14ac:dyDescent="0.3">
      <c r="A93" t="s">
        <v>277</v>
      </c>
      <c r="B93" s="1" t="s">
        <v>227</v>
      </c>
      <c r="C93" s="1" t="s">
        <v>228</v>
      </c>
      <c r="D93" s="1" t="s">
        <v>24</v>
      </c>
      <c r="E93" s="5">
        <v>42149</v>
      </c>
      <c r="F93" s="3" t="s">
        <v>55</v>
      </c>
      <c r="G93" s="1" t="s">
        <v>278</v>
      </c>
      <c r="H93" s="1">
        <v>800</v>
      </c>
      <c r="I93" s="1">
        <v>712</v>
      </c>
      <c r="J93" s="2">
        <v>0.11</v>
      </c>
      <c r="K93">
        <f t="shared" si="3"/>
        <v>78.320000000000007</v>
      </c>
      <c r="L93">
        <f t="shared" si="4"/>
        <v>633.67999999999995</v>
      </c>
      <c r="M93" t="str">
        <f t="shared" si="5"/>
        <v>May-2015</v>
      </c>
    </row>
    <row r="94" spans="1:13" x14ac:dyDescent="0.3">
      <c r="A94" t="s">
        <v>279</v>
      </c>
      <c r="B94" s="1" t="s">
        <v>64</v>
      </c>
      <c r="C94" s="1" t="s">
        <v>65</v>
      </c>
      <c r="D94" s="1" t="s">
        <v>35</v>
      </c>
      <c r="E94" s="5">
        <v>43094</v>
      </c>
      <c r="F94" s="3" t="s">
        <v>61</v>
      </c>
      <c r="G94" s="1" t="s">
        <v>280</v>
      </c>
      <c r="H94" s="1">
        <v>1000</v>
      </c>
      <c r="I94" s="1">
        <v>740</v>
      </c>
      <c r="J94" s="2">
        <v>0.26</v>
      </c>
      <c r="K94">
        <f t="shared" si="3"/>
        <v>192.4</v>
      </c>
      <c r="L94">
        <f t="shared" si="4"/>
        <v>547.6</v>
      </c>
      <c r="M94" t="str">
        <f t="shared" si="5"/>
        <v>Dec-2017</v>
      </c>
    </row>
    <row r="95" spans="1:13" x14ac:dyDescent="0.3">
      <c r="A95" t="s">
        <v>281</v>
      </c>
      <c r="B95" s="1" t="s">
        <v>81</v>
      </c>
      <c r="C95" s="1" t="s">
        <v>82</v>
      </c>
      <c r="D95" s="1" t="s">
        <v>13</v>
      </c>
      <c r="E95" s="5">
        <v>42397</v>
      </c>
      <c r="F95" s="3" t="s">
        <v>122</v>
      </c>
      <c r="G95" s="1" t="s">
        <v>282</v>
      </c>
      <c r="H95" s="1">
        <v>50</v>
      </c>
      <c r="I95" s="1">
        <v>35</v>
      </c>
      <c r="J95" s="2">
        <v>0.3</v>
      </c>
      <c r="K95">
        <f t="shared" si="3"/>
        <v>10.5</v>
      </c>
      <c r="L95">
        <f t="shared" si="4"/>
        <v>24.5</v>
      </c>
      <c r="M95" t="str">
        <f t="shared" si="5"/>
        <v>Jan-2016</v>
      </c>
    </row>
    <row r="96" spans="1:13" x14ac:dyDescent="0.3">
      <c r="A96" t="s">
        <v>283</v>
      </c>
      <c r="B96" s="1" t="s">
        <v>95</v>
      </c>
      <c r="C96" s="1" t="s">
        <v>96</v>
      </c>
      <c r="D96" s="1" t="s">
        <v>13</v>
      </c>
      <c r="E96" s="5">
        <v>42855</v>
      </c>
      <c r="F96" s="3" t="s">
        <v>55</v>
      </c>
      <c r="G96" s="1" t="s">
        <v>97</v>
      </c>
      <c r="H96" s="1">
        <v>800</v>
      </c>
      <c r="I96" s="1">
        <v>704</v>
      </c>
      <c r="J96" s="2">
        <v>0.12</v>
      </c>
      <c r="K96">
        <f t="shared" si="3"/>
        <v>84.47999999999999</v>
      </c>
      <c r="L96">
        <f t="shared" si="4"/>
        <v>619.52</v>
      </c>
      <c r="M96" t="str">
        <f t="shared" si="5"/>
        <v>Apr-2017</v>
      </c>
    </row>
    <row r="97" spans="1:13" x14ac:dyDescent="0.3">
      <c r="A97" t="s">
        <v>284</v>
      </c>
      <c r="B97" s="1" t="s">
        <v>91</v>
      </c>
      <c r="C97" s="1" t="s">
        <v>92</v>
      </c>
      <c r="D97" s="1" t="s">
        <v>35</v>
      </c>
      <c r="E97" s="5">
        <v>42755</v>
      </c>
      <c r="F97" s="3" t="s">
        <v>61</v>
      </c>
      <c r="G97" s="1" t="s">
        <v>285</v>
      </c>
      <c r="H97" s="1">
        <v>1000</v>
      </c>
      <c r="I97" s="1">
        <v>930</v>
      </c>
      <c r="J97" s="2">
        <v>7.0000000000000007E-2</v>
      </c>
      <c r="K97">
        <f t="shared" si="3"/>
        <v>65.100000000000009</v>
      </c>
      <c r="L97">
        <f t="shared" si="4"/>
        <v>864.9</v>
      </c>
      <c r="M97" t="str">
        <f t="shared" si="5"/>
        <v>Jan-2017</v>
      </c>
    </row>
    <row r="98" spans="1:13" x14ac:dyDescent="0.3">
      <c r="A98" t="s">
        <v>286</v>
      </c>
      <c r="B98" s="1" t="s">
        <v>241</v>
      </c>
      <c r="C98" s="1" t="s">
        <v>242</v>
      </c>
      <c r="D98" s="1" t="s">
        <v>13</v>
      </c>
      <c r="E98" s="5">
        <v>43388</v>
      </c>
      <c r="F98" s="3" t="s">
        <v>46</v>
      </c>
      <c r="G98" s="1" t="s">
        <v>287</v>
      </c>
      <c r="H98" s="1">
        <v>500</v>
      </c>
      <c r="I98" s="1">
        <v>455</v>
      </c>
      <c r="J98" s="2">
        <v>0.09</v>
      </c>
      <c r="K98">
        <f t="shared" si="3"/>
        <v>40.949999999999996</v>
      </c>
      <c r="L98">
        <f t="shared" si="4"/>
        <v>414.05</v>
      </c>
      <c r="M98" t="str">
        <f t="shared" si="5"/>
        <v>Oct-2018</v>
      </c>
    </row>
    <row r="99" spans="1:13" x14ac:dyDescent="0.3">
      <c r="A99" t="s">
        <v>288</v>
      </c>
      <c r="B99" s="1" t="s">
        <v>289</v>
      </c>
      <c r="C99" s="1" t="s">
        <v>108</v>
      </c>
      <c r="D99" s="1" t="s">
        <v>19</v>
      </c>
      <c r="E99" s="5">
        <v>43343</v>
      </c>
      <c r="F99" s="3" t="s">
        <v>25</v>
      </c>
      <c r="G99" s="1" t="s">
        <v>290</v>
      </c>
      <c r="H99" s="1">
        <v>700</v>
      </c>
      <c r="I99" s="1">
        <v>700</v>
      </c>
      <c r="J99" s="2">
        <v>0</v>
      </c>
      <c r="K99">
        <f t="shared" si="3"/>
        <v>0</v>
      </c>
      <c r="L99">
        <f t="shared" si="4"/>
        <v>700</v>
      </c>
      <c r="M99" t="str">
        <f t="shared" si="5"/>
        <v>Aug-2018</v>
      </c>
    </row>
    <row r="100" spans="1:13" x14ac:dyDescent="0.3">
      <c r="A100" t="s">
        <v>291</v>
      </c>
      <c r="B100" s="1" t="s">
        <v>270</v>
      </c>
      <c r="C100" s="1" t="s">
        <v>271</v>
      </c>
      <c r="D100" s="1" t="s">
        <v>35</v>
      </c>
      <c r="E100" s="5">
        <v>43330</v>
      </c>
      <c r="F100" s="3" t="s">
        <v>14</v>
      </c>
      <c r="G100" s="1" t="s">
        <v>272</v>
      </c>
      <c r="H100" s="1">
        <v>80</v>
      </c>
      <c r="I100" s="1">
        <v>77</v>
      </c>
      <c r="J100" s="2">
        <v>3.7499999999999999E-2</v>
      </c>
      <c r="K100">
        <f t="shared" si="3"/>
        <v>2.8874999999999997</v>
      </c>
      <c r="L100">
        <f t="shared" si="4"/>
        <v>74.112499999999997</v>
      </c>
      <c r="M100" t="str">
        <f t="shared" si="5"/>
        <v>Aug-2018</v>
      </c>
    </row>
    <row r="101" spans="1:13" x14ac:dyDescent="0.3">
      <c r="A101" t="s">
        <v>292</v>
      </c>
      <c r="B101" s="1" t="s">
        <v>11</v>
      </c>
      <c r="C101" s="1" t="s">
        <v>12</v>
      </c>
      <c r="D101" s="1" t="s">
        <v>13</v>
      </c>
      <c r="E101" s="5">
        <v>42536</v>
      </c>
      <c r="F101" s="3" t="s">
        <v>41</v>
      </c>
      <c r="G101" s="1" t="s">
        <v>293</v>
      </c>
      <c r="H101" s="1">
        <v>30</v>
      </c>
      <c r="I101" s="1">
        <v>29</v>
      </c>
      <c r="J101" s="2">
        <v>3.3300000000000003E-2</v>
      </c>
      <c r="K101">
        <f t="shared" si="3"/>
        <v>0.96570000000000011</v>
      </c>
      <c r="L101">
        <f t="shared" si="4"/>
        <v>28.034299999999998</v>
      </c>
      <c r="M101" t="str">
        <f t="shared" si="5"/>
        <v>Jun-2016</v>
      </c>
    </row>
    <row r="102" spans="1:13" x14ac:dyDescent="0.3">
      <c r="A102" t="s">
        <v>294</v>
      </c>
      <c r="B102" s="1" t="s">
        <v>111</v>
      </c>
      <c r="C102" s="1" t="s">
        <v>82</v>
      </c>
      <c r="D102" s="1" t="s">
        <v>13</v>
      </c>
      <c r="E102" s="5">
        <v>42171</v>
      </c>
      <c r="F102" s="3" t="s">
        <v>122</v>
      </c>
      <c r="G102" s="1" t="s">
        <v>295</v>
      </c>
      <c r="H102" s="1">
        <v>50</v>
      </c>
      <c r="I102" s="1">
        <v>50</v>
      </c>
      <c r="J102" s="2">
        <v>0</v>
      </c>
      <c r="K102">
        <f t="shared" si="3"/>
        <v>0</v>
      </c>
      <c r="L102">
        <f t="shared" si="4"/>
        <v>50</v>
      </c>
      <c r="M102" t="str">
        <f t="shared" si="5"/>
        <v>Jun-2015</v>
      </c>
    </row>
    <row r="103" spans="1:13" x14ac:dyDescent="0.3">
      <c r="A103" t="s">
        <v>296</v>
      </c>
      <c r="B103" s="1" t="s">
        <v>11</v>
      </c>
      <c r="C103" s="1" t="s">
        <v>12</v>
      </c>
      <c r="D103" s="1" t="s">
        <v>13</v>
      </c>
      <c r="E103" s="5">
        <v>42840</v>
      </c>
      <c r="F103" s="3" t="s">
        <v>25</v>
      </c>
      <c r="G103" s="1" t="s">
        <v>193</v>
      </c>
      <c r="H103" s="1">
        <v>700</v>
      </c>
      <c r="I103" s="1">
        <v>679</v>
      </c>
      <c r="J103" s="2">
        <v>0.03</v>
      </c>
      <c r="K103">
        <f t="shared" si="3"/>
        <v>20.37</v>
      </c>
      <c r="L103">
        <f t="shared" si="4"/>
        <v>658.63</v>
      </c>
      <c r="M103" t="str">
        <f t="shared" si="5"/>
        <v>Apr-2017</v>
      </c>
    </row>
    <row r="104" spans="1:13" x14ac:dyDescent="0.3">
      <c r="A104" t="s">
        <v>297</v>
      </c>
      <c r="B104" s="1" t="s">
        <v>39</v>
      </c>
      <c r="C104" s="1" t="s">
        <v>40</v>
      </c>
      <c r="D104" s="1" t="s">
        <v>35</v>
      </c>
      <c r="E104" s="5">
        <v>42180</v>
      </c>
      <c r="F104" s="3" t="s">
        <v>122</v>
      </c>
      <c r="G104" s="1" t="s">
        <v>42</v>
      </c>
      <c r="H104" s="1">
        <v>50</v>
      </c>
      <c r="I104" s="1">
        <v>45</v>
      </c>
      <c r="J104" s="2">
        <v>0.1</v>
      </c>
      <c r="K104">
        <f t="shared" si="3"/>
        <v>4.5</v>
      </c>
      <c r="L104">
        <f t="shared" si="4"/>
        <v>40.5</v>
      </c>
      <c r="M104" t="str">
        <f t="shared" si="5"/>
        <v>Jun-2015</v>
      </c>
    </row>
    <row r="105" spans="1:13" x14ac:dyDescent="0.3">
      <c r="A105" t="s">
        <v>298</v>
      </c>
      <c r="B105" s="1" t="s">
        <v>64</v>
      </c>
      <c r="C105" s="1" t="s">
        <v>65</v>
      </c>
      <c r="D105" s="1" t="s">
        <v>35</v>
      </c>
      <c r="E105" s="5">
        <v>42509</v>
      </c>
      <c r="F105" s="3" t="s">
        <v>41</v>
      </c>
      <c r="G105" s="1" t="s">
        <v>299</v>
      </c>
      <c r="H105" s="1">
        <v>30</v>
      </c>
      <c r="I105" s="1">
        <v>30</v>
      </c>
      <c r="J105" s="2">
        <v>0</v>
      </c>
      <c r="K105">
        <f t="shared" si="3"/>
        <v>0</v>
      </c>
      <c r="L105">
        <f t="shared" si="4"/>
        <v>30</v>
      </c>
      <c r="M105" t="str">
        <f t="shared" si="5"/>
        <v>May-2016</v>
      </c>
    </row>
    <row r="106" spans="1:13" x14ac:dyDescent="0.3">
      <c r="A106" t="s">
        <v>300</v>
      </c>
      <c r="B106" s="1" t="s">
        <v>44</v>
      </c>
      <c r="C106" s="1" t="s">
        <v>45</v>
      </c>
      <c r="D106" s="1" t="s">
        <v>24</v>
      </c>
      <c r="E106" s="5">
        <v>41696</v>
      </c>
      <c r="F106" s="3" t="s">
        <v>41</v>
      </c>
      <c r="G106" s="1" t="s">
        <v>301</v>
      </c>
      <c r="H106" s="1">
        <v>30</v>
      </c>
      <c r="I106" s="1">
        <v>30</v>
      </c>
      <c r="J106" s="2">
        <v>0</v>
      </c>
      <c r="K106">
        <f t="shared" si="3"/>
        <v>0</v>
      </c>
      <c r="L106">
        <f t="shared" si="4"/>
        <v>30</v>
      </c>
      <c r="M106" t="str">
        <f t="shared" si="5"/>
        <v>Feb-2014</v>
      </c>
    </row>
    <row r="107" spans="1:13" x14ac:dyDescent="0.3">
      <c r="A107" t="s">
        <v>302</v>
      </c>
      <c r="B107" s="1" t="s">
        <v>127</v>
      </c>
      <c r="C107" s="1" t="s">
        <v>128</v>
      </c>
      <c r="D107" s="1" t="s">
        <v>13</v>
      </c>
      <c r="E107" s="5">
        <v>41969</v>
      </c>
      <c r="F107" s="3" t="s">
        <v>14</v>
      </c>
      <c r="G107" s="1" t="s">
        <v>210</v>
      </c>
      <c r="H107" s="1">
        <v>80</v>
      </c>
      <c r="I107" s="1">
        <v>62</v>
      </c>
      <c r="J107" s="2">
        <v>0.22500000000000001</v>
      </c>
      <c r="K107">
        <f t="shared" si="3"/>
        <v>13.950000000000001</v>
      </c>
      <c r="L107">
        <f t="shared" si="4"/>
        <v>48.05</v>
      </c>
      <c r="M107" t="str">
        <f t="shared" si="5"/>
        <v>Nov-2014</v>
      </c>
    </row>
    <row r="108" spans="1:13" x14ac:dyDescent="0.3">
      <c r="A108" t="s">
        <v>303</v>
      </c>
      <c r="B108" s="1" t="s">
        <v>157</v>
      </c>
      <c r="C108" s="1" t="s">
        <v>108</v>
      </c>
      <c r="D108" s="1" t="s">
        <v>19</v>
      </c>
      <c r="E108" s="5">
        <v>41665</v>
      </c>
      <c r="F108" s="3" t="s">
        <v>14</v>
      </c>
      <c r="G108" s="1" t="s">
        <v>304</v>
      </c>
      <c r="H108" s="1">
        <v>80</v>
      </c>
      <c r="I108" s="1">
        <v>76</v>
      </c>
      <c r="J108" s="2">
        <v>0.05</v>
      </c>
      <c r="K108">
        <f t="shared" si="3"/>
        <v>3.8000000000000003</v>
      </c>
      <c r="L108">
        <f t="shared" si="4"/>
        <v>72.2</v>
      </c>
      <c r="M108" t="str">
        <f t="shared" si="5"/>
        <v>Jan-2014</v>
      </c>
    </row>
    <row r="109" spans="1:13" x14ac:dyDescent="0.3">
      <c r="A109" t="s">
        <v>305</v>
      </c>
      <c r="B109" s="1" t="s">
        <v>150</v>
      </c>
      <c r="C109" s="1" t="s">
        <v>151</v>
      </c>
      <c r="D109" s="1" t="s">
        <v>13</v>
      </c>
      <c r="E109" s="5">
        <v>42120</v>
      </c>
      <c r="F109" s="3" t="s">
        <v>36</v>
      </c>
      <c r="G109" s="1" t="s">
        <v>306</v>
      </c>
      <c r="H109" s="1">
        <v>50</v>
      </c>
      <c r="I109" s="1">
        <v>45</v>
      </c>
      <c r="J109" s="2">
        <v>0.1</v>
      </c>
      <c r="K109">
        <f t="shared" si="3"/>
        <v>4.5</v>
      </c>
      <c r="L109">
        <f t="shared" si="4"/>
        <v>40.5</v>
      </c>
      <c r="M109" t="str">
        <f t="shared" si="5"/>
        <v>Apr-2015</v>
      </c>
    </row>
    <row r="110" spans="1:13" x14ac:dyDescent="0.3">
      <c r="A110" t="s">
        <v>307</v>
      </c>
      <c r="B110" s="1" t="s">
        <v>264</v>
      </c>
      <c r="C110" s="1" t="s">
        <v>265</v>
      </c>
      <c r="D110" s="1" t="s">
        <v>13</v>
      </c>
      <c r="E110" s="5">
        <v>42819</v>
      </c>
      <c r="F110" s="3" t="s">
        <v>61</v>
      </c>
      <c r="G110" s="1" t="s">
        <v>308</v>
      </c>
      <c r="H110" s="1">
        <v>1000</v>
      </c>
      <c r="I110" s="1">
        <v>610</v>
      </c>
      <c r="J110" s="2">
        <v>0.39</v>
      </c>
      <c r="K110">
        <f t="shared" si="3"/>
        <v>237.9</v>
      </c>
      <c r="L110">
        <f t="shared" si="4"/>
        <v>372.1</v>
      </c>
      <c r="M110" t="str">
        <f t="shared" si="5"/>
        <v>Mar-2017</v>
      </c>
    </row>
    <row r="111" spans="1:13" x14ac:dyDescent="0.3">
      <c r="A111" t="s">
        <v>309</v>
      </c>
      <c r="B111" s="1" t="s">
        <v>22</v>
      </c>
      <c r="C111" s="1" t="s">
        <v>23</v>
      </c>
      <c r="D111" s="1" t="s">
        <v>24</v>
      </c>
      <c r="E111" s="5">
        <v>43116</v>
      </c>
      <c r="F111" s="3" t="s">
        <v>104</v>
      </c>
      <c r="G111" s="1" t="s">
        <v>310</v>
      </c>
      <c r="H111" s="1">
        <v>70</v>
      </c>
      <c r="I111" s="1">
        <v>67</v>
      </c>
      <c r="J111" s="2">
        <v>4.2900000000000001E-2</v>
      </c>
      <c r="K111">
        <f t="shared" si="3"/>
        <v>2.8742999999999999</v>
      </c>
      <c r="L111">
        <f t="shared" si="4"/>
        <v>64.125699999999995</v>
      </c>
      <c r="M111" t="str">
        <f t="shared" si="5"/>
        <v>Jan-2018</v>
      </c>
    </row>
    <row r="112" spans="1:13" x14ac:dyDescent="0.3">
      <c r="A112" t="s">
        <v>311</v>
      </c>
      <c r="B112" s="1" t="s">
        <v>59</v>
      </c>
      <c r="C112" s="1" t="s">
        <v>60</v>
      </c>
      <c r="D112" s="1" t="s">
        <v>13</v>
      </c>
      <c r="E112" s="5">
        <v>42175</v>
      </c>
      <c r="F112" s="3" t="s">
        <v>104</v>
      </c>
      <c r="G112" s="1" t="s">
        <v>312</v>
      </c>
      <c r="H112" s="1">
        <v>70</v>
      </c>
      <c r="I112" s="1">
        <v>68</v>
      </c>
      <c r="J112" s="2">
        <v>2.86E-2</v>
      </c>
      <c r="K112">
        <f t="shared" si="3"/>
        <v>1.9448000000000001</v>
      </c>
      <c r="L112">
        <f t="shared" si="4"/>
        <v>66.055199999999999</v>
      </c>
      <c r="M112" t="str">
        <f t="shared" si="5"/>
        <v>Jun-2015</v>
      </c>
    </row>
    <row r="113" spans="1:13" x14ac:dyDescent="0.3">
      <c r="A113" t="s">
        <v>313</v>
      </c>
      <c r="B113" s="1" t="s">
        <v>264</v>
      </c>
      <c r="C113" s="1" t="s">
        <v>265</v>
      </c>
      <c r="D113" s="1" t="s">
        <v>13</v>
      </c>
      <c r="E113" s="5">
        <v>41941</v>
      </c>
      <c r="F113" s="3" t="s">
        <v>36</v>
      </c>
      <c r="G113" s="1" t="s">
        <v>314</v>
      </c>
      <c r="H113" s="1">
        <v>50</v>
      </c>
      <c r="I113" s="1">
        <v>50</v>
      </c>
      <c r="J113" s="2">
        <v>0</v>
      </c>
      <c r="K113">
        <f t="shared" si="3"/>
        <v>0</v>
      </c>
      <c r="L113">
        <f t="shared" si="4"/>
        <v>50</v>
      </c>
      <c r="M113" t="str">
        <f t="shared" si="5"/>
        <v>Oct-2014</v>
      </c>
    </row>
    <row r="114" spans="1:13" x14ac:dyDescent="0.3">
      <c r="A114" t="s">
        <v>315</v>
      </c>
      <c r="B114" s="1" t="s">
        <v>127</v>
      </c>
      <c r="C114" s="1" t="s">
        <v>128</v>
      </c>
      <c r="D114" s="1" t="s">
        <v>13</v>
      </c>
      <c r="E114" s="5">
        <v>43240</v>
      </c>
      <c r="F114" s="3" t="s">
        <v>72</v>
      </c>
      <c r="G114" s="1" t="s">
        <v>129</v>
      </c>
      <c r="H114" s="1">
        <v>500</v>
      </c>
      <c r="I114" s="1">
        <v>495</v>
      </c>
      <c r="J114" s="2">
        <v>0.01</v>
      </c>
      <c r="K114">
        <f t="shared" si="3"/>
        <v>4.95</v>
      </c>
      <c r="L114">
        <f t="shared" si="4"/>
        <v>490.05</v>
      </c>
      <c r="M114" t="str">
        <f t="shared" si="5"/>
        <v>May-2018</v>
      </c>
    </row>
    <row r="115" spans="1:13" x14ac:dyDescent="0.3">
      <c r="A115" t="s">
        <v>316</v>
      </c>
      <c r="B115" s="1" t="s">
        <v>77</v>
      </c>
      <c r="C115" s="1" t="s">
        <v>78</v>
      </c>
      <c r="D115" s="1" t="s">
        <v>35</v>
      </c>
      <c r="E115" s="5">
        <v>43121</v>
      </c>
      <c r="F115" s="3" t="s">
        <v>104</v>
      </c>
      <c r="G115" s="1" t="s">
        <v>317</v>
      </c>
      <c r="H115" s="1">
        <v>70</v>
      </c>
      <c r="I115" s="1">
        <v>62</v>
      </c>
      <c r="J115" s="2">
        <v>0.1143</v>
      </c>
      <c r="K115">
        <f t="shared" si="3"/>
        <v>7.0865999999999998</v>
      </c>
      <c r="L115">
        <f t="shared" si="4"/>
        <v>54.913400000000003</v>
      </c>
      <c r="M115" t="str">
        <f t="shared" si="5"/>
        <v>Jan-2018</v>
      </c>
    </row>
    <row r="116" spans="1:13" x14ac:dyDescent="0.3">
      <c r="A116" t="s">
        <v>318</v>
      </c>
      <c r="B116" s="1" t="s">
        <v>174</v>
      </c>
      <c r="C116" s="1" t="s">
        <v>175</v>
      </c>
      <c r="D116" s="1" t="s">
        <v>13</v>
      </c>
      <c r="E116" s="5">
        <v>42200</v>
      </c>
      <c r="F116" s="3" t="s">
        <v>72</v>
      </c>
      <c r="G116" s="1" t="s">
        <v>319</v>
      </c>
      <c r="H116" s="1">
        <v>500</v>
      </c>
      <c r="I116" s="1">
        <v>490</v>
      </c>
      <c r="J116" s="2">
        <v>0.02</v>
      </c>
      <c r="K116">
        <f t="shared" si="3"/>
        <v>9.8000000000000007</v>
      </c>
      <c r="L116">
        <f t="shared" si="4"/>
        <v>480.2</v>
      </c>
      <c r="M116" t="str">
        <f t="shared" si="5"/>
        <v>Jul-2015</v>
      </c>
    </row>
    <row r="117" spans="1:13" x14ac:dyDescent="0.3">
      <c r="A117" t="s">
        <v>320</v>
      </c>
      <c r="B117" s="1" t="s">
        <v>44</v>
      </c>
      <c r="C117" s="1" t="s">
        <v>45</v>
      </c>
      <c r="D117" s="1" t="s">
        <v>24</v>
      </c>
      <c r="E117" s="5">
        <v>43307</v>
      </c>
      <c r="F117" s="3" t="s">
        <v>14</v>
      </c>
      <c r="G117" s="1" t="s">
        <v>321</v>
      </c>
      <c r="H117" s="1">
        <v>80</v>
      </c>
      <c r="I117" s="1">
        <v>73</v>
      </c>
      <c r="J117" s="2">
        <v>8.7499999999999994E-2</v>
      </c>
      <c r="K117">
        <f t="shared" si="3"/>
        <v>6.3874999999999993</v>
      </c>
      <c r="L117">
        <f t="shared" si="4"/>
        <v>66.612499999999997</v>
      </c>
      <c r="M117" t="str">
        <f t="shared" si="5"/>
        <v>Jul-2018</v>
      </c>
    </row>
    <row r="118" spans="1:13" x14ac:dyDescent="0.3">
      <c r="A118" t="s">
        <v>322</v>
      </c>
      <c r="B118" s="1" t="s">
        <v>28</v>
      </c>
      <c r="C118" s="1" t="s">
        <v>29</v>
      </c>
      <c r="D118" s="1" t="s">
        <v>13</v>
      </c>
      <c r="E118" s="5">
        <v>41806</v>
      </c>
      <c r="F118" s="3" t="s">
        <v>25</v>
      </c>
      <c r="G118" s="1" t="s">
        <v>31</v>
      </c>
      <c r="H118" s="1">
        <v>700</v>
      </c>
      <c r="I118" s="1">
        <v>616</v>
      </c>
      <c r="J118" s="2">
        <v>0.12</v>
      </c>
      <c r="K118">
        <f t="shared" si="3"/>
        <v>73.92</v>
      </c>
      <c r="L118">
        <f t="shared" si="4"/>
        <v>542.08000000000004</v>
      </c>
      <c r="M118" t="str">
        <f t="shared" si="5"/>
        <v>Jun-2014</v>
      </c>
    </row>
    <row r="119" spans="1:13" x14ac:dyDescent="0.3">
      <c r="A119" t="s">
        <v>323</v>
      </c>
      <c r="B119" s="1" t="s">
        <v>324</v>
      </c>
      <c r="C119" s="1" t="s">
        <v>325</v>
      </c>
      <c r="D119" s="1" t="s">
        <v>13</v>
      </c>
      <c r="E119" s="5">
        <v>42601</v>
      </c>
      <c r="F119" s="3" t="s">
        <v>41</v>
      </c>
      <c r="G119" s="1" t="s">
        <v>326</v>
      </c>
      <c r="H119" s="1">
        <v>30</v>
      </c>
      <c r="I119" s="1">
        <v>30</v>
      </c>
      <c r="J119" s="2">
        <v>0</v>
      </c>
      <c r="K119">
        <f t="shared" si="3"/>
        <v>0</v>
      </c>
      <c r="L119">
        <f t="shared" si="4"/>
        <v>30</v>
      </c>
      <c r="M119" t="str">
        <f t="shared" si="5"/>
        <v>Aug-2016</v>
      </c>
    </row>
    <row r="120" spans="1:13" x14ac:dyDescent="0.3">
      <c r="A120" t="s">
        <v>327</v>
      </c>
      <c r="B120" s="1" t="s">
        <v>70</v>
      </c>
      <c r="C120" s="1" t="s">
        <v>71</v>
      </c>
      <c r="D120" s="1" t="s">
        <v>35</v>
      </c>
      <c r="E120" s="5">
        <v>42515</v>
      </c>
      <c r="F120" s="3" t="s">
        <v>41</v>
      </c>
      <c r="G120" s="1" t="s">
        <v>328</v>
      </c>
      <c r="H120" s="1">
        <v>30</v>
      </c>
      <c r="I120" s="1">
        <v>23</v>
      </c>
      <c r="J120" s="2">
        <v>0.23330000000000001</v>
      </c>
      <c r="K120">
        <f t="shared" si="3"/>
        <v>5.3658999999999999</v>
      </c>
      <c r="L120">
        <f t="shared" si="4"/>
        <v>17.6341</v>
      </c>
      <c r="M120" t="str">
        <f t="shared" si="5"/>
        <v>May-2016</v>
      </c>
    </row>
    <row r="121" spans="1:13" x14ac:dyDescent="0.3">
      <c r="A121" t="s">
        <v>329</v>
      </c>
      <c r="B121" s="1" t="s">
        <v>131</v>
      </c>
      <c r="C121" s="1" t="s">
        <v>108</v>
      </c>
      <c r="D121" s="1" t="s">
        <v>19</v>
      </c>
      <c r="E121" s="5">
        <v>42177</v>
      </c>
      <c r="F121" s="3" t="s">
        <v>36</v>
      </c>
      <c r="G121" s="1" t="s">
        <v>212</v>
      </c>
      <c r="H121" s="1">
        <v>50</v>
      </c>
      <c r="I121" s="1">
        <v>36</v>
      </c>
      <c r="J121" s="2">
        <v>0.28000000000000003</v>
      </c>
      <c r="K121">
        <f t="shared" si="3"/>
        <v>10.080000000000002</v>
      </c>
      <c r="L121">
        <f t="shared" si="4"/>
        <v>25.919999999999998</v>
      </c>
      <c r="M121" t="str">
        <f t="shared" si="5"/>
        <v>Jun-2015</v>
      </c>
    </row>
    <row r="122" spans="1:13" x14ac:dyDescent="0.3">
      <c r="A122" t="s">
        <v>330</v>
      </c>
      <c r="B122" s="1" t="s">
        <v>241</v>
      </c>
      <c r="C122" s="1" t="s">
        <v>242</v>
      </c>
      <c r="D122" s="1" t="s">
        <v>13</v>
      </c>
      <c r="E122" s="5">
        <v>42637</v>
      </c>
      <c r="F122" s="3" t="s">
        <v>72</v>
      </c>
      <c r="G122" s="1" t="s">
        <v>331</v>
      </c>
      <c r="H122" s="1">
        <v>500</v>
      </c>
      <c r="I122" s="1">
        <v>490</v>
      </c>
      <c r="J122" s="2">
        <v>0.02</v>
      </c>
      <c r="K122">
        <f t="shared" si="3"/>
        <v>9.8000000000000007</v>
      </c>
      <c r="L122">
        <f t="shared" si="4"/>
        <v>480.2</v>
      </c>
      <c r="M122" t="str">
        <f t="shared" si="5"/>
        <v>Sep-2016</v>
      </c>
    </row>
    <row r="123" spans="1:13" x14ac:dyDescent="0.3">
      <c r="A123" t="s">
        <v>332</v>
      </c>
      <c r="B123" s="1" t="s">
        <v>95</v>
      </c>
      <c r="C123" s="1" t="s">
        <v>96</v>
      </c>
      <c r="D123" s="1" t="s">
        <v>13</v>
      </c>
      <c r="E123" s="5">
        <v>41903</v>
      </c>
      <c r="F123" s="3" t="s">
        <v>55</v>
      </c>
      <c r="G123" s="1" t="s">
        <v>333</v>
      </c>
      <c r="H123" s="1">
        <v>800</v>
      </c>
      <c r="I123" s="1">
        <v>672</v>
      </c>
      <c r="J123" s="2">
        <v>0.16</v>
      </c>
      <c r="K123">
        <f t="shared" si="3"/>
        <v>107.52</v>
      </c>
      <c r="L123">
        <f t="shared" si="4"/>
        <v>564.48</v>
      </c>
      <c r="M123" t="str">
        <f t="shared" si="5"/>
        <v>Sep-2014</v>
      </c>
    </row>
    <row r="124" spans="1:13" x14ac:dyDescent="0.3">
      <c r="A124" t="s">
        <v>334</v>
      </c>
      <c r="B124" s="1" t="s">
        <v>28</v>
      </c>
      <c r="C124" s="1" t="s">
        <v>29</v>
      </c>
      <c r="D124" s="1" t="s">
        <v>13</v>
      </c>
      <c r="E124" s="5">
        <v>42851</v>
      </c>
      <c r="F124" s="3" t="s">
        <v>72</v>
      </c>
      <c r="G124" s="1" t="s">
        <v>335</v>
      </c>
      <c r="H124" s="1">
        <v>500</v>
      </c>
      <c r="I124" s="1">
        <v>490</v>
      </c>
      <c r="J124" s="2">
        <v>0.02</v>
      </c>
      <c r="K124">
        <f t="shared" si="3"/>
        <v>9.8000000000000007</v>
      </c>
      <c r="L124">
        <f t="shared" si="4"/>
        <v>480.2</v>
      </c>
      <c r="M124" t="str">
        <f t="shared" si="5"/>
        <v>Apr-2017</v>
      </c>
    </row>
    <row r="125" spans="1:13" x14ac:dyDescent="0.3">
      <c r="A125" t="s">
        <v>336</v>
      </c>
      <c r="B125" s="1" t="s">
        <v>270</v>
      </c>
      <c r="C125" s="1" t="s">
        <v>271</v>
      </c>
      <c r="D125" s="1" t="s">
        <v>35</v>
      </c>
      <c r="E125" s="5">
        <v>43096</v>
      </c>
      <c r="F125" s="3" t="s">
        <v>30</v>
      </c>
      <c r="G125" s="1" t="s">
        <v>337</v>
      </c>
      <c r="H125" s="1">
        <v>150</v>
      </c>
      <c r="I125" s="1">
        <v>140</v>
      </c>
      <c r="J125" s="2">
        <v>6.6699999999999995E-2</v>
      </c>
      <c r="K125">
        <f t="shared" si="3"/>
        <v>9.3379999999999992</v>
      </c>
      <c r="L125">
        <f t="shared" si="4"/>
        <v>130.66200000000001</v>
      </c>
      <c r="M125" t="str">
        <f t="shared" si="5"/>
        <v>Dec-2017</v>
      </c>
    </row>
    <row r="126" spans="1:13" x14ac:dyDescent="0.3">
      <c r="A126" t="s">
        <v>338</v>
      </c>
      <c r="B126" s="1" t="s">
        <v>182</v>
      </c>
      <c r="C126" s="1" t="s">
        <v>108</v>
      </c>
      <c r="D126" s="1" t="s">
        <v>19</v>
      </c>
      <c r="E126" s="5">
        <v>41841</v>
      </c>
      <c r="F126" s="3" t="s">
        <v>72</v>
      </c>
      <c r="G126" s="1" t="s">
        <v>203</v>
      </c>
      <c r="H126" s="1">
        <v>500</v>
      </c>
      <c r="I126" s="1">
        <v>495</v>
      </c>
      <c r="J126" s="2">
        <v>0.01</v>
      </c>
      <c r="K126">
        <f t="shared" si="3"/>
        <v>4.95</v>
      </c>
      <c r="L126">
        <f t="shared" si="4"/>
        <v>490.05</v>
      </c>
      <c r="M126" t="str">
        <f t="shared" si="5"/>
        <v>Jul-2014</v>
      </c>
    </row>
    <row r="127" spans="1:13" x14ac:dyDescent="0.3">
      <c r="A127" t="s">
        <v>339</v>
      </c>
      <c r="B127" s="1" t="s">
        <v>85</v>
      </c>
      <c r="C127" s="1" t="s">
        <v>86</v>
      </c>
      <c r="D127" s="1" t="s">
        <v>13</v>
      </c>
      <c r="E127" s="5">
        <v>42820</v>
      </c>
      <c r="F127" s="3" t="s">
        <v>30</v>
      </c>
      <c r="G127" s="1" t="s">
        <v>340</v>
      </c>
      <c r="H127" s="1">
        <v>150</v>
      </c>
      <c r="I127" s="1">
        <v>150</v>
      </c>
      <c r="J127" s="2">
        <v>0</v>
      </c>
      <c r="K127">
        <f t="shared" si="3"/>
        <v>0</v>
      </c>
      <c r="L127">
        <f t="shared" si="4"/>
        <v>150</v>
      </c>
      <c r="M127" t="str">
        <f t="shared" si="5"/>
        <v>Mar-2017</v>
      </c>
    </row>
    <row r="128" spans="1:13" x14ac:dyDescent="0.3">
      <c r="A128" t="s">
        <v>341</v>
      </c>
      <c r="B128" s="1" t="s">
        <v>114</v>
      </c>
      <c r="C128" s="1" t="s">
        <v>54</v>
      </c>
      <c r="D128" s="1" t="s">
        <v>13</v>
      </c>
      <c r="E128" s="5">
        <v>42473</v>
      </c>
      <c r="F128" s="3" t="s">
        <v>41</v>
      </c>
      <c r="G128" s="1" t="s">
        <v>168</v>
      </c>
      <c r="H128" s="1">
        <v>30</v>
      </c>
      <c r="I128" s="1">
        <v>29</v>
      </c>
      <c r="J128" s="2">
        <v>3.3300000000000003E-2</v>
      </c>
      <c r="K128">
        <f t="shared" si="3"/>
        <v>0.96570000000000011</v>
      </c>
      <c r="L128">
        <f t="shared" si="4"/>
        <v>28.034299999999998</v>
      </c>
      <c r="M128" t="str">
        <f t="shared" si="5"/>
        <v>Apr-2016</v>
      </c>
    </row>
    <row r="129" spans="1:13" x14ac:dyDescent="0.3">
      <c r="A129" t="s">
        <v>342</v>
      </c>
      <c r="B129" s="1" t="s">
        <v>182</v>
      </c>
      <c r="C129" s="1" t="s">
        <v>108</v>
      </c>
      <c r="D129" s="1" t="s">
        <v>19</v>
      </c>
      <c r="E129" s="5">
        <v>42031</v>
      </c>
      <c r="F129" s="3" t="s">
        <v>72</v>
      </c>
      <c r="G129" s="1" t="s">
        <v>183</v>
      </c>
      <c r="H129" s="1">
        <v>500</v>
      </c>
      <c r="I129" s="1">
        <v>500</v>
      </c>
      <c r="J129" s="2">
        <v>0</v>
      </c>
      <c r="K129">
        <f t="shared" si="3"/>
        <v>0</v>
      </c>
      <c r="L129">
        <f t="shared" si="4"/>
        <v>500</v>
      </c>
      <c r="M129" t="str">
        <f t="shared" si="5"/>
        <v>Jan-2015</v>
      </c>
    </row>
    <row r="130" spans="1:13" x14ac:dyDescent="0.3">
      <c r="A130" t="s">
        <v>343</v>
      </c>
      <c r="B130" s="1" t="s">
        <v>91</v>
      </c>
      <c r="C130" s="1" t="s">
        <v>92</v>
      </c>
      <c r="D130" s="1" t="s">
        <v>35</v>
      </c>
      <c r="E130" s="5">
        <v>43434</v>
      </c>
      <c r="F130" s="3" t="s">
        <v>61</v>
      </c>
      <c r="G130" s="1" t="s">
        <v>344</v>
      </c>
      <c r="H130" s="1">
        <v>1000</v>
      </c>
      <c r="I130" s="1">
        <v>510</v>
      </c>
      <c r="J130" s="2">
        <v>0.49</v>
      </c>
      <c r="K130">
        <f t="shared" si="3"/>
        <v>249.9</v>
      </c>
      <c r="L130">
        <f t="shared" si="4"/>
        <v>260.10000000000002</v>
      </c>
      <c r="M130" t="str">
        <f t="shared" si="5"/>
        <v>Nov-2018</v>
      </c>
    </row>
    <row r="131" spans="1:13" x14ac:dyDescent="0.3">
      <c r="A131" t="s">
        <v>345</v>
      </c>
      <c r="B131" s="1" t="s">
        <v>289</v>
      </c>
      <c r="C131" s="1" t="s">
        <v>108</v>
      </c>
      <c r="D131" s="1" t="s">
        <v>19</v>
      </c>
      <c r="E131" s="5">
        <v>43064</v>
      </c>
      <c r="F131" s="3" t="s">
        <v>72</v>
      </c>
      <c r="G131" s="1" t="s">
        <v>346</v>
      </c>
      <c r="H131" s="1">
        <v>500</v>
      </c>
      <c r="I131" s="1">
        <v>490</v>
      </c>
      <c r="J131" s="2">
        <v>0.02</v>
      </c>
      <c r="K131">
        <f t="shared" si="3"/>
        <v>9.8000000000000007</v>
      </c>
      <c r="L131">
        <f t="shared" si="4"/>
        <v>480.2</v>
      </c>
      <c r="M131" t="str">
        <f t="shared" si="5"/>
        <v>Nov-2017</v>
      </c>
    </row>
    <row r="132" spans="1:13" x14ac:dyDescent="0.3">
      <c r="A132" t="s">
        <v>347</v>
      </c>
      <c r="B132" s="1" t="s">
        <v>11</v>
      </c>
      <c r="C132" s="1" t="s">
        <v>12</v>
      </c>
      <c r="D132" s="1" t="s">
        <v>13</v>
      </c>
      <c r="E132" s="5">
        <v>42782</v>
      </c>
      <c r="F132" s="3" t="s">
        <v>36</v>
      </c>
      <c r="G132" s="1" t="s">
        <v>348</v>
      </c>
      <c r="H132" s="1">
        <v>50</v>
      </c>
      <c r="I132" s="1">
        <v>50</v>
      </c>
      <c r="J132" s="2">
        <v>0</v>
      </c>
      <c r="K132">
        <f t="shared" ref="K132:K195" si="6">I132*J132</f>
        <v>0</v>
      </c>
      <c r="L132">
        <f t="shared" ref="L132:L195" si="7">I132-K132</f>
        <v>50</v>
      </c>
      <c r="M132" t="str">
        <f t="shared" ref="M132:M195" si="8">TEXT(E132, "mmm-yyyy")</f>
        <v>Feb-2017</v>
      </c>
    </row>
    <row r="133" spans="1:13" x14ac:dyDescent="0.3">
      <c r="A133" t="s">
        <v>349</v>
      </c>
      <c r="B133" s="1" t="s">
        <v>241</v>
      </c>
      <c r="C133" s="1" t="s">
        <v>242</v>
      </c>
      <c r="D133" s="1" t="s">
        <v>13</v>
      </c>
      <c r="E133" s="5">
        <v>42300</v>
      </c>
      <c r="F133" s="3" t="s">
        <v>25</v>
      </c>
      <c r="G133" s="1" t="s">
        <v>350</v>
      </c>
      <c r="H133" s="1">
        <v>700</v>
      </c>
      <c r="I133" s="1">
        <v>665</v>
      </c>
      <c r="J133" s="2">
        <v>0.05</v>
      </c>
      <c r="K133">
        <f t="shared" si="6"/>
        <v>33.25</v>
      </c>
      <c r="L133">
        <f t="shared" si="7"/>
        <v>631.75</v>
      </c>
      <c r="M133" t="str">
        <f t="shared" si="8"/>
        <v>Oct-2015</v>
      </c>
    </row>
    <row r="134" spans="1:13" x14ac:dyDescent="0.3">
      <c r="A134" t="s">
        <v>351</v>
      </c>
      <c r="B134" s="1" t="s">
        <v>154</v>
      </c>
      <c r="C134" s="1" t="s">
        <v>108</v>
      </c>
      <c r="D134" s="1" t="s">
        <v>19</v>
      </c>
      <c r="E134" s="5">
        <v>42364</v>
      </c>
      <c r="F134" s="3" t="s">
        <v>115</v>
      </c>
      <c r="G134" s="1" t="s">
        <v>352</v>
      </c>
      <c r="H134" s="1">
        <v>250</v>
      </c>
      <c r="I134" s="1">
        <v>175</v>
      </c>
      <c r="J134" s="2">
        <v>0.3</v>
      </c>
      <c r="K134">
        <f t="shared" si="6"/>
        <v>52.5</v>
      </c>
      <c r="L134">
        <f t="shared" si="7"/>
        <v>122.5</v>
      </c>
      <c r="M134" t="str">
        <f t="shared" si="8"/>
        <v>Dec-2015</v>
      </c>
    </row>
    <row r="135" spans="1:13" x14ac:dyDescent="0.3">
      <c r="A135" t="s">
        <v>353</v>
      </c>
      <c r="B135" s="1" t="s">
        <v>107</v>
      </c>
      <c r="C135" s="1" t="s">
        <v>108</v>
      </c>
      <c r="D135" s="1" t="s">
        <v>19</v>
      </c>
      <c r="E135" s="5">
        <v>42394</v>
      </c>
      <c r="F135" s="3" t="s">
        <v>122</v>
      </c>
      <c r="G135" s="1" t="s">
        <v>354</v>
      </c>
      <c r="H135" s="1">
        <v>50</v>
      </c>
      <c r="I135" s="1">
        <v>48</v>
      </c>
      <c r="J135" s="2">
        <v>0.04</v>
      </c>
      <c r="K135">
        <f t="shared" si="6"/>
        <v>1.92</v>
      </c>
      <c r="L135">
        <f t="shared" si="7"/>
        <v>46.08</v>
      </c>
      <c r="M135" t="str">
        <f t="shared" si="8"/>
        <v>Jan-2016</v>
      </c>
    </row>
    <row r="136" spans="1:13" x14ac:dyDescent="0.3">
      <c r="A136" t="s">
        <v>355</v>
      </c>
      <c r="B136" s="1" t="s">
        <v>241</v>
      </c>
      <c r="C136" s="1" t="s">
        <v>242</v>
      </c>
      <c r="D136" s="1" t="s">
        <v>13</v>
      </c>
      <c r="E136" s="5">
        <v>42030</v>
      </c>
      <c r="F136" s="3" t="s">
        <v>30</v>
      </c>
      <c r="G136" s="1" t="s">
        <v>243</v>
      </c>
      <c r="H136" s="1">
        <v>150</v>
      </c>
      <c r="I136" s="1">
        <v>146</v>
      </c>
      <c r="J136" s="2">
        <v>2.6700000000000002E-2</v>
      </c>
      <c r="K136">
        <f t="shared" si="6"/>
        <v>3.8982000000000001</v>
      </c>
      <c r="L136">
        <f t="shared" si="7"/>
        <v>142.1018</v>
      </c>
      <c r="M136" t="str">
        <f t="shared" si="8"/>
        <v>Jan-2015</v>
      </c>
    </row>
    <row r="137" spans="1:13" x14ac:dyDescent="0.3">
      <c r="A137" t="s">
        <v>356</v>
      </c>
      <c r="B137" s="1" t="s">
        <v>64</v>
      </c>
      <c r="C137" s="1" t="s">
        <v>65</v>
      </c>
      <c r="D137" s="1" t="s">
        <v>35</v>
      </c>
      <c r="E137" s="5">
        <v>43338</v>
      </c>
      <c r="F137" s="3" t="s">
        <v>30</v>
      </c>
      <c r="G137" s="1" t="s">
        <v>280</v>
      </c>
      <c r="H137" s="1">
        <v>150</v>
      </c>
      <c r="I137" s="1">
        <v>143</v>
      </c>
      <c r="J137" s="2">
        <v>4.6699999999999998E-2</v>
      </c>
      <c r="K137">
        <f t="shared" si="6"/>
        <v>6.6780999999999997</v>
      </c>
      <c r="L137">
        <f t="shared" si="7"/>
        <v>136.3219</v>
      </c>
      <c r="M137" t="str">
        <f t="shared" si="8"/>
        <v>Aug-2018</v>
      </c>
    </row>
    <row r="138" spans="1:13" x14ac:dyDescent="0.3">
      <c r="A138" t="s">
        <v>357</v>
      </c>
      <c r="B138" s="1" t="s">
        <v>146</v>
      </c>
      <c r="C138" s="1" t="s">
        <v>147</v>
      </c>
      <c r="D138" s="1" t="s">
        <v>13</v>
      </c>
      <c r="E138" s="5">
        <v>42566</v>
      </c>
      <c r="F138" s="3" t="s">
        <v>104</v>
      </c>
      <c r="G138" s="1" t="s">
        <v>358</v>
      </c>
      <c r="H138" s="1">
        <v>70</v>
      </c>
      <c r="I138" s="1">
        <v>57</v>
      </c>
      <c r="J138" s="2">
        <v>0.1857</v>
      </c>
      <c r="K138">
        <f t="shared" si="6"/>
        <v>10.584900000000001</v>
      </c>
      <c r="L138">
        <f t="shared" si="7"/>
        <v>46.415099999999995</v>
      </c>
      <c r="M138" t="str">
        <f t="shared" si="8"/>
        <v>Jul-2016</v>
      </c>
    </row>
    <row r="139" spans="1:13" x14ac:dyDescent="0.3">
      <c r="A139" t="s">
        <v>359</v>
      </c>
      <c r="B139" s="1" t="s">
        <v>59</v>
      </c>
      <c r="C139" s="1" t="s">
        <v>60</v>
      </c>
      <c r="D139" s="1" t="s">
        <v>13</v>
      </c>
      <c r="E139" s="5">
        <v>41972</v>
      </c>
      <c r="F139" s="3" t="s">
        <v>122</v>
      </c>
      <c r="G139" s="1" t="s">
        <v>312</v>
      </c>
      <c r="H139" s="1">
        <v>50</v>
      </c>
      <c r="I139" s="1">
        <v>46</v>
      </c>
      <c r="J139" s="2">
        <v>0.08</v>
      </c>
      <c r="K139">
        <f t="shared" si="6"/>
        <v>3.68</v>
      </c>
      <c r="L139">
        <f t="shared" si="7"/>
        <v>42.32</v>
      </c>
      <c r="M139" t="str">
        <f t="shared" si="8"/>
        <v>Nov-2014</v>
      </c>
    </row>
    <row r="140" spans="1:13" x14ac:dyDescent="0.3">
      <c r="A140" t="s">
        <v>360</v>
      </c>
      <c r="B140" s="1" t="s">
        <v>205</v>
      </c>
      <c r="C140" s="1" t="s">
        <v>206</v>
      </c>
      <c r="D140" s="1" t="s">
        <v>24</v>
      </c>
      <c r="E140" s="5">
        <v>41904</v>
      </c>
      <c r="F140" s="3" t="s">
        <v>41</v>
      </c>
      <c r="G140" s="1" t="s">
        <v>361</v>
      </c>
      <c r="H140" s="1">
        <v>30</v>
      </c>
      <c r="I140" s="1">
        <v>27</v>
      </c>
      <c r="J140" s="2">
        <v>0.1</v>
      </c>
      <c r="K140">
        <f t="shared" si="6"/>
        <v>2.7</v>
      </c>
      <c r="L140">
        <f t="shared" si="7"/>
        <v>24.3</v>
      </c>
      <c r="M140" t="str">
        <f t="shared" si="8"/>
        <v>Sep-2014</v>
      </c>
    </row>
    <row r="141" spans="1:13" x14ac:dyDescent="0.3">
      <c r="A141" t="s">
        <v>362</v>
      </c>
      <c r="B141" s="1" t="s">
        <v>85</v>
      </c>
      <c r="C141" s="1" t="s">
        <v>86</v>
      </c>
      <c r="D141" s="1" t="s">
        <v>13</v>
      </c>
      <c r="E141" s="5">
        <v>43089</v>
      </c>
      <c r="F141" s="3" t="s">
        <v>46</v>
      </c>
      <c r="G141" s="1" t="s">
        <v>363</v>
      </c>
      <c r="H141" s="1">
        <v>500</v>
      </c>
      <c r="I141" s="1">
        <v>500</v>
      </c>
      <c r="J141" s="2">
        <v>0</v>
      </c>
      <c r="K141">
        <f t="shared" si="6"/>
        <v>0</v>
      </c>
      <c r="L141">
        <f t="shared" si="7"/>
        <v>500</v>
      </c>
      <c r="M141" t="str">
        <f t="shared" si="8"/>
        <v>Dec-2017</v>
      </c>
    </row>
    <row r="142" spans="1:13" x14ac:dyDescent="0.3">
      <c r="A142" t="s">
        <v>364</v>
      </c>
      <c r="B142" s="1" t="s">
        <v>324</v>
      </c>
      <c r="C142" s="1" t="s">
        <v>325</v>
      </c>
      <c r="D142" s="1" t="s">
        <v>13</v>
      </c>
      <c r="E142" s="5">
        <v>42785</v>
      </c>
      <c r="F142" s="3" t="s">
        <v>46</v>
      </c>
      <c r="G142" s="1" t="s">
        <v>365</v>
      </c>
      <c r="H142" s="1">
        <v>500</v>
      </c>
      <c r="I142" s="1">
        <v>500</v>
      </c>
      <c r="J142" s="2">
        <v>0</v>
      </c>
      <c r="K142">
        <f t="shared" si="6"/>
        <v>0</v>
      </c>
      <c r="L142">
        <f t="shared" si="7"/>
        <v>500</v>
      </c>
      <c r="M142" t="str">
        <f t="shared" si="8"/>
        <v>Feb-2017</v>
      </c>
    </row>
    <row r="143" spans="1:13" x14ac:dyDescent="0.3">
      <c r="A143" t="s">
        <v>366</v>
      </c>
      <c r="B143" s="1" t="s">
        <v>114</v>
      </c>
      <c r="C143" s="1" t="s">
        <v>54</v>
      </c>
      <c r="D143" s="1" t="s">
        <v>13</v>
      </c>
      <c r="E143" s="5">
        <v>43147</v>
      </c>
      <c r="F143" s="3" t="s">
        <v>115</v>
      </c>
      <c r="G143" s="1" t="s">
        <v>367</v>
      </c>
      <c r="H143" s="1">
        <v>250</v>
      </c>
      <c r="I143" s="1">
        <v>225</v>
      </c>
      <c r="J143" s="2">
        <v>0.1</v>
      </c>
      <c r="K143">
        <f t="shared" si="6"/>
        <v>22.5</v>
      </c>
      <c r="L143">
        <f t="shared" si="7"/>
        <v>202.5</v>
      </c>
      <c r="M143" t="str">
        <f t="shared" si="8"/>
        <v>Feb-2018</v>
      </c>
    </row>
    <row r="144" spans="1:13" x14ac:dyDescent="0.3">
      <c r="A144" t="s">
        <v>368</v>
      </c>
      <c r="B144" s="1" t="s">
        <v>264</v>
      </c>
      <c r="C144" s="1" t="s">
        <v>265</v>
      </c>
      <c r="D144" s="1" t="s">
        <v>13</v>
      </c>
      <c r="E144" s="5">
        <v>43325</v>
      </c>
      <c r="F144" s="3" t="s">
        <v>41</v>
      </c>
      <c r="G144" s="1" t="s">
        <v>369</v>
      </c>
      <c r="H144" s="1">
        <v>30</v>
      </c>
      <c r="I144" s="1">
        <v>26</v>
      </c>
      <c r="J144" s="2">
        <v>0.1333</v>
      </c>
      <c r="K144">
        <f t="shared" si="6"/>
        <v>3.4658000000000002</v>
      </c>
      <c r="L144">
        <f t="shared" si="7"/>
        <v>22.534199999999998</v>
      </c>
      <c r="M144" t="str">
        <f t="shared" si="8"/>
        <v>Aug-2018</v>
      </c>
    </row>
    <row r="145" spans="1:13" x14ac:dyDescent="0.3">
      <c r="A145" t="s">
        <v>370</v>
      </c>
      <c r="B145" s="1" t="s">
        <v>205</v>
      </c>
      <c r="C145" s="1" t="s">
        <v>206</v>
      </c>
      <c r="D145" s="1" t="s">
        <v>24</v>
      </c>
      <c r="E145" s="5">
        <v>42476</v>
      </c>
      <c r="F145" s="3" t="s">
        <v>41</v>
      </c>
      <c r="G145" s="1" t="s">
        <v>361</v>
      </c>
      <c r="H145" s="1">
        <v>30</v>
      </c>
      <c r="I145" s="1">
        <v>27</v>
      </c>
      <c r="J145" s="2">
        <v>0.1</v>
      </c>
      <c r="K145">
        <f t="shared" si="6"/>
        <v>2.7</v>
      </c>
      <c r="L145">
        <f t="shared" si="7"/>
        <v>24.3</v>
      </c>
      <c r="M145" t="str">
        <f t="shared" si="8"/>
        <v>Apr-2016</v>
      </c>
    </row>
    <row r="146" spans="1:13" x14ac:dyDescent="0.3">
      <c r="A146" t="s">
        <v>371</v>
      </c>
      <c r="B146" s="1" t="s">
        <v>111</v>
      </c>
      <c r="C146" s="1" t="s">
        <v>82</v>
      </c>
      <c r="D146" s="1" t="s">
        <v>13</v>
      </c>
      <c r="E146" s="5">
        <v>42666</v>
      </c>
      <c r="F146" s="3" t="s">
        <v>122</v>
      </c>
      <c r="G146" s="1" t="s">
        <v>372</v>
      </c>
      <c r="H146" s="1">
        <v>50</v>
      </c>
      <c r="I146" s="1">
        <v>34</v>
      </c>
      <c r="J146" s="2">
        <v>0.32</v>
      </c>
      <c r="K146">
        <f t="shared" si="6"/>
        <v>10.88</v>
      </c>
      <c r="L146">
        <f t="shared" si="7"/>
        <v>23.119999999999997</v>
      </c>
      <c r="M146" t="str">
        <f t="shared" si="8"/>
        <v>Oct-2016</v>
      </c>
    </row>
    <row r="147" spans="1:13" x14ac:dyDescent="0.3">
      <c r="A147" t="s">
        <v>373</v>
      </c>
      <c r="B147" s="1" t="s">
        <v>134</v>
      </c>
      <c r="C147" s="1" t="s">
        <v>92</v>
      </c>
      <c r="D147" s="1" t="s">
        <v>35</v>
      </c>
      <c r="E147" s="5">
        <v>42216</v>
      </c>
      <c r="F147" s="3" t="s">
        <v>72</v>
      </c>
      <c r="G147" s="1" t="s">
        <v>374</v>
      </c>
      <c r="H147" s="1">
        <v>500</v>
      </c>
      <c r="I147" s="1">
        <v>500</v>
      </c>
      <c r="J147" s="2">
        <v>0</v>
      </c>
      <c r="K147">
        <f t="shared" si="6"/>
        <v>0</v>
      </c>
      <c r="L147">
        <f t="shared" si="7"/>
        <v>500</v>
      </c>
      <c r="M147" t="str">
        <f t="shared" si="8"/>
        <v>Jul-2015</v>
      </c>
    </row>
    <row r="148" spans="1:13" x14ac:dyDescent="0.3">
      <c r="A148" t="s">
        <v>375</v>
      </c>
      <c r="B148" s="1" t="s">
        <v>255</v>
      </c>
      <c r="C148" s="1" t="s">
        <v>256</v>
      </c>
      <c r="D148" s="1" t="s">
        <v>13</v>
      </c>
      <c r="E148" s="5">
        <v>43303</v>
      </c>
      <c r="F148" s="3" t="s">
        <v>61</v>
      </c>
      <c r="G148" s="1" t="s">
        <v>376</v>
      </c>
      <c r="H148" s="1">
        <v>1000</v>
      </c>
      <c r="I148" s="1">
        <v>780</v>
      </c>
      <c r="J148" s="2">
        <v>0.22</v>
      </c>
      <c r="K148">
        <f t="shared" si="6"/>
        <v>171.6</v>
      </c>
      <c r="L148">
        <f t="shared" si="7"/>
        <v>608.4</v>
      </c>
      <c r="M148" t="str">
        <f t="shared" si="8"/>
        <v>Jul-2018</v>
      </c>
    </row>
    <row r="149" spans="1:13" x14ac:dyDescent="0.3">
      <c r="A149" t="s">
        <v>377</v>
      </c>
      <c r="B149" s="1" t="s">
        <v>49</v>
      </c>
      <c r="C149" s="1" t="s">
        <v>50</v>
      </c>
      <c r="D149" s="1" t="s">
        <v>24</v>
      </c>
      <c r="E149" s="5">
        <v>42199</v>
      </c>
      <c r="F149" s="3" t="s">
        <v>115</v>
      </c>
      <c r="G149" s="1" t="s">
        <v>378</v>
      </c>
      <c r="H149" s="1">
        <v>250</v>
      </c>
      <c r="I149" s="1">
        <v>245</v>
      </c>
      <c r="J149" s="2">
        <v>0.02</v>
      </c>
      <c r="K149">
        <f t="shared" si="6"/>
        <v>4.9000000000000004</v>
      </c>
      <c r="L149">
        <f t="shared" si="7"/>
        <v>240.1</v>
      </c>
      <c r="M149" t="str">
        <f t="shared" si="8"/>
        <v>Jul-2015</v>
      </c>
    </row>
    <row r="150" spans="1:13" x14ac:dyDescent="0.3">
      <c r="A150" t="s">
        <v>379</v>
      </c>
      <c r="B150" s="1" t="s">
        <v>241</v>
      </c>
      <c r="C150" s="1" t="s">
        <v>242</v>
      </c>
      <c r="D150" s="1" t="s">
        <v>13</v>
      </c>
      <c r="E150" s="5">
        <v>41750</v>
      </c>
      <c r="F150" s="3" t="s">
        <v>55</v>
      </c>
      <c r="G150" s="1" t="s">
        <v>380</v>
      </c>
      <c r="H150" s="1">
        <v>800</v>
      </c>
      <c r="I150" s="1">
        <v>784</v>
      </c>
      <c r="J150" s="2">
        <v>0.02</v>
      </c>
      <c r="K150">
        <f t="shared" si="6"/>
        <v>15.68</v>
      </c>
      <c r="L150">
        <f t="shared" si="7"/>
        <v>768.32</v>
      </c>
      <c r="M150" t="str">
        <f t="shared" si="8"/>
        <v>Apr-2014</v>
      </c>
    </row>
    <row r="151" spans="1:13" x14ac:dyDescent="0.3">
      <c r="A151" t="s">
        <v>381</v>
      </c>
      <c r="B151" s="1" t="s">
        <v>131</v>
      </c>
      <c r="C151" s="1" t="s">
        <v>108</v>
      </c>
      <c r="D151" s="1" t="s">
        <v>19</v>
      </c>
      <c r="E151" s="5">
        <v>42211</v>
      </c>
      <c r="F151" s="3" t="s">
        <v>104</v>
      </c>
      <c r="G151" s="1" t="s">
        <v>382</v>
      </c>
      <c r="H151" s="1">
        <v>70</v>
      </c>
      <c r="I151" s="1">
        <v>60</v>
      </c>
      <c r="J151" s="2">
        <v>0.1429</v>
      </c>
      <c r="K151">
        <f t="shared" si="6"/>
        <v>8.5739999999999998</v>
      </c>
      <c r="L151">
        <f t="shared" si="7"/>
        <v>51.426000000000002</v>
      </c>
      <c r="M151" t="str">
        <f t="shared" si="8"/>
        <v>Jul-2015</v>
      </c>
    </row>
    <row r="152" spans="1:13" x14ac:dyDescent="0.3">
      <c r="A152" t="s">
        <v>383</v>
      </c>
      <c r="B152" s="1" t="s">
        <v>17</v>
      </c>
      <c r="C152" s="1" t="s">
        <v>18</v>
      </c>
      <c r="D152" s="1" t="s">
        <v>19</v>
      </c>
      <c r="E152" s="5">
        <v>43001</v>
      </c>
      <c r="F152" s="3" t="s">
        <v>72</v>
      </c>
      <c r="G152" s="1" t="s">
        <v>178</v>
      </c>
      <c r="H152" s="1">
        <v>500</v>
      </c>
      <c r="I152" s="1">
        <v>500</v>
      </c>
      <c r="J152" s="2">
        <v>0</v>
      </c>
      <c r="K152">
        <f t="shared" si="6"/>
        <v>0</v>
      </c>
      <c r="L152">
        <f t="shared" si="7"/>
        <v>500</v>
      </c>
      <c r="M152" t="str">
        <f t="shared" si="8"/>
        <v>Sep-2017</v>
      </c>
    </row>
    <row r="153" spans="1:13" x14ac:dyDescent="0.3">
      <c r="A153" t="s">
        <v>384</v>
      </c>
      <c r="B153" s="1" t="s">
        <v>127</v>
      </c>
      <c r="C153" s="1" t="s">
        <v>128</v>
      </c>
      <c r="D153" s="1" t="s">
        <v>13</v>
      </c>
      <c r="E153" s="5">
        <v>41868</v>
      </c>
      <c r="F153" s="3" t="s">
        <v>55</v>
      </c>
      <c r="G153" s="1" t="s">
        <v>385</v>
      </c>
      <c r="H153" s="1">
        <v>800</v>
      </c>
      <c r="I153" s="1">
        <v>496</v>
      </c>
      <c r="J153" s="2">
        <v>0.38</v>
      </c>
      <c r="K153">
        <f t="shared" si="6"/>
        <v>188.48</v>
      </c>
      <c r="L153">
        <f t="shared" si="7"/>
        <v>307.52</v>
      </c>
      <c r="M153" t="str">
        <f t="shared" si="8"/>
        <v>Aug-2014</v>
      </c>
    </row>
    <row r="154" spans="1:13" x14ac:dyDescent="0.3">
      <c r="A154" t="s">
        <v>386</v>
      </c>
      <c r="B154" s="1" t="s">
        <v>81</v>
      </c>
      <c r="C154" s="1" t="s">
        <v>82</v>
      </c>
      <c r="D154" s="1" t="s">
        <v>13</v>
      </c>
      <c r="E154" s="5">
        <v>42664</v>
      </c>
      <c r="F154" s="3" t="s">
        <v>104</v>
      </c>
      <c r="G154" s="1" t="s">
        <v>387</v>
      </c>
      <c r="H154" s="1">
        <v>70</v>
      </c>
      <c r="I154" s="1">
        <v>69</v>
      </c>
      <c r="J154" s="2">
        <v>1.43E-2</v>
      </c>
      <c r="K154">
        <f t="shared" si="6"/>
        <v>0.98670000000000002</v>
      </c>
      <c r="L154">
        <f t="shared" si="7"/>
        <v>68.013300000000001</v>
      </c>
      <c r="M154" t="str">
        <f t="shared" si="8"/>
        <v>Oct-2016</v>
      </c>
    </row>
    <row r="155" spans="1:13" x14ac:dyDescent="0.3">
      <c r="A155" t="s">
        <v>388</v>
      </c>
      <c r="B155" s="1" t="s">
        <v>103</v>
      </c>
      <c r="C155" s="1" t="s">
        <v>71</v>
      </c>
      <c r="D155" s="1" t="s">
        <v>35</v>
      </c>
      <c r="E155" s="5">
        <v>42396</v>
      </c>
      <c r="F155" s="3" t="s">
        <v>41</v>
      </c>
      <c r="G155" s="1" t="s">
        <v>247</v>
      </c>
      <c r="H155" s="1">
        <v>30</v>
      </c>
      <c r="I155" s="1">
        <v>29</v>
      </c>
      <c r="J155" s="2">
        <v>3.3300000000000003E-2</v>
      </c>
      <c r="K155">
        <f t="shared" si="6"/>
        <v>0.96570000000000011</v>
      </c>
      <c r="L155">
        <f t="shared" si="7"/>
        <v>28.034299999999998</v>
      </c>
      <c r="M155" t="str">
        <f t="shared" si="8"/>
        <v>Jan-2016</v>
      </c>
    </row>
    <row r="156" spans="1:13" x14ac:dyDescent="0.3">
      <c r="A156" t="s">
        <v>389</v>
      </c>
      <c r="B156" s="1" t="s">
        <v>150</v>
      </c>
      <c r="C156" s="1" t="s">
        <v>151</v>
      </c>
      <c r="D156" s="1" t="s">
        <v>13</v>
      </c>
      <c r="E156" s="5">
        <v>43369</v>
      </c>
      <c r="F156" s="3" t="s">
        <v>104</v>
      </c>
      <c r="G156" s="1" t="s">
        <v>152</v>
      </c>
      <c r="H156" s="1">
        <v>70</v>
      </c>
      <c r="I156" s="1">
        <v>65</v>
      </c>
      <c r="J156" s="2">
        <v>7.1400000000000005E-2</v>
      </c>
      <c r="K156">
        <f t="shared" si="6"/>
        <v>4.641</v>
      </c>
      <c r="L156">
        <f t="shared" si="7"/>
        <v>60.359000000000002</v>
      </c>
      <c r="M156" t="str">
        <f t="shared" si="8"/>
        <v>Sep-2018</v>
      </c>
    </row>
    <row r="157" spans="1:13" x14ac:dyDescent="0.3">
      <c r="A157" t="s">
        <v>390</v>
      </c>
      <c r="B157" s="1" t="s">
        <v>70</v>
      </c>
      <c r="C157" s="1" t="s">
        <v>71</v>
      </c>
      <c r="D157" s="1" t="s">
        <v>35</v>
      </c>
      <c r="E157" s="5">
        <v>43359</v>
      </c>
      <c r="F157" s="3" t="s">
        <v>14</v>
      </c>
      <c r="G157" s="1" t="s">
        <v>391</v>
      </c>
      <c r="H157" s="1">
        <v>80</v>
      </c>
      <c r="I157" s="1">
        <v>78</v>
      </c>
      <c r="J157" s="2">
        <v>2.5000000000000001E-2</v>
      </c>
      <c r="K157">
        <f t="shared" si="6"/>
        <v>1.9500000000000002</v>
      </c>
      <c r="L157">
        <f t="shared" si="7"/>
        <v>76.05</v>
      </c>
      <c r="M157" t="str">
        <f t="shared" si="8"/>
        <v>Sep-2018</v>
      </c>
    </row>
    <row r="158" spans="1:13" x14ac:dyDescent="0.3">
      <c r="A158" t="s">
        <v>392</v>
      </c>
      <c r="B158" s="1" t="s">
        <v>221</v>
      </c>
      <c r="C158" s="1" t="s">
        <v>40</v>
      </c>
      <c r="D158" s="1" t="s">
        <v>35</v>
      </c>
      <c r="E158" s="5">
        <v>42474</v>
      </c>
      <c r="F158" s="3" t="s">
        <v>122</v>
      </c>
      <c r="G158" s="1" t="s">
        <v>231</v>
      </c>
      <c r="H158" s="1">
        <v>50</v>
      </c>
      <c r="I158" s="1">
        <v>39</v>
      </c>
      <c r="J158" s="2">
        <v>0.22</v>
      </c>
      <c r="K158">
        <f t="shared" si="6"/>
        <v>8.58</v>
      </c>
      <c r="L158">
        <f t="shared" si="7"/>
        <v>30.42</v>
      </c>
      <c r="M158" t="str">
        <f t="shared" si="8"/>
        <v>Apr-2016</v>
      </c>
    </row>
    <row r="159" spans="1:13" x14ac:dyDescent="0.3">
      <c r="A159" t="s">
        <v>393</v>
      </c>
      <c r="B159" s="1" t="s">
        <v>77</v>
      </c>
      <c r="C159" s="1" t="s">
        <v>78</v>
      </c>
      <c r="D159" s="1" t="s">
        <v>35</v>
      </c>
      <c r="E159" s="5">
        <v>43061</v>
      </c>
      <c r="F159" s="3" t="s">
        <v>41</v>
      </c>
      <c r="G159" s="1" t="s">
        <v>394</v>
      </c>
      <c r="H159" s="1">
        <v>30</v>
      </c>
      <c r="I159" s="1">
        <v>28</v>
      </c>
      <c r="J159" s="2">
        <v>6.6699999999999995E-2</v>
      </c>
      <c r="K159">
        <f t="shared" si="6"/>
        <v>1.8675999999999999</v>
      </c>
      <c r="L159">
        <f t="shared" si="7"/>
        <v>26.132400000000001</v>
      </c>
      <c r="M159" t="str">
        <f t="shared" si="8"/>
        <v>Nov-2017</v>
      </c>
    </row>
    <row r="160" spans="1:13" x14ac:dyDescent="0.3">
      <c r="A160" t="s">
        <v>395</v>
      </c>
      <c r="B160" s="1" t="s">
        <v>28</v>
      </c>
      <c r="C160" s="1" t="s">
        <v>29</v>
      </c>
      <c r="D160" s="1" t="s">
        <v>13</v>
      </c>
      <c r="E160" s="5">
        <v>41839</v>
      </c>
      <c r="F160" s="3" t="s">
        <v>46</v>
      </c>
      <c r="G160" s="1" t="s">
        <v>396</v>
      </c>
      <c r="H160" s="1">
        <v>500</v>
      </c>
      <c r="I160" s="1">
        <v>315</v>
      </c>
      <c r="J160" s="2">
        <v>0.37</v>
      </c>
      <c r="K160">
        <f t="shared" si="6"/>
        <v>116.55</v>
      </c>
      <c r="L160">
        <f t="shared" si="7"/>
        <v>198.45</v>
      </c>
      <c r="M160" t="str">
        <f t="shared" si="8"/>
        <v>Jul-2014</v>
      </c>
    </row>
    <row r="161" spans="1:13" x14ac:dyDescent="0.3">
      <c r="A161" t="s">
        <v>397</v>
      </c>
      <c r="B161" s="1" t="s">
        <v>49</v>
      </c>
      <c r="C161" s="1" t="s">
        <v>50</v>
      </c>
      <c r="D161" s="1" t="s">
        <v>24</v>
      </c>
      <c r="E161" s="5">
        <v>43364</v>
      </c>
      <c r="F161" s="3" t="s">
        <v>41</v>
      </c>
      <c r="G161" s="1" t="s">
        <v>398</v>
      </c>
      <c r="H161" s="1">
        <v>30</v>
      </c>
      <c r="I161" s="1">
        <v>29</v>
      </c>
      <c r="J161" s="2">
        <v>3.3300000000000003E-2</v>
      </c>
      <c r="K161">
        <f t="shared" si="6"/>
        <v>0.96570000000000011</v>
      </c>
      <c r="L161">
        <f t="shared" si="7"/>
        <v>28.034299999999998</v>
      </c>
      <c r="M161" t="str">
        <f t="shared" si="8"/>
        <v>Sep-2018</v>
      </c>
    </row>
    <row r="162" spans="1:13" x14ac:dyDescent="0.3">
      <c r="A162" t="s">
        <v>399</v>
      </c>
      <c r="B162" s="1" t="s">
        <v>400</v>
      </c>
      <c r="C162" s="1" t="s">
        <v>401</v>
      </c>
      <c r="D162" s="1" t="s">
        <v>13</v>
      </c>
      <c r="E162" s="5">
        <v>42277</v>
      </c>
      <c r="F162" s="3" t="s">
        <v>25</v>
      </c>
      <c r="G162" s="1" t="s">
        <v>402</v>
      </c>
      <c r="H162" s="1">
        <v>700</v>
      </c>
      <c r="I162" s="1">
        <v>595</v>
      </c>
      <c r="J162" s="2">
        <v>0.15</v>
      </c>
      <c r="K162">
        <f t="shared" si="6"/>
        <v>89.25</v>
      </c>
      <c r="L162">
        <f t="shared" si="7"/>
        <v>505.75</v>
      </c>
      <c r="M162" t="str">
        <f t="shared" si="8"/>
        <v>Sep-2015</v>
      </c>
    </row>
    <row r="163" spans="1:13" x14ac:dyDescent="0.3">
      <c r="A163" t="s">
        <v>403</v>
      </c>
      <c r="B163" s="1" t="s">
        <v>53</v>
      </c>
      <c r="C163" s="1" t="s">
        <v>54</v>
      </c>
      <c r="D163" s="1" t="s">
        <v>13</v>
      </c>
      <c r="E163" s="5">
        <v>43099</v>
      </c>
      <c r="F163" s="3" t="s">
        <v>72</v>
      </c>
      <c r="G163" s="1" t="s">
        <v>404</v>
      </c>
      <c r="H163" s="1">
        <v>500</v>
      </c>
      <c r="I163" s="1">
        <v>500</v>
      </c>
      <c r="J163" s="2">
        <v>0</v>
      </c>
      <c r="K163">
        <f t="shared" si="6"/>
        <v>0</v>
      </c>
      <c r="L163">
        <f t="shared" si="7"/>
        <v>500</v>
      </c>
      <c r="M163" t="str">
        <f t="shared" si="8"/>
        <v>Dec-2017</v>
      </c>
    </row>
    <row r="164" spans="1:13" x14ac:dyDescent="0.3">
      <c r="A164" t="s">
        <v>405</v>
      </c>
      <c r="B164" s="1" t="s">
        <v>49</v>
      </c>
      <c r="C164" s="1" t="s">
        <v>50</v>
      </c>
      <c r="D164" s="1" t="s">
        <v>24</v>
      </c>
      <c r="E164" s="5">
        <v>42875</v>
      </c>
      <c r="F164" s="3" t="s">
        <v>115</v>
      </c>
      <c r="G164" s="1" t="s">
        <v>51</v>
      </c>
      <c r="H164" s="1">
        <v>250</v>
      </c>
      <c r="I164" s="1">
        <v>243</v>
      </c>
      <c r="J164" s="2">
        <v>2.8000000000000001E-2</v>
      </c>
      <c r="K164">
        <f t="shared" si="6"/>
        <v>6.8040000000000003</v>
      </c>
      <c r="L164">
        <f t="shared" si="7"/>
        <v>236.196</v>
      </c>
      <c r="M164" t="str">
        <f t="shared" si="8"/>
        <v>May-2017</v>
      </c>
    </row>
    <row r="165" spans="1:13" x14ac:dyDescent="0.3">
      <c r="A165" t="s">
        <v>406</v>
      </c>
      <c r="B165" s="1" t="s">
        <v>131</v>
      </c>
      <c r="C165" s="1" t="s">
        <v>108</v>
      </c>
      <c r="D165" s="1" t="s">
        <v>19</v>
      </c>
      <c r="E165" s="5">
        <v>41662</v>
      </c>
      <c r="F165" s="3" t="s">
        <v>36</v>
      </c>
      <c r="G165" s="1" t="s">
        <v>132</v>
      </c>
      <c r="H165" s="1">
        <v>50</v>
      </c>
      <c r="I165" s="1">
        <v>40</v>
      </c>
      <c r="J165" s="2">
        <v>0.2</v>
      </c>
      <c r="K165">
        <f t="shared" si="6"/>
        <v>8</v>
      </c>
      <c r="L165">
        <f t="shared" si="7"/>
        <v>32</v>
      </c>
      <c r="M165" t="str">
        <f t="shared" si="8"/>
        <v>Jan-2014</v>
      </c>
    </row>
    <row r="166" spans="1:13" x14ac:dyDescent="0.3">
      <c r="A166" t="s">
        <v>407</v>
      </c>
      <c r="B166" s="1" t="s">
        <v>91</v>
      </c>
      <c r="C166" s="1" t="s">
        <v>92</v>
      </c>
      <c r="D166" s="1" t="s">
        <v>35</v>
      </c>
      <c r="E166" s="5">
        <v>42447</v>
      </c>
      <c r="F166" s="3" t="s">
        <v>104</v>
      </c>
      <c r="G166" s="1" t="s">
        <v>285</v>
      </c>
      <c r="H166" s="1">
        <v>70</v>
      </c>
      <c r="I166" s="1">
        <v>47</v>
      </c>
      <c r="J166" s="2">
        <v>0.3286</v>
      </c>
      <c r="K166">
        <f t="shared" si="6"/>
        <v>15.4442</v>
      </c>
      <c r="L166">
        <f t="shared" si="7"/>
        <v>31.555799999999998</v>
      </c>
      <c r="M166" t="str">
        <f t="shared" si="8"/>
        <v>Mar-2016</v>
      </c>
    </row>
    <row r="167" spans="1:13" x14ac:dyDescent="0.3">
      <c r="A167" t="s">
        <v>408</v>
      </c>
      <c r="B167" s="1" t="s">
        <v>150</v>
      </c>
      <c r="C167" s="1" t="s">
        <v>151</v>
      </c>
      <c r="D167" s="1" t="s">
        <v>13</v>
      </c>
      <c r="E167" s="5">
        <v>41840</v>
      </c>
      <c r="F167" s="3" t="s">
        <v>122</v>
      </c>
      <c r="G167" s="1" t="s">
        <v>409</v>
      </c>
      <c r="H167" s="1">
        <v>50</v>
      </c>
      <c r="I167" s="1">
        <v>46</v>
      </c>
      <c r="J167" s="2">
        <v>0.08</v>
      </c>
      <c r="K167">
        <f t="shared" si="6"/>
        <v>3.68</v>
      </c>
      <c r="L167">
        <f t="shared" si="7"/>
        <v>42.32</v>
      </c>
      <c r="M167" t="str">
        <f t="shared" si="8"/>
        <v>Jul-2014</v>
      </c>
    </row>
    <row r="168" spans="1:13" x14ac:dyDescent="0.3">
      <c r="A168" t="s">
        <v>410</v>
      </c>
      <c r="B168" s="1" t="s">
        <v>170</v>
      </c>
      <c r="C168" s="1" t="s">
        <v>171</v>
      </c>
      <c r="D168" s="1" t="s">
        <v>13</v>
      </c>
      <c r="E168" s="5">
        <v>43268</v>
      </c>
      <c r="F168" s="3" t="s">
        <v>72</v>
      </c>
      <c r="G168" s="1" t="s">
        <v>411</v>
      </c>
      <c r="H168" s="1">
        <v>500</v>
      </c>
      <c r="I168" s="1">
        <v>500</v>
      </c>
      <c r="J168" s="2">
        <v>0</v>
      </c>
      <c r="K168">
        <f t="shared" si="6"/>
        <v>0</v>
      </c>
      <c r="L168">
        <f t="shared" si="7"/>
        <v>500</v>
      </c>
      <c r="M168" t="str">
        <f t="shared" si="8"/>
        <v>Jun-2018</v>
      </c>
    </row>
    <row r="169" spans="1:13" x14ac:dyDescent="0.3">
      <c r="A169" t="s">
        <v>412</v>
      </c>
      <c r="B169" s="1" t="s">
        <v>224</v>
      </c>
      <c r="C169" s="1" t="s">
        <v>50</v>
      </c>
      <c r="D169" s="1" t="s">
        <v>24</v>
      </c>
      <c r="E169" s="5">
        <v>42636</v>
      </c>
      <c r="F169" s="3" t="s">
        <v>14</v>
      </c>
      <c r="G169" s="1" t="s">
        <v>413</v>
      </c>
      <c r="H169" s="1">
        <v>80</v>
      </c>
      <c r="I169" s="1">
        <v>77</v>
      </c>
      <c r="J169" s="2">
        <v>3.7499999999999999E-2</v>
      </c>
      <c r="K169">
        <f t="shared" si="6"/>
        <v>2.8874999999999997</v>
      </c>
      <c r="L169">
        <f t="shared" si="7"/>
        <v>74.112499999999997</v>
      </c>
      <c r="M169" t="str">
        <f t="shared" si="8"/>
        <v>Sep-2016</v>
      </c>
    </row>
    <row r="170" spans="1:13" x14ac:dyDescent="0.3">
      <c r="A170" t="s">
        <v>414</v>
      </c>
      <c r="B170" s="1" t="s">
        <v>187</v>
      </c>
      <c r="C170" s="1" t="s">
        <v>188</v>
      </c>
      <c r="D170" s="1" t="s">
        <v>13</v>
      </c>
      <c r="E170" s="5">
        <v>43173</v>
      </c>
      <c r="F170" s="3" t="s">
        <v>122</v>
      </c>
      <c r="G170" s="1" t="s">
        <v>415</v>
      </c>
      <c r="H170" s="1">
        <v>50</v>
      </c>
      <c r="I170" s="1">
        <v>43</v>
      </c>
      <c r="J170" s="2">
        <v>0.14000000000000001</v>
      </c>
      <c r="K170">
        <f t="shared" si="6"/>
        <v>6.0200000000000005</v>
      </c>
      <c r="L170">
        <f t="shared" si="7"/>
        <v>36.979999999999997</v>
      </c>
      <c r="M170" t="str">
        <f t="shared" si="8"/>
        <v>Mar-2018</v>
      </c>
    </row>
    <row r="171" spans="1:13" x14ac:dyDescent="0.3">
      <c r="A171" t="s">
        <v>416</v>
      </c>
      <c r="B171" s="1" t="s">
        <v>70</v>
      </c>
      <c r="C171" s="1" t="s">
        <v>71</v>
      </c>
      <c r="D171" s="1" t="s">
        <v>35</v>
      </c>
      <c r="E171" s="5">
        <v>42152</v>
      </c>
      <c r="F171" s="3" t="s">
        <v>30</v>
      </c>
      <c r="G171" s="1" t="s">
        <v>417</v>
      </c>
      <c r="H171" s="1">
        <v>150</v>
      </c>
      <c r="I171" s="1">
        <v>143</v>
      </c>
      <c r="J171" s="2">
        <v>4.6699999999999998E-2</v>
      </c>
      <c r="K171">
        <f t="shared" si="6"/>
        <v>6.6780999999999997</v>
      </c>
      <c r="L171">
        <f t="shared" si="7"/>
        <v>136.3219</v>
      </c>
      <c r="M171" t="str">
        <f t="shared" si="8"/>
        <v>May-2015</v>
      </c>
    </row>
    <row r="172" spans="1:13" x14ac:dyDescent="0.3">
      <c r="A172" t="s">
        <v>418</v>
      </c>
      <c r="B172" s="1" t="s">
        <v>64</v>
      </c>
      <c r="C172" s="1" t="s">
        <v>65</v>
      </c>
      <c r="D172" s="1" t="s">
        <v>35</v>
      </c>
      <c r="E172" s="5">
        <v>42174</v>
      </c>
      <c r="F172" s="3" t="s">
        <v>61</v>
      </c>
      <c r="G172" s="1" t="s">
        <v>66</v>
      </c>
      <c r="H172" s="1">
        <v>1000</v>
      </c>
      <c r="I172" s="1">
        <v>610</v>
      </c>
      <c r="J172" s="2">
        <v>0.39</v>
      </c>
      <c r="K172">
        <f t="shared" si="6"/>
        <v>237.9</v>
      </c>
      <c r="L172">
        <f t="shared" si="7"/>
        <v>372.1</v>
      </c>
      <c r="M172" t="str">
        <f t="shared" si="8"/>
        <v>Jun-2015</v>
      </c>
    </row>
    <row r="173" spans="1:13" x14ac:dyDescent="0.3">
      <c r="A173" t="s">
        <v>419</v>
      </c>
      <c r="B173" s="1" t="s">
        <v>81</v>
      </c>
      <c r="C173" s="1" t="s">
        <v>82</v>
      </c>
      <c r="D173" s="1" t="s">
        <v>13</v>
      </c>
      <c r="E173" s="5">
        <v>42666</v>
      </c>
      <c r="F173" s="3" t="s">
        <v>36</v>
      </c>
      <c r="G173" s="1" t="s">
        <v>387</v>
      </c>
      <c r="H173" s="1">
        <v>50</v>
      </c>
      <c r="I173" s="1">
        <v>41</v>
      </c>
      <c r="J173" s="2">
        <v>0.18</v>
      </c>
      <c r="K173">
        <f t="shared" si="6"/>
        <v>7.38</v>
      </c>
      <c r="L173">
        <f t="shared" si="7"/>
        <v>33.619999999999997</v>
      </c>
      <c r="M173" t="str">
        <f t="shared" si="8"/>
        <v>Oct-2016</v>
      </c>
    </row>
    <row r="174" spans="1:13" x14ac:dyDescent="0.3">
      <c r="A174" t="s">
        <v>420</v>
      </c>
      <c r="B174" s="1" t="s">
        <v>289</v>
      </c>
      <c r="C174" s="1" t="s">
        <v>108</v>
      </c>
      <c r="D174" s="1" t="s">
        <v>19</v>
      </c>
      <c r="E174" s="5">
        <v>42456</v>
      </c>
      <c r="F174" s="3" t="s">
        <v>41</v>
      </c>
      <c r="G174" s="1" t="s">
        <v>421</v>
      </c>
      <c r="H174" s="1">
        <v>30</v>
      </c>
      <c r="I174" s="1">
        <v>29</v>
      </c>
      <c r="J174" s="2">
        <v>3.3300000000000003E-2</v>
      </c>
      <c r="K174">
        <f t="shared" si="6"/>
        <v>0.96570000000000011</v>
      </c>
      <c r="L174">
        <f t="shared" si="7"/>
        <v>28.034299999999998</v>
      </c>
      <c r="M174" t="str">
        <f t="shared" si="8"/>
        <v>Mar-2016</v>
      </c>
    </row>
    <row r="175" spans="1:13" x14ac:dyDescent="0.3">
      <c r="A175" t="s">
        <v>422</v>
      </c>
      <c r="B175" s="1" t="s">
        <v>127</v>
      </c>
      <c r="C175" s="1" t="s">
        <v>128</v>
      </c>
      <c r="D175" s="1" t="s">
        <v>13</v>
      </c>
      <c r="E175" s="5">
        <v>41698</v>
      </c>
      <c r="F175" s="3" t="s">
        <v>14</v>
      </c>
      <c r="G175" s="1" t="s">
        <v>385</v>
      </c>
      <c r="H175" s="1">
        <v>80</v>
      </c>
      <c r="I175" s="1">
        <v>70</v>
      </c>
      <c r="J175" s="2">
        <v>0.125</v>
      </c>
      <c r="K175">
        <f t="shared" si="6"/>
        <v>8.75</v>
      </c>
      <c r="L175">
        <f t="shared" si="7"/>
        <v>61.25</v>
      </c>
      <c r="M175" t="str">
        <f t="shared" si="8"/>
        <v>Feb-2014</v>
      </c>
    </row>
    <row r="176" spans="1:13" x14ac:dyDescent="0.3">
      <c r="A176" t="s">
        <v>423</v>
      </c>
      <c r="B176" s="1" t="s">
        <v>28</v>
      </c>
      <c r="C176" s="1" t="s">
        <v>29</v>
      </c>
      <c r="D176" s="1" t="s">
        <v>13</v>
      </c>
      <c r="E176" s="5">
        <v>42181</v>
      </c>
      <c r="F176" s="3" t="s">
        <v>115</v>
      </c>
      <c r="G176" s="1" t="s">
        <v>424</v>
      </c>
      <c r="H176" s="1">
        <v>250</v>
      </c>
      <c r="I176" s="1">
        <v>240</v>
      </c>
      <c r="J176" s="2">
        <v>0.04</v>
      </c>
      <c r="K176">
        <f t="shared" si="6"/>
        <v>9.6</v>
      </c>
      <c r="L176">
        <f t="shared" si="7"/>
        <v>230.4</v>
      </c>
      <c r="M176" t="str">
        <f t="shared" si="8"/>
        <v>Jun-2015</v>
      </c>
    </row>
    <row r="177" spans="1:13" x14ac:dyDescent="0.3">
      <c r="A177" t="s">
        <v>425</v>
      </c>
      <c r="B177" s="1" t="s">
        <v>241</v>
      </c>
      <c r="C177" s="1" t="s">
        <v>242</v>
      </c>
      <c r="D177" s="1" t="s">
        <v>13</v>
      </c>
      <c r="E177" s="5">
        <v>41901</v>
      </c>
      <c r="F177" s="3" t="s">
        <v>41</v>
      </c>
      <c r="G177" s="1" t="s">
        <v>426</v>
      </c>
      <c r="H177" s="1">
        <v>30</v>
      </c>
      <c r="I177" s="1">
        <v>28</v>
      </c>
      <c r="J177" s="2">
        <v>6.6699999999999995E-2</v>
      </c>
      <c r="K177">
        <f t="shared" si="6"/>
        <v>1.8675999999999999</v>
      </c>
      <c r="L177">
        <f t="shared" si="7"/>
        <v>26.132400000000001</v>
      </c>
      <c r="M177" t="str">
        <f t="shared" si="8"/>
        <v>Sep-2014</v>
      </c>
    </row>
    <row r="178" spans="1:13" x14ac:dyDescent="0.3">
      <c r="A178" t="s">
        <v>427</v>
      </c>
      <c r="B178" s="1" t="s">
        <v>70</v>
      </c>
      <c r="C178" s="1" t="s">
        <v>71</v>
      </c>
      <c r="D178" s="1" t="s">
        <v>35</v>
      </c>
      <c r="E178" s="5">
        <v>42199</v>
      </c>
      <c r="F178" s="3" t="s">
        <v>104</v>
      </c>
      <c r="G178" s="1" t="s">
        <v>142</v>
      </c>
      <c r="H178" s="1">
        <v>70</v>
      </c>
      <c r="I178" s="1">
        <v>64</v>
      </c>
      <c r="J178" s="2">
        <v>8.5699999999999998E-2</v>
      </c>
      <c r="K178">
        <f t="shared" si="6"/>
        <v>5.4847999999999999</v>
      </c>
      <c r="L178">
        <f t="shared" si="7"/>
        <v>58.5152</v>
      </c>
      <c r="M178" t="str">
        <f t="shared" si="8"/>
        <v>Jul-2015</v>
      </c>
    </row>
    <row r="179" spans="1:13" x14ac:dyDescent="0.3">
      <c r="A179" t="s">
        <v>428</v>
      </c>
      <c r="B179" s="1" t="s">
        <v>107</v>
      </c>
      <c r="C179" s="1" t="s">
        <v>108</v>
      </c>
      <c r="D179" s="1" t="s">
        <v>19</v>
      </c>
      <c r="E179" s="5">
        <v>43117</v>
      </c>
      <c r="F179" s="3" t="s">
        <v>104</v>
      </c>
      <c r="G179" s="1" t="s">
        <v>109</v>
      </c>
      <c r="H179" s="1">
        <v>70</v>
      </c>
      <c r="I179" s="1">
        <v>51</v>
      </c>
      <c r="J179" s="2">
        <v>0.27139999999999997</v>
      </c>
      <c r="K179">
        <f t="shared" si="6"/>
        <v>13.841399999999998</v>
      </c>
      <c r="L179">
        <f t="shared" si="7"/>
        <v>37.1586</v>
      </c>
      <c r="M179" t="str">
        <f t="shared" si="8"/>
        <v>Jan-2018</v>
      </c>
    </row>
    <row r="180" spans="1:13" x14ac:dyDescent="0.3">
      <c r="A180" t="s">
        <v>429</v>
      </c>
      <c r="B180" s="1" t="s">
        <v>22</v>
      </c>
      <c r="C180" s="1" t="s">
        <v>23</v>
      </c>
      <c r="D180" s="1" t="s">
        <v>24</v>
      </c>
      <c r="E180" s="5">
        <v>43396</v>
      </c>
      <c r="F180" s="3" t="s">
        <v>36</v>
      </c>
      <c r="G180" s="1" t="s">
        <v>144</v>
      </c>
      <c r="H180" s="1">
        <v>50</v>
      </c>
      <c r="I180" s="1">
        <v>41</v>
      </c>
      <c r="J180" s="2">
        <v>0.18</v>
      </c>
      <c r="K180">
        <f t="shared" si="6"/>
        <v>7.38</v>
      </c>
      <c r="L180">
        <f t="shared" si="7"/>
        <v>33.619999999999997</v>
      </c>
      <c r="M180" t="str">
        <f t="shared" si="8"/>
        <v>Oct-2018</v>
      </c>
    </row>
    <row r="181" spans="1:13" x14ac:dyDescent="0.3">
      <c r="A181" t="s">
        <v>430</v>
      </c>
      <c r="B181" s="1" t="s">
        <v>44</v>
      </c>
      <c r="C181" s="1" t="s">
        <v>45</v>
      </c>
      <c r="D181" s="1" t="s">
        <v>24</v>
      </c>
      <c r="E181" s="5">
        <v>41878</v>
      </c>
      <c r="F181" s="3" t="s">
        <v>72</v>
      </c>
      <c r="G181" s="1" t="s">
        <v>431</v>
      </c>
      <c r="H181" s="1">
        <v>500</v>
      </c>
      <c r="I181" s="1">
        <v>490</v>
      </c>
      <c r="J181" s="2">
        <v>0.02</v>
      </c>
      <c r="K181">
        <f t="shared" si="6"/>
        <v>9.8000000000000007</v>
      </c>
      <c r="L181">
        <f t="shared" si="7"/>
        <v>480.2</v>
      </c>
      <c r="M181" t="str">
        <f t="shared" si="8"/>
        <v>Aug-2014</v>
      </c>
    </row>
    <row r="182" spans="1:13" x14ac:dyDescent="0.3">
      <c r="A182" t="s">
        <v>432</v>
      </c>
      <c r="B182" s="1" t="s">
        <v>44</v>
      </c>
      <c r="C182" s="1" t="s">
        <v>45</v>
      </c>
      <c r="D182" s="1" t="s">
        <v>24</v>
      </c>
      <c r="E182" s="5">
        <v>43022</v>
      </c>
      <c r="F182" s="3" t="s">
        <v>72</v>
      </c>
      <c r="G182" s="1" t="s">
        <v>47</v>
      </c>
      <c r="H182" s="1">
        <v>500</v>
      </c>
      <c r="I182" s="1">
        <v>490</v>
      </c>
      <c r="J182" s="2">
        <v>0.02</v>
      </c>
      <c r="K182">
        <f t="shared" si="6"/>
        <v>9.8000000000000007</v>
      </c>
      <c r="L182">
        <f t="shared" si="7"/>
        <v>480.2</v>
      </c>
      <c r="M182" t="str">
        <f t="shared" si="8"/>
        <v>Oct-2017</v>
      </c>
    </row>
    <row r="183" spans="1:13" x14ac:dyDescent="0.3">
      <c r="A183" t="s">
        <v>433</v>
      </c>
      <c r="B183" s="1" t="s">
        <v>434</v>
      </c>
      <c r="C183" s="1" t="s">
        <v>435</v>
      </c>
      <c r="D183" s="1" t="s">
        <v>24</v>
      </c>
      <c r="E183" s="5">
        <v>42635</v>
      </c>
      <c r="F183" s="3" t="s">
        <v>61</v>
      </c>
      <c r="G183" s="1" t="s">
        <v>436</v>
      </c>
      <c r="H183" s="1">
        <v>1000</v>
      </c>
      <c r="I183" s="1">
        <v>910</v>
      </c>
      <c r="J183" s="2">
        <v>0.09</v>
      </c>
      <c r="K183">
        <f t="shared" si="6"/>
        <v>81.899999999999991</v>
      </c>
      <c r="L183">
        <f t="shared" si="7"/>
        <v>828.1</v>
      </c>
      <c r="M183" t="str">
        <f t="shared" si="8"/>
        <v>Sep-2016</v>
      </c>
    </row>
    <row r="184" spans="1:13" x14ac:dyDescent="0.3">
      <c r="A184" t="s">
        <v>437</v>
      </c>
      <c r="B184" s="1" t="s">
        <v>227</v>
      </c>
      <c r="C184" s="1" t="s">
        <v>228</v>
      </c>
      <c r="D184" s="1" t="s">
        <v>24</v>
      </c>
      <c r="E184" s="5">
        <v>42326</v>
      </c>
      <c r="F184" s="3" t="s">
        <v>41</v>
      </c>
      <c r="G184" s="1" t="s">
        <v>438</v>
      </c>
      <c r="H184" s="1">
        <v>30</v>
      </c>
      <c r="I184" s="1">
        <v>28</v>
      </c>
      <c r="J184" s="2">
        <v>6.6699999999999995E-2</v>
      </c>
      <c r="K184">
        <f t="shared" si="6"/>
        <v>1.8675999999999999</v>
      </c>
      <c r="L184">
        <f t="shared" si="7"/>
        <v>26.132400000000001</v>
      </c>
      <c r="M184" t="str">
        <f t="shared" si="8"/>
        <v>Nov-2015</v>
      </c>
    </row>
    <row r="185" spans="1:13" x14ac:dyDescent="0.3">
      <c r="A185" t="s">
        <v>439</v>
      </c>
      <c r="B185" s="1" t="s">
        <v>170</v>
      </c>
      <c r="C185" s="1" t="s">
        <v>171</v>
      </c>
      <c r="D185" s="1" t="s">
        <v>13</v>
      </c>
      <c r="E185" s="5">
        <v>42365</v>
      </c>
      <c r="F185" s="3" t="s">
        <v>36</v>
      </c>
      <c r="G185" s="1" t="s">
        <v>440</v>
      </c>
      <c r="H185" s="1">
        <v>50</v>
      </c>
      <c r="I185" s="1">
        <v>44</v>
      </c>
      <c r="J185" s="2">
        <v>0.12</v>
      </c>
      <c r="K185">
        <f t="shared" si="6"/>
        <v>5.2799999999999994</v>
      </c>
      <c r="L185">
        <f t="shared" si="7"/>
        <v>38.72</v>
      </c>
      <c r="M185" t="str">
        <f t="shared" si="8"/>
        <v>Dec-2015</v>
      </c>
    </row>
    <row r="186" spans="1:13" x14ac:dyDescent="0.3">
      <c r="A186" t="s">
        <v>441</v>
      </c>
      <c r="B186" s="1" t="s">
        <v>241</v>
      </c>
      <c r="C186" s="1" t="s">
        <v>242</v>
      </c>
      <c r="D186" s="1" t="s">
        <v>13</v>
      </c>
      <c r="E186" s="5">
        <v>41902</v>
      </c>
      <c r="F186" s="3" t="s">
        <v>14</v>
      </c>
      <c r="G186" s="1" t="s">
        <v>287</v>
      </c>
      <c r="H186" s="1">
        <v>80</v>
      </c>
      <c r="I186" s="1">
        <v>75</v>
      </c>
      <c r="J186" s="2">
        <v>6.25E-2</v>
      </c>
      <c r="K186">
        <f t="shared" si="6"/>
        <v>4.6875</v>
      </c>
      <c r="L186">
        <f t="shared" si="7"/>
        <v>70.3125</v>
      </c>
      <c r="M186" t="str">
        <f t="shared" si="8"/>
        <v>Sep-2014</v>
      </c>
    </row>
    <row r="187" spans="1:13" x14ac:dyDescent="0.3">
      <c r="A187" t="s">
        <v>442</v>
      </c>
      <c r="B187" s="1" t="s">
        <v>400</v>
      </c>
      <c r="C187" s="1" t="s">
        <v>401</v>
      </c>
      <c r="D187" s="1" t="s">
        <v>13</v>
      </c>
      <c r="E187" s="5">
        <v>43279</v>
      </c>
      <c r="F187" s="3" t="s">
        <v>115</v>
      </c>
      <c r="G187" s="1" t="s">
        <v>443</v>
      </c>
      <c r="H187" s="1">
        <v>250</v>
      </c>
      <c r="I187" s="1">
        <v>225</v>
      </c>
      <c r="J187" s="2">
        <v>0.1</v>
      </c>
      <c r="K187">
        <f t="shared" si="6"/>
        <v>22.5</v>
      </c>
      <c r="L187">
        <f t="shared" si="7"/>
        <v>202.5</v>
      </c>
      <c r="M187" t="str">
        <f t="shared" si="8"/>
        <v>Jun-2018</v>
      </c>
    </row>
    <row r="188" spans="1:13" x14ac:dyDescent="0.3">
      <c r="A188" t="s">
        <v>444</v>
      </c>
      <c r="B188" s="1" t="s">
        <v>28</v>
      </c>
      <c r="C188" s="1" t="s">
        <v>29</v>
      </c>
      <c r="D188" s="1" t="s">
        <v>13</v>
      </c>
      <c r="E188" s="5">
        <v>41970</v>
      </c>
      <c r="F188" s="3" t="s">
        <v>41</v>
      </c>
      <c r="G188" s="1" t="s">
        <v>445</v>
      </c>
      <c r="H188" s="1">
        <v>30</v>
      </c>
      <c r="I188" s="1">
        <v>30</v>
      </c>
      <c r="J188" s="2">
        <v>0</v>
      </c>
      <c r="K188">
        <f t="shared" si="6"/>
        <v>0</v>
      </c>
      <c r="L188">
        <f t="shared" si="7"/>
        <v>30</v>
      </c>
      <c r="M188" t="str">
        <f t="shared" si="8"/>
        <v>Nov-2014</v>
      </c>
    </row>
    <row r="189" spans="1:13" x14ac:dyDescent="0.3">
      <c r="A189" t="s">
        <v>446</v>
      </c>
      <c r="B189" s="1" t="s">
        <v>227</v>
      </c>
      <c r="C189" s="1" t="s">
        <v>228</v>
      </c>
      <c r="D189" s="1" t="s">
        <v>24</v>
      </c>
      <c r="E189" s="5">
        <v>42994</v>
      </c>
      <c r="F189" s="3" t="s">
        <v>115</v>
      </c>
      <c r="G189" s="1" t="s">
        <v>278</v>
      </c>
      <c r="H189" s="1">
        <v>250</v>
      </c>
      <c r="I189" s="1">
        <v>210</v>
      </c>
      <c r="J189" s="2">
        <v>0.16</v>
      </c>
      <c r="K189">
        <f t="shared" si="6"/>
        <v>33.6</v>
      </c>
      <c r="L189">
        <f t="shared" si="7"/>
        <v>176.4</v>
      </c>
      <c r="M189" t="str">
        <f t="shared" si="8"/>
        <v>Sep-2017</v>
      </c>
    </row>
    <row r="190" spans="1:13" x14ac:dyDescent="0.3">
      <c r="A190" t="s">
        <v>447</v>
      </c>
      <c r="B190" s="1" t="s">
        <v>11</v>
      </c>
      <c r="C190" s="1" t="s">
        <v>12</v>
      </c>
      <c r="D190" s="1" t="s">
        <v>13</v>
      </c>
      <c r="E190" s="5">
        <v>43275</v>
      </c>
      <c r="F190" s="3" t="s">
        <v>115</v>
      </c>
      <c r="G190" s="1" t="s">
        <v>193</v>
      </c>
      <c r="H190" s="1">
        <v>250</v>
      </c>
      <c r="I190" s="1">
        <v>250</v>
      </c>
      <c r="J190" s="2">
        <v>0</v>
      </c>
      <c r="K190">
        <f t="shared" si="6"/>
        <v>0</v>
      </c>
      <c r="L190">
        <f t="shared" si="7"/>
        <v>250</v>
      </c>
      <c r="M190" t="str">
        <f t="shared" si="8"/>
        <v>Jun-2018</v>
      </c>
    </row>
    <row r="191" spans="1:13" x14ac:dyDescent="0.3">
      <c r="A191" t="s">
        <v>448</v>
      </c>
      <c r="B191" s="1" t="s">
        <v>170</v>
      </c>
      <c r="C191" s="1" t="s">
        <v>171</v>
      </c>
      <c r="D191" s="1" t="s">
        <v>13</v>
      </c>
      <c r="E191" s="5">
        <v>42144</v>
      </c>
      <c r="F191" s="3" t="s">
        <v>46</v>
      </c>
      <c r="G191" s="1" t="s">
        <v>449</v>
      </c>
      <c r="H191" s="1">
        <v>500</v>
      </c>
      <c r="I191" s="1">
        <v>480</v>
      </c>
      <c r="J191" s="2">
        <v>0.04</v>
      </c>
      <c r="K191">
        <f t="shared" si="6"/>
        <v>19.2</v>
      </c>
      <c r="L191">
        <f t="shared" si="7"/>
        <v>460.8</v>
      </c>
      <c r="M191" t="str">
        <f t="shared" si="8"/>
        <v>May-2015</v>
      </c>
    </row>
    <row r="192" spans="1:13" x14ac:dyDescent="0.3">
      <c r="A192" t="s">
        <v>450</v>
      </c>
      <c r="B192" s="1" t="s">
        <v>33</v>
      </c>
      <c r="C192" s="1" t="s">
        <v>34</v>
      </c>
      <c r="D192" s="1" t="s">
        <v>35</v>
      </c>
      <c r="E192" s="5">
        <v>41775</v>
      </c>
      <c r="F192" s="3" t="s">
        <v>61</v>
      </c>
      <c r="G192" s="1" t="s">
        <v>451</v>
      </c>
      <c r="H192" s="1">
        <v>1000</v>
      </c>
      <c r="I192" s="1">
        <v>970</v>
      </c>
      <c r="J192" s="2">
        <v>0.03</v>
      </c>
      <c r="K192">
        <f t="shared" si="6"/>
        <v>29.099999999999998</v>
      </c>
      <c r="L192">
        <f t="shared" si="7"/>
        <v>940.9</v>
      </c>
      <c r="M192" t="str">
        <f t="shared" si="8"/>
        <v>May-2014</v>
      </c>
    </row>
    <row r="193" spans="1:13" x14ac:dyDescent="0.3">
      <c r="A193" t="s">
        <v>452</v>
      </c>
      <c r="B193" s="1" t="s">
        <v>324</v>
      </c>
      <c r="C193" s="1" t="s">
        <v>325</v>
      </c>
      <c r="D193" s="1" t="s">
        <v>13</v>
      </c>
      <c r="E193" s="5">
        <v>43099</v>
      </c>
      <c r="F193" s="3" t="s">
        <v>30</v>
      </c>
      <c r="G193" s="1" t="s">
        <v>453</v>
      </c>
      <c r="H193" s="1">
        <v>150</v>
      </c>
      <c r="I193" s="1">
        <v>144</v>
      </c>
      <c r="J193" s="2">
        <v>0.04</v>
      </c>
      <c r="K193">
        <f t="shared" si="6"/>
        <v>5.76</v>
      </c>
      <c r="L193">
        <f t="shared" si="7"/>
        <v>138.24</v>
      </c>
      <c r="M193" t="str">
        <f t="shared" si="8"/>
        <v>Dec-2017</v>
      </c>
    </row>
    <row r="194" spans="1:13" x14ac:dyDescent="0.3">
      <c r="A194" t="s">
        <v>454</v>
      </c>
      <c r="B194" s="1" t="s">
        <v>131</v>
      </c>
      <c r="C194" s="1" t="s">
        <v>108</v>
      </c>
      <c r="D194" s="1" t="s">
        <v>19</v>
      </c>
      <c r="E194" s="5">
        <v>42109</v>
      </c>
      <c r="F194" s="3" t="s">
        <v>25</v>
      </c>
      <c r="G194" s="1" t="s">
        <v>132</v>
      </c>
      <c r="H194" s="1">
        <v>700</v>
      </c>
      <c r="I194" s="1">
        <v>637</v>
      </c>
      <c r="J194" s="2">
        <v>0.09</v>
      </c>
      <c r="K194">
        <f t="shared" si="6"/>
        <v>57.33</v>
      </c>
      <c r="L194">
        <f t="shared" si="7"/>
        <v>579.66999999999996</v>
      </c>
      <c r="M194" t="str">
        <f t="shared" si="8"/>
        <v>Apr-2015</v>
      </c>
    </row>
    <row r="195" spans="1:13" x14ac:dyDescent="0.3">
      <c r="A195" t="s">
        <v>455</v>
      </c>
      <c r="B195" s="1" t="s">
        <v>111</v>
      </c>
      <c r="C195" s="1" t="s">
        <v>82</v>
      </c>
      <c r="D195" s="1" t="s">
        <v>13</v>
      </c>
      <c r="E195" s="5">
        <v>42883</v>
      </c>
      <c r="F195" s="3" t="s">
        <v>104</v>
      </c>
      <c r="G195" s="1" t="s">
        <v>456</v>
      </c>
      <c r="H195" s="1">
        <v>70</v>
      </c>
      <c r="I195" s="1">
        <v>63</v>
      </c>
      <c r="J195" s="2">
        <v>0.1</v>
      </c>
      <c r="K195">
        <f t="shared" si="6"/>
        <v>6.3000000000000007</v>
      </c>
      <c r="L195">
        <f t="shared" si="7"/>
        <v>56.7</v>
      </c>
      <c r="M195" t="str">
        <f t="shared" si="8"/>
        <v>May-2017</v>
      </c>
    </row>
    <row r="196" spans="1:13" x14ac:dyDescent="0.3">
      <c r="A196" t="s">
        <v>457</v>
      </c>
      <c r="B196" s="1" t="s">
        <v>111</v>
      </c>
      <c r="C196" s="1" t="s">
        <v>82</v>
      </c>
      <c r="D196" s="1" t="s">
        <v>13</v>
      </c>
      <c r="E196" s="5">
        <v>42825</v>
      </c>
      <c r="F196" s="3" t="s">
        <v>25</v>
      </c>
      <c r="G196" s="1" t="s">
        <v>372</v>
      </c>
      <c r="H196" s="1">
        <v>700</v>
      </c>
      <c r="I196" s="1">
        <v>672</v>
      </c>
      <c r="J196" s="2">
        <v>0.04</v>
      </c>
      <c r="K196">
        <f t="shared" ref="K196:K259" si="9">I196*J196</f>
        <v>26.88</v>
      </c>
      <c r="L196">
        <f t="shared" ref="L196:L259" si="10">I196-K196</f>
        <v>645.12</v>
      </c>
      <c r="M196" t="str">
        <f t="shared" ref="M196:M259" si="11">TEXT(E196, "mmm-yyyy")</f>
        <v>Mar-2017</v>
      </c>
    </row>
    <row r="197" spans="1:13" x14ac:dyDescent="0.3">
      <c r="A197" t="s">
        <v>458</v>
      </c>
      <c r="B197" s="1" t="s">
        <v>221</v>
      </c>
      <c r="C197" s="1" t="s">
        <v>40</v>
      </c>
      <c r="D197" s="1" t="s">
        <v>35</v>
      </c>
      <c r="E197" s="5">
        <v>41714</v>
      </c>
      <c r="F197" s="3" t="s">
        <v>122</v>
      </c>
      <c r="G197" s="1" t="s">
        <v>262</v>
      </c>
      <c r="H197" s="1">
        <v>50</v>
      </c>
      <c r="I197" s="1">
        <v>42</v>
      </c>
      <c r="J197" s="2">
        <v>0.16</v>
      </c>
      <c r="K197">
        <f t="shared" si="9"/>
        <v>6.72</v>
      </c>
      <c r="L197">
        <f t="shared" si="10"/>
        <v>35.28</v>
      </c>
      <c r="M197" t="str">
        <f t="shared" si="11"/>
        <v>Mar-2014</v>
      </c>
    </row>
    <row r="198" spans="1:13" x14ac:dyDescent="0.3">
      <c r="A198" t="s">
        <v>459</v>
      </c>
      <c r="B198" s="1" t="s">
        <v>95</v>
      </c>
      <c r="C198" s="1" t="s">
        <v>96</v>
      </c>
      <c r="D198" s="1" t="s">
        <v>13</v>
      </c>
      <c r="E198" s="5">
        <v>43360</v>
      </c>
      <c r="F198" s="3" t="s">
        <v>14</v>
      </c>
      <c r="G198" s="1" t="s">
        <v>460</v>
      </c>
      <c r="H198" s="1">
        <v>80</v>
      </c>
      <c r="I198" s="1">
        <v>78</v>
      </c>
      <c r="J198" s="2">
        <v>2.5000000000000001E-2</v>
      </c>
      <c r="K198">
        <f t="shared" si="9"/>
        <v>1.9500000000000002</v>
      </c>
      <c r="L198">
        <f t="shared" si="10"/>
        <v>76.05</v>
      </c>
      <c r="M198" t="str">
        <f t="shared" si="11"/>
        <v>Sep-2018</v>
      </c>
    </row>
    <row r="199" spans="1:13" x14ac:dyDescent="0.3">
      <c r="A199" t="s">
        <v>461</v>
      </c>
      <c r="B199" s="1" t="s">
        <v>434</v>
      </c>
      <c r="C199" s="1" t="s">
        <v>435</v>
      </c>
      <c r="D199" s="1" t="s">
        <v>24</v>
      </c>
      <c r="E199" s="5">
        <v>42938</v>
      </c>
      <c r="F199" s="3" t="s">
        <v>36</v>
      </c>
      <c r="G199" s="1" t="s">
        <v>462</v>
      </c>
      <c r="H199" s="1">
        <v>50</v>
      </c>
      <c r="I199" s="1">
        <v>49</v>
      </c>
      <c r="J199" s="2">
        <v>0.02</v>
      </c>
      <c r="K199">
        <f t="shared" si="9"/>
        <v>0.98</v>
      </c>
      <c r="L199">
        <f t="shared" si="10"/>
        <v>48.02</v>
      </c>
      <c r="M199" t="str">
        <f t="shared" si="11"/>
        <v>Jul-2017</v>
      </c>
    </row>
    <row r="200" spans="1:13" x14ac:dyDescent="0.3">
      <c r="A200" t="s">
        <v>463</v>
      </c>
      <c r="B200" s="1" t="s">
        <v>157</v>
      </c>
      <c r="C200" s="1" t="s">
        <v>108</v>
      </c>
      <c r="D200" s="1" t="s">
        <v>19</v>
      </c>
      <c r="E200" s="5">
        <v>42179</v>
      </c>
      <c r="F200" s="3" t="s">
        <v>115</v>
      </c>
      <c r="G200" s="1" t="s">
        <v>464</v>
      </c>
      <c r="H200" s="1">
        <v>250</v>
      </c>
      <c r="I200" s="1">
        <v>193</v>
      </c>
      <c r="J200" s="2">
        <v>0.22800000000000001</v>
      </c>
      <c r="K200">
        <f t="shared" si="9"/>
        <v>44.004000000000005</v>
      </c>
      <c r="L200">
        <f t="shared" si="10"/>
        <v>148.99599999999998</v>
      </c>
      <c r="M200" t="str">
        <f t="shared" si="11"/>
        <v>Jun-2015</v>
      </c>
    </row>
    <row r="201" spans="1:13" x14ac:dyDescent="0.3">
      <c r="A201" t="s">
        <v>465</v>
      </c>
      <c r="B201" s="1" t="s">
        <v>11</v>
      </c>
      <c r="C201" s="1" t="s">
        <v>12</v>
      </c>
      <c r="D201" s="1" t="s">
        <v>13</v>
      </c>
      <c r="E201" s="5">
        <v>43447</v>
      </c>
      <c r="F201" s="3" t="s">
        <v>14</v>
      </c>
      <c r="G201" s="1" t="s">
        <v>293</v>
      </c>
      <c r="H201" s="1">
        <v>80</v>
      </c>
      <c r="I201" s="1">
        <v>76</v>
      </c>
      <c r="J201" s="2">
        <v>0.05</v>
      </c>
      <c r="K201">
        <f t="shared" si="9"/>
        <v>3.8000000000000003</v>
      </c>
      <c r="L201">
        <f t="shared" si="10"/>
        <v>72.2</v>
      </c>
      <c r="M201" t="str">
        <f t="shared" si="11"/>
        <v>Dec-2018</v>
      </c>
    </row>
    <row r="202" spans="1:13" x14ac:dyDescent="0.3">
      <c r="A202" t="s">
        <v>466</v>
      </c>
      <c r="B202" s="1" t="s">
        <v>131</v>
      </c>
      <c r="C202" s="1" t="s">
        <v>108</v>
      </c>
      <c r="D202" s="1" t="s">
        <v>19</v>
      </c>
      <c r="E202" s="5">
        <v>42699</v>
      </c>
      <c r="F202" s="3" t="s">
        <v>25</v>
      </c>
      <c r="G202" s="1" t="s">
        <v>212</v>
      </c>
      <c r="H202" s="1">
        <v>700</v>
      </c>
      <c r="I202" s="1">
        <v>672</v>
      </c>
      <c r="J202" s="2">
        <v>0.04</v>
      </c>
      <c r="K202">
        <f t="shared" si="9"/>
        <v>26.88</v>
      </c>
      <c r="L202">
        <f t="shared" si="10"/>
        <v>645.12</v>
      </c>
      <c r="M202" t="str">
        <f t="shared" si="11"/>
        <v>Nov-2016</v>
      </c>
    </row>
    <row r="203" spans="1:13" x14ac:dyDescent="0.3">
      <c r="A203" t="s">
        <v>467</v>
      </c>
      <c r="B203" s="1" t="s">
        <v>174</v>
      </c>
      <c r="C203" s="1" t="s">
        <v>175</v>
      </c>
      <c r="D203" s="1" t="s">
        <v>13</v>
      </c>
      <c r="E203" s="5">
        <v>41690</v>
      </c>
      <c r="F203" s="3" t="s">
        <v>41</v>
      </c>
      <c r="G203" s="1" t="s">
        <v>319</v>
      </c>
      <c r="H203" s="1">
        <v>30</v>
      </c>
      <c r="I203" s="1">
        <v>28</v>
      </c>
      <c r="J203" s="2">
        <v>6.6699999999999995E-2</v>
      </c>
      <c r="K203">
        <f t="shared" si="9"/>
        <v>1.8675999999999999</v>
      </c>
      <c r="L203">
        <f t="shared" si="10"/>
        <v>26.132400000000001</v>
      </c>
      <c r="M203" t="str">
        <f t="shared" si="11"/>
        <v>Feb-2014</v>
      </c>
    </row>
    <row r="204" spans="1:13" x14ac:dyDescent="0.3">
      <c r="A204" t="s">
        <v>468</v>
      </c>
      <c r="B204" s="1" t="s">
        <v>28</v>
      </c>
      <c r="C204" s="1" t="s">
        <v>29</v>
      </c>
      <c r="D204" s="1" t="s">
        <v>13</v>
      </c>
      <c r="E204" s="5">
        <v>42793</v>
      </c>
      <c r="F204" s="3" t="s">
        <v>14</v>
      </c>
      <c r="G204" s="1" t="s">
        <v>469</v>
      </c>
      <c r="H204" s="1">
        <v>80</v>
      </c>
      <c r="I204" s="1">
        <v>66</v>
      </c>
      <c r="J204" s="2">
        <v>0.17499999999999999</v>
      </c>
      <c r="K204">
        <f t="shared" si="9"/>
        <v>11.549999999999999</v>
      </c>
      <c r="L204">
        <f t="shared" si="10"/>
        <v>54.45</v>
      </c>
      <c r="M204" t="str">
        <f t="shared" si="11"/>
        <v>Feb-2017</v>
      </c>
    </row>
    <row r="205" spans="1:13" x14ac:dyDescent="0.3">
      <c r="A205" t="s">
        <v>470</v>
      </c>
      <c r="B205" s="1" t="s">
        <v>400</v>
      </c>
      <c r="C205" s="1" t="s">
        <v>401</v>
      </c>
      <c r="D205" s="1" t="s">
        <v>13</v>
      </c>
      <c r="E205" s="5">
        <v>42877</v>
      </c>
      <c r="F205" s="3" t="s">
        <v>122</v>
      </c>
      <c r="G205" s="1" t="s">
        <v>402</v>
      </c>
      <c r="H205" s="1">
        <v>50</v>
      </c>
      <c r="I205" s="1">
        <v>48</v>
      </c>
      <c r="J205" s="2">
        <v>0.04</v>
      </c>
      <c r="K205">
        <f t="shared" si="9"/>
        <v>1.92</v>
      </c>
      <c r="L205">
        <f t="shared" si="10"/>
        <v>46.08</v>
      </c>
      <c r="M205" t="str">
        <f t="shared" si="11"/>
        <v>May-2017</v>
      </c>
    </row>
    <row r="206" spans="1:13" x14ac:dyDescent="0.3">
      <c r="A206" t="s">
        <v>471</v>
      </c>
      <c r="B206" s="1" t="s">
        <v>174</v>
      </c>
      <c r="C206" s="1" t="s">
        <v>175</v>
      </c>
      <c r="D206" s="1" t="s">
        <v>13</v>
      </c>
      <c r="E206" s="5">
        <v>41896</v>
      </c>
      <c r="F206" s="3" t="s">
        <v>46</v>
      </c>
      <c r="G206" s="1" t="s">
        <v>472</v>
      </c>
      <c r="H206" s="1">
        <v>500</v>
      </c>
      <c r="I206" s="1">
        <v>370</v>
      </c>
      <c r="J206" s="2">
        <v>0.26</v>
      </c>
      <c r="K206">
        <f t="shared" si="9"/>
        <v>96.2</v>
      </c>
      <c r="L206">
        <f t="shared" si="10"/>
        <v>273.8</v>
      </c>
      <c r="M206" t="str">
        <f t="shared" si="11"/>
        <v>Sep-2014</v>
      </c>
    </row>
    <row r="207" spans="1:13" x14ac:dyDescent="0.3">
      <c r="A207" t="s">
        <v>473</v>
      </c>
      <c r="B207" s="1" t="s">
        <v>131</v>
      </c>
      <c r="C207" s="1" t="s">
        <v>108</v>
      </c>
      <c r="D207" s="1" t="s">
        <v>19</v>
      </c>
      <c r="E207" s="5">
        <v>43264</v>
      </c>
      <c r="F207" s="3" t="s">
        <v>14</v>
      </c>
      <c r="G207" s="1" t="s">
        <v>474</v>
      </c>
      <c r="H207" s="1">
        <v>80</v>
      </c>
      <c r="I207" s="1">
        <v>72</v>
      </c>
      <c r="J207" s="2">
        <v>0.1</v>
      </c>
      <c r="K207">
        <f t="shared" si="9"/>
        <v>7.2</v>
      </c>
      <c r="L207">
        <f t="shared" si="10"/>
        <v>64.8</v>
      </c>
      <c r="M207" t="str">
        <f t="shared" si="11"/>
        <v>Jun-2018</v>
      </c>
    </row>
    <row r="208" spans="1:13" x14ac:dyDescent="0.3">
      <c r="A208" t="s">
        <v>475</v>
      </c>
      <c r="B208" s="1" t="s">
        <v>114</v>
      </c>
      <c r="C208" s="1" t="s">
        <v>54</v>
      </c>
      <c r="D208" s="1" t="s">
        <v>13</v>
      </c>
      <c r="E208" s="5">
        <v>41897</v>
      </c>
      <c r="F208" s="3" t="s">
        <v>14</v>
      </c>
      <c r="G208" s="1" t="s">
        <v>476</v>
      </c>
      <c r="H208" s="1">
        <v>80</v>
      </c>
      <c r="I208" s="1">
        <v>58</v>
      </c>
      <c r="J208" s="2">
        <v>0.27500000000000002</v>
      </c>
      <c r="K208">
        <f t="shared" si="9"/>
        <v>15.950000000000001</v>
      </c>
      <c r="L208">
        <f t="shared" si="10"/>
        <v>42.05</v>
      </c>
      <c r="M208" t="str">
        <f t="shared" si="11"/>
        <v>Sep-2014</v>
      </c>
    </row>
    <row r="209" spans="1:13" x14ac:dyDescent="0.3">
      <c r="A209" t="s">
        <v>477</v>
      </c>
      <c r="B209" s="1" t="s">
        <v>17</v>
      </c>
      <c r="C209" s="1" t="s">
        <v>18</v>
      </c>
      <c r="D209" s="1" t="s">
        <v>19</v>
      </c>
      <c r="E209" s="5">
        <v>43065</v>
      </c>
      <c r="F209" s="3" t="s">
        <v>14</v>
      </c>
      <c r="G209" s="1" t="s">
        <v>478</v>
      </c>
      <c r="H209" s="1">
        <v>80</v>
      </c>
      <c r="I209" s="1">
        <v>73</v>
      </c>
      <c r="J209" s="2">
        <v>8.7499999999999994E-2</v>
      </c>
      <c r="K209">
        <f t="shared" si="9"/>
        <v>6.3874999999999993</v>
      </c>
      <c r="L209">
        <f t="shared" si="10"/>
        <v>66.612499999999997</v>
      </c>
      <c r="M209" t="str">
        <f t="shared" si="11"/>
        <v>Nov-2017</v>
      </c>
    </row>
    <row r="210" spans="1:13" x14ac:dyDescent="0.3">
      <c r="A210" t="s">
        <v>479</v>
      </c>
      <c r="B210" s="1" t="s">
        <v>154</v>
      </c>
      <c r="C210" s="1" t="s">
        <v>108</v>
      </c>
      <c r="D210" s="1" t="s">
        <v>19</v>
      </c>
      <c r="E210" s="5">
        <v>42567</v>
      </c>
      <c r="F210" s="3" t="s">
        <v>55</v>
      </c>
      <c r="G210" s="1" t="s">
        <v>155</v>
      </c>
      <c r="H210" s="1">
        <v>800</v>
      </c>
      <c r="I210" s="1">
        <v>776</v>
      </c>
      <c r="J210" s="2">
        <v>0.03</v>
      </c>
      <c r="K210">
        <f t="shared" si="9"/>
        <v>23.279999999999998</v>
      </c>
      <c r="L210">
        <f t="shared" si="10"/>
        <v>752.72</v>
      </c>
      <c r="M210" t="str">
        <f t="shared" si="11"/>
        <v>Jul-2016</v>
      </c>
    </row>
    <row r="211" spans="1:13" x14ac:dyDescent="0.3">
      <c r="A211" t="s">
        <v>480</v>
      </c>
      <c r="B211" s="1" t="s">
        <v>289</v>
      </c>
      <c r="C211" s="1" t="s">
        <v>108</v>
      </c>
      <c r="D211" s="1" t="s">
        <v>19</v>
      </c>
      <c r="E211" s="5">
        <v>41666</v>
      </c>
      <c r="F211" s="3" t="s">
        <v>30</v>
      </c>
      <c r="G211" s="1" t="s">
        <v>481</v>
      </c>
      <c r="H211" s="1">
        <v>150</v>
      </c>
      <c r="I211" s="1">
        <v>147</v>
      </c>
      <c r="J211" s="2">
        <v>0.02</v>
      </c>
      <c r="K211">
        <f t="shared" si="9"/>
        <v>2.94</v>
      </c>
      <c r="L211">
        <f t="shared" si="10"/>
        <v>144.06</v>
      </c>
      <c r="M211" t="str">
        <f t="shared" si="11"/>
        <v>Jan-2014</v>
      </c>
    </row>
    <row r="212" spans="1:13" x14ac:dyDescent="0.3">
      <c r="A212" t="s">
        <v>482</v>
      </c>
      <c r="B212" s="1" t="s">
        <v>22</v>
      </c>
      <c r="C212" s="1" t="s">
        <v>23</v>
      </c>
      <c r="D212" s="1" t="s">
        <v>24</v>
      </c>
      <c r="E212" s="5">
        <v>42245</v>
      </c>
      <c r="F212" s="3" t="s">
        <v>30</v>
      </c>
      <c r="G212" s="1" t="s">
        <v>483</v>
      </c>
      <c r="H212" s="1">
        <v>150</v>
      </c>
      <c r="I212" s="1">
        <v>134</v>
      </c>
      <c r="J212" s="2">
        <v>0.1067</v>
      </c>
      <c r="K212">
        <f t="shared" si="9"/>
        <v>14.297800000000001</v>
      </c>
      <c r="L212">
        <f t="shared" si="10"/>
        <v>119.7022</v>
      </c>
      <c r="M212" t="str">
        <f t="shared" si="11"/>
        <v>Aug-2015</v>
      </c>
    </row>
    <row r="213" spans="1:13" x14ac:dyDescent="0.3">
      <c r="A213" t="s">
        <v>484</v>
      </c>
      <c r="B213" s="1" t="s">
        <v>170</v>
      </c>
      <c r="C213" s="1" t="s">
        <v>171</v>
      </c>
      <c r="D213" s="1" t="s">
        <v>13</v>
      </c>
      <c r="E213" s="5">
        <v>43338</v>
      </c>
      <c r="F213" s="3" t="s">
        <v>41</v>
      </c>
      <c r="G213" s="1" t="s">
        <v>440</v>
      </c>
      <c r="H213" s="1">
        <v>30</v>
      </c>
      <c r="I213" s="1">
        <v>8</v>
      </c>
      <c r="J213" s="2">
        <v>0.73329999999999995</v>
      </c>
      <c r="K213">
        <f t="shared" si="9"/>
        <v>5.8663999999999996</v>
      </c>
      <c r="L213">
        <f t="shared" si="10"/>
        <v>2.1336000000000004</v>
      </c>
      <c r="M213" t="str">
        <f t="shared" si="11"/>
        <v>Aug-2018</v>
      </c>
    </row>
    <row r="214" spans="1:13" x14ac:dyDescent="0.3">
      <c r="A214" t="s">
        <v>485</v>
      </c>
      <c r="B214" s="1" t="s">
        <v>400</v>
      </c>
      <c r="C214" s="1" t="s">
        <v>401</v>
      </c>
      <c r="D214" s="1" t="s">
        <v>13</v>
      </c>
      <c r="E214" s="5">
        <v>43180</v>
      </c>
      <c r="F214" s="3" t="s">
        <v>30</v>
      </c>
      <c r="G214" s="1" t="s">
        <v>486</v>
      </c>
      <c r="H214" s="1">
        <v>150</v>
      </c>
      <c r="I214" s="1">
        <v>135</v>
      </c>
      <c r="J214" s="2">
        <v>0.1</v>
      </c>
      <c r="K214">
        <f t="shared" si="9"/>
        <v>13.5</v>
      </c>
      <c r="L214">
        <f t="shared" si="10"/>
        <v>121.5</v>
      </c>
      <c r="M214" t="str">
        <f t="shared" si="11"/>
        <v>Mar-2018</v>
      </c>
    </row>
    <row r="215" spans="1:13" x14ac:dyDescent="0.3">
      <c r="A215" t="s">
        <v>487</v>
      </c>
      <c r="B215" s="1" t="s">
        <v>434</v>
      </c>
      <c r="C215" s="1" t="s">
        <v>435</v>
      </c>
      <c r="D215" s="1" t="s">
        <v>24</v>
      </c>
      <c r="E215" s="5">
        <v>41964</v>
      </c>
      <c r="F215" s="3" t="s">
        <v>104</v>
      </c>
      <c r="G215" s="1" t="s">
        <v>462</v>
      </c>
      <c r="H215" s="1">
        <v>70</v>
      </c>
      <c r="I215" s="1">
        <v>59</v>
      </c>
      <c r="J215" s="2">
        <v>0.15709999999999999</v>
      </c>
      <c r="K215">
        <f t="shared" si="9"/>
        <v>9.2688999999999986</v>
      </c>
      <c r="L215">
        <f t="shared" si="10"/>
        <v>49.731099999999998</v>
      </c>
      <c r="M215" t="str">
        <f t="shared" si="11"/>
        <v>Nov-2014</v>
      </c>
    </row>
    <row r="216" spans="1:13" x14ac:dyDescent="0.3">
      <c r="A216" t="s">
        <v>488</v>
      </c>
      <c r="B216" s="1" t="s">
        <v>103</v>
      </c>
      <c r="C216" s="1" t="s">
        <v>71</v>
      </c>
      <c r="D216" s="1" t="s">
        <v>35</v>
      </c>
      <c r="E216" s="5">
        <v>42487</v>
      </c>
      <c r="F216" s="3" t="s">
        <v>61</v>
      </c>
      <c r="G216" s="1" t="s">
        <v>247</v>
      </c>
      <c r="H216" s="1">
        <v>1000</v>
      </c>
      <c r="I216" s="1">
        <v>500</v>
      </c>
      <c r="J216" s="2">
        <v>0.5</v>
      </c>
      <c r="K216">
        <f t="shared" si="9"/>
        <v>250</v>
      </c>
      <c r="L216">
        <f t="shared" si="10"/>
        <v>250</v>
      </c>
      <c r="M216" t="str">
        <f t="shared" si="11"/>
        <v>Apr-2016</v>
      </c>
    </row>
    <row r="217" spans="1:13" x14ac:dyDescent="0.3">
      <c r="A217" t="s">
        <v>489</v>
      </c>
      <c r="B217" s="1" t="s">
        <v>154</v>
      </c>
      <c r="C217" s="1" t="s">
        <v>108</v>
      </c>
      <c r="D217" s="1" t="s">
        <v>19</v>
      </c>
      <c r="E217" s="5">
        <v>42875</v>
      </c>
      <c r="F217" s="3" t="s">
        <v>46</v>
      </c>
      <c r="G217" s="1" t="s">
        <v>490</v>
      </c>
      <c r="H217" s="1">
        <v>500</v>
      </c>
      <c r="I217" s="1">
        <v>495</v>
      </c>
      <c r="J217" s="2">
        <v>0.01</v>
      </c>
      <c r="K217">
        <f t="shared" si="9"/>
        <v>4.95</v>
      </c>
      <c r="L217">
        <f t="shared" si="10"/>
        <v>490.05</v>
      </c>
      <c r="M217" t="str">
        <f t="shared" si="11"/>
        <v>May-2017</v>
      </c>
    </row>
    <row r="218" spans="1:13" x14ac:dyDescent="0.3">
      <c r="A218" t="s">
        <v>491</v>
      </c>
      <c r="B218" s="1" t="s">
        <v>324</v>
      </c>
      <c r="C218" s="1" t="s">
        <v>325</v>
      </c>
      <c r="D218" s="1" t="s">
        <v>13</v>
      </c>
      <c r="E218" s="5">
        <v>42026</v>
      </c>
      <c r="F218" s="3" t="s">
        <v>36</v>
      </c>
      <c r="G218" s="1" t="s">
        <v>326</v>
      </c>
      <c r="H218" s="1">
        <v>50</v>
      </c>
      <c r="I218" s="1">
        <v>49</v>
      </c>
      <c r="J218" s="2">
        <v>0.02</v>
      </c>
      <c r="K218">
        <f t="shared" si="9"/>
        <v>0.98</v>
      </c>
      <c r="L218">
        <f t="shared" si="10"/>
        <v>48.02</v>
      </c>
      <c r="M218" t="str">
        <f t="shared" si="11"/>
        <v>Jan-2015</v>
      </c>
    </row>
    <row r="219" spans="1:13" x14ac:dyDescent="0.3">
      <c r="A219" t="s">
        <v>492</v>
      </c>
      <c r="B219" s="1" t="s">
        <v>17</v>
      </c>
      <c r="C219" s="1" t="s">
        <v>18</v>
      </c>
      <c r="D219" s="1" t="s">
        <v>19</v>
      </c>
      <c r="E219" s="5">
        <v>41817</v>
      </c>
      <c r="F219" s="3" t="s">
        <v>122</v>
      </c>
      <c r="G219" s="1" t="s">
        <v>493</v>
      </c>
      <c r="H219" s="1">
        <v>50</v>
      </c>
      <c r="I219" s="1">
        <v>48</v>
      </c>
      <c r="J219" s="2">
        <v>0.04</v>
      </c>
      <c r="K219">
        <f t="shared" si="9"/>
        <v>1.92</v>
      </c>
      <c r="L219">
        <f t="shared" si="10"/>
        <v>46.08</v>
      </c>
      <c r="M219" t="str">
        <f t="shared" si="11"/>
        <v>Jun-2014</v>
      </c>
    </row>
    <row r="220" spans="1:13" x14ac:dyDescent="0.3">
      <c r="A220" t="s">
        <v>494</v>
      </c>
      <c r="B220" s="1" t="s">
        <v>91</v>
      </c>
      <c r="C220" s="1" t="s">
        <v>92</v>
      </c>
      <c r="D220" s="1" t="s">
        <v>35</v>
      </c>
      <c r="E220" s="5">
        <v>43211</v>
      </c>
      <c r="F220" s="3" t="s">
        <v>25</v>
      </c>
      <c r="G220" s="1" t="s">
        <v>495</v>
      </c>
      <c r="H220" s="1">
        <v>700</v>
      </c>
      <c r="I220" s="1">
        <v>560</v>
      </c>
      <c r="J220" s="2">
        <v>0.2</v>
      </c>
      <c r="K220">
        <f t="shared" si="9"/>
        <v>112</v>
      </c>
      <c r="L220">
        <f t="shared" si="10"/>
        <v>448</v>
      </c>
      <c r="M220" t="str">
        <f t="shared" si="11"/>
        <v>Apr-2018</v>
      </c>
    </row>
    <row r="221" spans="1:13" x14ac:dyDescent="0.3">
      <c r="A221" t="s">
        <v>496</v>
      </c>
      <c r="B221" s="1" t="s">
        <v>103</v>
      </c>
      <c r="C221" s="1" t="s">
        <v>71</v>
      </c>
      <c r="D221" s="1" t="s">
        <v>35</v>
      </c>
      <c r="E221" s="5">
        <v>41692</v>
      </c>
      <c r="F221" s="3" t="s">
        <v>61</v>
      </c>
      <c r="G221" s="1" t="s">
        <v>497</v>
      </c>
      <c r="H221" s="1">
        <v>1000</v>
      </c>
      <c r="I221" s="1">
        <v>500</v>
      </c>
      <c r="J221" s="2">
        <v>0.5</v>
      </c>
      <c r="K221">
        <f t="shared" si="9"/>
        <v>250</v>
      </c>
      <c r="L221">
        <f t="shared" si="10"/>
        <v>250</v>
      </c>
      <c r="M221" t="str">
        <f t="shared" si="11"/>
        <v>Feb-2014</v>
      </c>
    </row>
    <row r="222" spans="1:13" x14ac:dyDescent="0.3">
      <c r="A222" t="s">
        <v>498</v>
      </c>
      <c r="B222" s="1" t="s">
        <v>154</v>
      </c>
      <c r="C222" s="1" t="s">
        <v>108</v>
      </c>
      <c r="D222" s="1" t="s">
        <v>19</v>
      </c>
      <c r="E222" s="5">
        <v>43233</v>
      </c>
      <c r="F222" s="3" t="s">
        <v>72</v>
      </c>
      <c r="G222" s="1" t="s">
        <v>490</v>
      </c>
      <c r="H222" s="1">
        <v>500</v>
      </c>
      <c r="I222" s="1">
        <v>495</v>
      </c>
      <c r="J222" s="2">
        <v>0.01</v>
      </c>
      <c r="K222">
        <f t="shared" si="9"/>
        <v>4.95</v>
      </c>
      <c r="L222">
        <f t="shared" si="10"/>
        <v>490.05</v>
      </c>
      <c r="M222" t="str">
        <f t="shared" si="11"/>
        <v>May-2018</v>
      </c>
    </row>
    <row r="223" spans="1:13" x14ac:dyDescent="0.3">
      <c r="A223" t="s">
        <v>499</v>
      </c>
      <c r="B223" s="1" t="s">
        <v>289</v>
      </c>
      <c r="C223" s="1" t="s">
        <v>108</v>
      </c>
      <c r="D223" s="1" t="s">
        <v>19</v>
      </c>
      <c r="E223" s="5">
        <v>43213</v>
      </c>
      <c r="F223" s="3" t="s">
        <v>41</v>
      </c>
      <c r="G223" s="1" t="s">
        <v>500</v>
      </c>
      <c r="H223" s="1">
        <v>30</v>
      </c>
      <c r="I223" s="1">
        <v>29</v>
      </c>
      <c r="J223" s="2">
        <v>3.3300000000000003E-2</v>
      </c>
      <c r="K223">
        <f t="shared" si="9"/>
        <v>0.96570000000000011</v>
      </c>
      <c r="L223">
        <f t="shared" si="10"/>
        <v>28.034299999999998</v>
      </c>
      <c r="M223" t="str">
        <f t="shared" si="11"/>
        <v>Apr-2018</v>
      </c>
    </row>
    <row r="224" spans="1:13" x14ac:dyDescent="0.3">
      <c r="A224" t="s">
        <v>501</v>
      </c>
      <c r="B224" s="1" t="s">
        <v>182</v>
      </c>
      <c r="C224" s="1" t="s">
        <v>108</v>
      </c>
      <c r="D224" s="1" t="s">
        <v>19</v>
      </c>
      <c r="E224" s="5">
        <v>42671</v>
      </c>
      <c r="F224" s="3" t="s">
        <v>122</v>
      </c>
      <c r="G224" s="1" t="s">
        <v>502</v>
      </c>
      <c r="H224" s="1">
        <v>50</v>
      </c>
      <c r="I224" s="1">
        <v>44</v>
      </c>
      <c r="J224" s="2">
        <v>0.12</v>
      </c>
      <c r="K224">
        <f t="shared" si="9"/>
        <v>5.2799999999999994</v>
      </c>
      <c r="L224">
        <f t="shared" si="10"/>
        <v>38.72</v>
      </c>
      <c r="M224" t="str">
        <f t="shared" si="11"/>
        <v>Oct-2016</v>
      </c>
    </row>
    <row r="225" spans="1:13" x14ac:dyDescent="0.3">
      <c r="A225" t="s">
        <v>503</v>
      </c>
      <c r="B225" s="1" t="s">
        <v>111</v>
      </c>
      <c r="C225" s="1" t="s">
        <v>82</v>
      </c>
      <c r="D225" s="1" t="s">
        <v>13</v>
      </c>
      <c r="E225" s="5">
        <v>42266</v>
      </c>
      <c r="F225" s="3" t="s">
        <v>61</v>
      </c>
      <c r="G225" s="1" t="s">
        <v>372</v>
      </c>
      <c r="H225" s="1">
        <v>1000</v>
      </c>
      <c r="I225" s="1">
        <v>710</v>
      </c>
      <c r="J225" s="2">
        <v>0.28999999999999998</v>
      </c>
      <c r="K225">
        <f t="shared" si="9"/>
        <v>205.89999999999998</v>
      </c>
      <c r="L225">
        <f t="shared" si="10"/>
        <v>504.1</v>
      </c>
      <c r="M225" t="str">
        <f t="shared" si="11"/>
        <v>Sep-2015</v>
      </c>
    </row>
    <row r="226" spans="1:13" x14ac:dyDescent="0.3">
      <c r="A226" t="s">
        <v>504</v>
      </c>
      <c r="B226" s="1" t="s">
        <v>182</v>
      </c>
      <c r="C226" s="1" t="s">
        <v>108</v>
      </c>
      <c r="D226" s="1" t="s">
        <v>19</v>
      </c>
      <c r="E226" s="5">
        <v>42391</v>
      </c>
      <c r="F226" s="3" t="s">
        <v>30</v>
      </c>
      <c r="G226" s="1" t="s">
        <v>505</v>
      </c>
      <c r="H226" s="1">
        <v>150</v>
      </c>
      <c r="I226" s="1">
        <v>150</v>
      </c>
      <c r="J226" s="2">
        <v>0</v>
      </c>
      <c r="K226">
        <f t="shared" si="9"/>
        <v>0</v>
      </c>
      <c r="L226">
        <f t="shared" si="10"/>
        <v>150</v>
      </c>
      <c r="M226" t="str">
        <f t="shared" si="11"/>
        <v>Jan-2016</v>
      </c>
    </row>
    <row r="227" spans="1:13" x14ac:dyDescent="0.3">
      <c r="A227" t="s">
        <v>506</v>
      </c>
      <c r="B227" s="1" t="s">
        <v>91</v>
      </c>
      <c r="C227" s="1" t="s">
        <v>92</v>
      </c>
      <c r="D227" s="1" t="s">
        <v>35</v>
      </c>
      <c r="E227" s="5">
        <v>42300</v>
      </c>
      <c r="F227" s="3" t="s">
        <v>36</v>
      </c>
      <c r="G227" s="1" t="s">
        <v>507</v>
      </c>
      <c r="H227" s="1">
        <v>50</v>
      </c>
      <c r="I227" s="1">
        <v>44</v>
      </c>
      <c r="J227" s="2">
        <v>0.12</v>
      </c>
      <c r="K227">
        <f t="shared" si="9"/>
        <v>5.2799999999999994</v>
      </c>
      <c r="L227">
        <f t="shared" si="10"/>
        <v>38.72</v>
      </c>
      <c r="M227" t="str">
        <f t="shared" si="11"/>
        <v>Oct-2015</v>
      </c>
    </row>
    <row r="228" spans="1:13" x14ac:dyDescent="0.3">
      <c r="A228" t="s">
        <v>508</v>
      </c>
      <c r="B228" s="1" t="s">
        <v>224</v>
      </c>
      <c r="C228" s="1" t="s">
        <v>50</v>
      </c>
      <c r="D228" s="1" t="s">
        <v>24</v>
      </c>
      <c r="E228" s="5">
        <v>42240</v>
      </c>
      <c r="F228" s="3" t="s">
        <v>41</v>
      </c>
      <c r="G228" s="1" t="s">
        <v>509</v>
      </c>
      <c r="H228" s="1">
        <v>30</v>
      </c>
      <c r="I228" s="1">
        <v>24</v>
      </c>
      <c r="J228" s="2">
        <v>0.2</v>
      </c>
      <c r="K228">
        <f t="shared" si="9"/>
        <v>4.8000000000000007</v>
      </c>
      <c r="L228">
        <f t="shared" si="10"/>
        <v>19.2</v>
      </c>
      <c r="M228" t="str">
        <f t="shared" si="11"/>
        <v>Aug-2015</v>
      </c>
    </row>
    <row r="229" spans="1:13" x14ac:dyDescent="0.3">
      <c r="A229" t="s">
        <v>510</v>
      </c>
      <c r="B229" s="1" t="s">
        <v>434</v>
      </c>
      <c r="C229" s="1" t="s">
        <v>435</v>
      </c>
      <c r="D229" s="1" t="s">
        <v>24</v>
      </c>
      <c r="E229" s="5">
        <v>43089</v>
      </c>
      <c r="F229" s="3" t="s">
        <v>115</v>
      </c>
      <c r="G229" s="1" t="s">
        <v>462</v>
      </c>
      <c r="H229" s="1">
        <v>250</v>
      </c>
      <c r="I229" s="1">
        <v>163</v>
      </c>
      <c r="J229" s="2">
        <v>0.34799999999999998</v>
      </c>
      <c r="K229">
        <f t="shared" si="9"/>
        <v>56.723999999999997</v>
      </c>
      <c r="L229">
        <f t="shared" si="10"/>
        <v>106.27600000000001</v>
      </c>
      <c r="M229" t="str">
        <f t="shared" si="11"/>
        <v>Dec-2017</v>
      </c>
    </row>
    <row r="230" spans="1:13" x14ac:dyDescent="0.3">
      <c r="A230" t="s">
        <v>511</v>
      </c>
      <c r="B230" s="1" t="s">
        <v>64</v>
      </c>
      <c r="C230" s="1" t="s">
        <v>65</v>
      </c>
      <c r="D230" s="1" t="s">
        <v>35</v>
      </c>
      <c r="E230" s="5">
        <v>42056</v>
      </c>
      <c r="F230" s="3" t="s">
        <v>14</v>
      </c>
      <c r="G230" s="1" t="s">
        <v>512</v>
      </c>
      <c r="H230" s="1">
        <v>80</v>
      </c>
      <c r="I230" s="1">
        <v>78</v>
      </c>
      <c r="J230" s="2">
        <v>2.5000000000000001E-2</v>
      </c>
      <c r="K230">
        <f t="shared" si="9"/>
        <v>1.9500000000000002</v>
      </c>
      <c r="L230">
        <f t="shared" si="10"/>
        <v>76.05</v>
      </c>
      <c r="M230" t="str">
        <f t="shared" si="11"/>
        <v>Feb-2015</v>
      </c>
    </row>
    <row r="231" spans="1:13" x14ac:dyDescent="0.3">
      <c r="A231" t="s">
        <v>513</v>
      </c>
      <c r="B231" s="1" t="s">
        <v>187</v>
      </c>
      <c r="C231" s="1" t="s">
        <v>188</v>
      </c>
      <c r="D231" s="1" t="s">
        <v>13</v>
      </c>
      <c r="E231" s="5">
        <v>41957</v>
      </c>
      <c r="F231" s="3" t="s">
        <v>14</v>
      </c>
      <c r="G231" s="1" t="s">
        <v>415</v>
      </c>
      <c r="H231" s="1">
        <v>80</v>
      </c>
      <c r="I231" s="1">
        <v>78</v>
      </c>
      <c r="J231" s="2">
        <v>2.5000000000000001E-2</v>
      </c>
      <c r="K231">
        <f t="shared" si="9"/>
        <v>1.9500000000000002</v>
      </c>
      <c r="L231">
        <f t="shared" si="10"/>
        <v>76.05</v>
      </c>
      <c r="M231" t="str">
        <f t="shared" si="11"/>
        <v>Nov-2014</v>
      </c>
    </row>
    <row r="232" spans="1:13" x14ac:dyDescent="0.3">
      <c r="A232" t="s">
        <v>514</v>
      </c>
      <c r="B232" s="1" t="s">
        <v>221</v>
      </c>
      <c r="C232" s="1" t="s">
        <v>40</v>
      </c>
      <c r="D232" s="1" t="s">
        <v>35</v>
      </c>
      <c r="E232" s="5">
        <v>41698</v>
      </c>
      <c r="F232" s="3" t="s">
        <v>25</v>
      </c>
      <c r="G232" s="1" t="s">
        <v>231</v>
      </c>
      <c r="H232" s="1">
        <v>700</v>
      </c>
      <c r="I232" s="1">
        <v>651</v>
      </c>
      <c r="J232" s="2">
        <v>7.0000000000000007E-2</v>
      </c>
      <c r="K232">
        <f t="shared" si="9"/>
        <v>45.570000000000007</v>
      </c>
      <c r="L232">
        <f t="shared" si="10"/>
        <v>605.42999999999995</v>
      </c>
      <c r="M232" t="str">
        <f t="shared" si="11"/>
        <v>Feb-2014</v>
      </c>
    </row>
    <row r="233" spans="1:13" x14ac:dyDescent="0.3">
      <c r="A233" t="s">
        <v>515</v>
      </c>
      <c r="B233" s="1" t="s">
        <v>85</v>
      </c>
      <c r="C233" s="1" t="s">
        <v>86</v>
      </c>
      <c r="D233" s="1" t="s">
        <v>13</v>
      </c>
      <c r="E233" s="5">
        <v>42032</v>
      </c>
      <c r="F233" s="3" t="s">
        <v>36</v>
      </c>
      <c r="G233" s="1" t="s">
        <v>516</v>
      </c>
      <c r="H233" s="1">
        <v>50</v>
      </c>
      <c r="I233" s="1">
        <v>36</v>
      </c>
      <c r="J233" s="2">
        <v>0.28000000000000003</v>
      </c>
      <c r="K233">
        <f t="shared" si="9"/>
        <v>10.080000000000002</v>
      </c>
      <c r="L233">
        <f t="shared" si="10"/>
        <v>25.919999999999998</v>
      </c>
      <c r="M233" t="str">
        <f t="shared" si="11"/>
        <v>Jan-2015</v>
      </c>
    </row>
    <row r="234" spans="1:13" x14ac:dyDescent="0.3">
      <c r="A234" t="s">
        <v>517</v>
      </c>
      <c r="B234" s="1" t="s">
        <v>170</v>
      </c>
      <c r="C234" s="1" t="s">
        <v>171</v>
      </c>
      <c r="D234" s="1" t="s">
        <v>13</v>
      </c>
      <c r="E234" s="5">
        <v>42056</v>
      </c>
      <c r="F234" s="3" t="s">
        <v>72</v>
      </c>
      <c r="G234" s="1" t="s">
        <v>518</v>
      </c>
      <c r="H234" s="1">
        <v>500</v>
      </c>
      <c r="I234" s="1">
        <v>500</v>
      </c>
      <c r="J234" s="2">
        <v>0</v>
      </c>
      <c r="K234">
        <f t="shared" si="9"/>
        <v>0</v>
      </c>
      <c r="L234">
        <f t="shared" si="10"/>
        <v>500</v>
      </c>
      <c r="M234" t="str">
        <f t="shared" si="11"/>
        <v>Feb-2015</v>
      </c>
    </row>
    <row r="235" spans="1:13" x14ac:dyDescent="0.3">
      <c r="A235" t="s">
        <v>519</v>
      </c>
      <c r="B235" s="1" t="s">
        <v>241</v>
      </c>
      <c r="C235" s="1" t="s">
        <v>242</v>
      </c>
      <c r="D235" s="1" t="s">
        <v>13</v>
      </c>
      <c r="E235" s="5">
        <v>42063</v>
      </c>
      <c r="F235" s="3" t="s">
        <v>30</v>
      </c>
      <c r="G235" s="1" t="s">
        <v>520</v>
      </c>
      <c r="H235" s="1">
        <v>150</v>
      </c>
      <c r="I235" s="1">
        <v>140</v>
      </c>
      <c r="J235" s="2">
        <v>6.6699999999999995E-2</v>
      </c>
      <c r="K235">
        <f t="shared" si="9"/>
        <v>9.3379999999999992</v>
      </c>
      <c r="L235">
        <f t="shared" si="10"/>
        <v>130.66200000000001</v>
      </c>
      <c r="M235" t="str">
        <f t="shared" si="11"/>
        <v>Feb-2015</v>
      </c>
    </row>
    <row r="236" spans="1:13" x14ac:dyDescent="0.3">
      <c r="A236" t="s">
        <v>521</v>
      </c>
      <c r="B236" s="1" t="s">
        <v>255</v>
      </c>
      <c r="C236" s="1" t="s">
        <v>256</v>
      </c>
      <c r="D236" s="1" t="s">
        <v>13</v>
      </c>
      <c r="E236" s="5">
        <v>43066</v>
      </c>
      <c r="F236" s="3" t="s">
        <v>25</v>
      </c>
      <c r="G236" s="1" t="s">
        <v>522</v>
      </c>
      <c r="H236" s="1">
        <v>700</v>
      </c>
      <c r="I236" s="1">
        <v>700</v>
      </c>
      <c r="J236" s="2">
        <v>0</v>
      </c>
      <c r="K236">
        <f t="shared" si="9"/>
        <v>0</v>
      </c>
      <c r="L236">
        <f t="shared" si="10"/>
        <v>700</v>
      </c>
      <c r="M236" t="str">
        <f t="shared" si="11"/>
        <v>Nov-2017</v>
      </c>
    </row>
    <row r="237" spans="1:13" x14ac:dyDescent="0.3">
      <c r="A237" t="s">
        <v>523</v>
      </c>
      <c r="B237" s="1" t="s">
        <v>77</v>
      </c>
      <c r="C237" s="1" t="s">
        <v>78</v>
      </c>
      <c r="D237" s="1" t="s">
        <v>35</v>
      </c>
      <c r="E237" s="5">
        <v>42790</v>
      </c>
      <c r="F237" s="3" t="s">
        <v>30</v>
      </c>
      <c r="G237" s="1" t="s">
        <v>524</v>
      </c>
      <c r="H237" s="1">
        <v>150</v>
      </c>
      <c r="I237" s="1">
        <v>144</v>
      </c>
      <c r="J237" s="2">
        <v>0.04</v>
      </c>
      <c r="K237">
        <f t="shared" si="9"/>
        <v>5.76</v>
      </c>
      <c r="L237">
        <f t="shared" si="10"/>
        <v>138.24</v>
      </c>
      <c r="M237" t="str">
        <f t="shared" si="11"/>
        <v>Feb-2017</v>
      </c>
    </row>
    <row r="238" spans="1:13" x14ac:dyDescent="0.3">
      <c r="A238" t="s">
        <v>525</v>
      </c>
      <c r="B238" s="1" t="s">
        <v>127</v>
      </c>
      <c r="C238" s="1" t="s">
        <v>128</v>
      </c>
      <c r="D238" s="1" t="s">
        <v>13</v>
      </c>
      <c r="E238" s="5">
        <v>41686</v>
      </c>
      <c r="F238" s="3" t="s">
        <v>46</v>
      </c>
      <c r="G238" s="1" t="s">
        <v>526</v>
      </c>
      <c r="H238" s="1">
        <v>500</v>
      </c>
      <c r="I238" s="1">
        <v>465</v>
      </c>
      <c r="J238" s="2">
        <v>7.0000000000000007E-2</v>
      </c>
      <c r="K238">
        <f t="shared" si="9"/>
        <v>32.550000000000004</v>
      </c>
      <c r="L238">
        <f t="shared" si="10"/>
        <v>432.45</v>
      </c>
      <c r="M238" t="str">
        <f t="shared" si="11"/>
        <v>Feb-2014</v>
      </c>
    </row>
    <row r="239" spans="1:13" x14ac:dyDescent="0.3">
      <c r="A239" t="s">
        <v>527</v>
      </c>
      <c r="B239" s="1" t="s">
        <v>270</v>
      </c>
      <c r="C239" s="1" t="s">
        <v>271</v>
      </c>
      <c r="D239" s="1" t="s">
        <v>35</v>
      </c>
      <c r="E239" s="5">
        <v>43277</v>
      </c>
      <c r="F239" s="3" t="s">
        <v>36</v>
      </c>
      <c r="G239" s="1" t="s">
        <v>337</v>
      </c>
      <c r="H239" s="1">
        <v>50</v>
      </c>
      <c r="I239" s="1">
        <v>50</v>
      </c>
      <c r="J239" s="2">
        <v>0</v>
      </c>
      <c r="K239">
        <f t="shared" si="9"/>
        <v>0</v>
      </c>
      <c r="L239">
        <f t="shared" si="10"/>
        <v>50</v>
      </c>
      <c r="M239" t="str">
        <f t="shared" si="11"/>
        <v>Jun-2018</v>
      </c>
    </row>
    <row r="240" spans="1:13" x14ac:dyDescent="0.3">
      <c r="A240" t="s">
        <v>528</v>
      </c>
      <c r="B240" s="1" t="s">
        <v>64</v>
      </c>
      <c r="C240" s="1" t="s">
        <v>65</v>
      </c>
      <c r="D240" s="1" t="s">
        <v>35</v>
      </c>
      <c r="E240" s="5">
        <v>41656</v>
      </c>
      <c r="F240" s="3" t="s">
        <v>122</v>
      </c>
      <c r="G240" s="1" t="s">
        <v>529</v>
      </c>
      <c r="H240" s="1">
        <v>50</v>
      </c>
      <c r="I240" s="1">
        <v>49</v>
      </c>
      <c r="J240" s="2">
        <v>0.02</v>
      </c>
      <c r="K240">
        <f t="shared" si="9"/>
        <v>0.98</v>
      </c>
      <c r="L240">
        <f t="shared" si="10"/>
        <v>48.02</v>
      </c>
      <c r="M240" t="str">
        <f t="shared" si="11"/>
        <v>Jan-2014</v>
      </c>
    </row>
    <row r="241" spans="1:13" x14ac:dyDescent="0.3">
      <c r="A241" t="s">
        <v>530</v>
      </c>
      <c r="B241" s="1" t="s">
        <v>107</v>
      </c>
      <c r="C241" s="1" t="s">
        <v>108</v>
      </c>
      <c r="D241" s="1" t="s">
        <v>19</v>
      </c>
      <c r="E241" s="5">
        <v>43030</v>
      </c>
      <c r="F241" s="3" t="s">
        <v>36</v>
      </c>
      <c r="G241" s="1" t="s">
        <v>531</v>
      </c>
      <c r="H241" s="1">
        <v>50</v>
      </c>
      <c r="I241" s="1">
        <v>44</v>
      </c>
      <c r="J241" s="2">
        <v>0.12</v>
      </c>
      <c r="K241">
        <f t="shared" si="9"/>
        <v>5.2799999999999994</v>
      </c>
      <c r="L241">
        <f t="shared" si="10"/>
        <v>38.72</v>
      </c>
      <c r="M241" t="str">
        <f t="shared" si="11"/>
        <v>Oct-2017</v>
      </c>
    </row>
    <row r="242" spans="1:13" x14ac:dyDescent="0.3">
      <c r="A242" t="s">
        <v>532</v>
      </c>
      <c r="B242" s="1" t="s">
        <v>127</v>
      </c>
      <c r="C242" s="1" t="s">
        <v>128</v>
      </c>
      <c r="D242" s="1" t="s">
        <v>13</v>
      </c>
      <c r="E242" s="5">
        <v>42483</v>
      </c>
      <c r="F242" s="3" t="s">
        <v>72</v>
      </c>
      <c r="G242" s="1" t="s">
        <v>385</v>
      </c>
      <c r="H242" s="1">
        <v>500</v>
      </c>
      <c r="I242" s="1">
        <v>490</v>
      </c>
      <c r="J242" s="2">
        <v>0.02</v>
      </c>
      <c r="K242">
        <f t="shared" si="9"/>
        <v>9.8000000000000007</v>
      </c>
      <c r="L242">
        <f t="shared" si="10"/>
        <v>480.2</v>
      </c>
      <c r="M242" t="str">
        <f t="shared" si="11"/>
        <v>Apr-2016</v>
      </c>
    </row>
    <row r="243" spans="1:13" x14ac:dyDescent="0.3">
      <c r="A243" t="s">
        <v>533</v>
      </c>
      <c r="B243" s="1" t="s">
        <v>127</v>
      </c>
      <c r="C243" s="1" t="s">
        <v>128</v>
      </c>
      <c r="D243" s="1" t="s">
        <v>13</v>
      </c>
      <c r="E243" s="5">
        <v>43037</v>
      </c>
      <c r="F243" s="3" t="s">
        <v>25</v>
      </c>
      <c r="G243" s="1" t="s">
        <v>534</v>
      </c>
      <c r="H243" s="1">
        <v>700</v>
      </c>
      <c r="I243" s="1">
        <v>623</v>
      </c>
      <c r="J243" s="2">
        <v>0.11</v>
      </c>
      <c r="K243">
        <f t="shared" si="9"/>
        <v>68.53</v>
      </c>
      <c r="L243">
        <f t="shared" si="10"/>
        <v>554.47</v>
      </c>
      <c r="M243" t="str">
        <f t="shared" si="11"/>
        <v>Oct-2017</v>
      </c>
    </row>
    <row r="244" spans="1:13" x14ac:dyDescent="0.3">
      <c r="A244" t="s">
        <v>535</v>
      </c>
      <c r="B244" s="1" t="s">
        <v>131</v>
      </c>
      <c r="C244" s="1" t="s">
        <v>108</v>
      </c>
      <c r="D244" s="1" t="s">
        <v>19</v>
      </c>
      <c r="E244" s="5">
        <v>42794</v>
      </c>
      <c r="F244" s="3" t="s">
        <v>25</v>
      </c>
      <c r="G244" s="1" t="s">
        <v>536</v>
      </c>
      <c r="H244" s="1">
        <v>700</v>
      </c>
      <c r="I244" s="1">
        <v>574</v>
      </c>
      <c r="J244" s="2">
        <v>0.18</v>
      </c>
      <c r="K244">
        <f t="shared" si="9"/>
        <v>103.32</v>
      </c>
      <c r="L244">
        <f t="shared" si="10"/>
        <v>470.68</v>
      </c>
      <c r="M244" t="str">
        <f t="shared" si="11"/>
        <v>Feb-2017</v>
      </c>
    </row>
    <row r="245" spans="1:13" x14ac:dyDescent="0.3">
      <c r="A245" t="s">
        <v>537</v>
      </c>
      <c r="B245" s="1" t="s">
        <v>134</v>
      </c>
      <c r="C245" s="1" t="s">
        <v>92</v>
      </c>
      <c r="D245" s="1" t="s">
        <v>35</v>
      </c>
      <c r="E245" s="5">
        <v>42934</v>
      </c>
      <c r="F245" s="3" t="s">
        <v>104</v>
      </c>
      <c r="G245" s="1" t="s">
        <v>538</v>
      </c>
      <c r="H245" s="1">
        <v>70</v>
      </c>
      <c r="I245" s="1">
        <v>68</v>
      </c>
      <c r="J245" s="2">
        <v>2.86E-2</v>
      </c>
      <c r="K245">
        <f t="shared" si="9"/>
        <v>1.9448000000000001</v>
      </c>
      <c r="L245">
        <f t="shared" si="10"/>
        <v>66.055199999999999</v>
      </c>
      <c r="M245" t="str">
        <f t="shared" si="11"/>
        <v>Jul-2017</v>
      </c>
    </row>
    <row r="246" spans="1:13" x14ac:dyDescent="0.3">
      <c r="A246" t="s">
        <v>539</v>
      </c>
      <c r="B246" s="1" t="s">
        <v>118</v>
      </c>
      <c r="C246" s="1" t="s">
        <v>119</v>
      </c>
      <c r="D246" s="1" t="s">
        <v>35</v>
      </c>
      <c r="E246" s="5">
        <v>43277</v>
      </c>
      <c r="F246" s="3" t="s">
        <v>104</v>
      </c>
      <c r="G246" s="1" t="s">
        <v>540</v>
      </c>
      <c r="H246" s="1">
        <v>70</v>
      </c>
      <c r="I246" s="1">
        <v>69</v>
      </c>
      <c r="J246" s="2">
        <v>1.43E-2</v>
      </c>
      <c r="K246">
        <f t="shared" si="9"/>
        <v>0.98670000000000002</v>
      </c>
      <c r="L246">
        <f t="shared" si="10"/>
        <v>68.013300000000001</v>
      </c>
      <c r="M246" t="str">
        <f t="shared" si="11"/>
        <v>Jun-2018</v>
      </c>
    </row>
    <row r="247" spans="1:13" x14ac:dyDescent="0.3">
      <c r="A247" t="s">
        <v>541</v>
      </c>
      <c r="B247" s="1" t="s">
        <v>434</v>
      </c>
      <c r="C247" s="1" t="s">
        <v>435</v>
      </c>
      <c r="D247" s="1" t="s">
        <v>24</v>
      </c>
      <c r="E247" s="5">
        <v>41784</v>
      </c>
      <c r="F247" s="3" t="s">
        <v>41</v>
      </c>
      <c r="G247" s="1" t="s">
        <v>436</v>
      </c>
      <c r="H247" s="1">
        <v>30</v>
      </c>
      <c r="I247" s="1">
        <v>29</v>
      </c>
      <c r="J247" s="2">
        <v>3.3300000000000003E-2</v>
      </c>
      <c r="K247">
        <f t="shared" si="9"/>
        <v>0.96570000000000011</v>
      </c>
      <c r="L247">
        <f t="shared" si="10"/>
        <v>28.034299999999998</v>
      </c>
      <c r="M247" t="str">
        <f t="shared" si="11"/>
        <v>May-2014</v>
      </c>
    </row>
    <row r="248" spans="1:13" x14ac:dyDescent="0.3">
      <c r="A248" t="s">
        <v>542</v>
      </c>
      <c r="B248" s="1" t="s">
        <v>17</v>
      </c>
      <c r="C248" s="1" t="s">
        <v>18</v>
      </c>
      <c r="D248" s="1" t="s">
        <v>19</v>
      </c>
      <c r="E248" s="5">
        <v>42546</v>
      </c>
      <c r="F248" s="3" t="s">
        <v>55</v>
      </c>
      <c r="G248" s="1" t="s">
        <v>543</v>
      </c>
      <c r="H248" s="1">
        <v>800</v>
      </c>
      <c r="I248" s="1">
        <v>696</v>
      </c>
      <c r="J248" s="2">
        <v>0.13</v>
      </c>
      <c r="K248">
        <f t="shared" si="9"/>
        <v>90.48</v>
      </c>
      <c r="L248">
        <f t="shared" si="10"/>
        <v>605.52</v>
      </c>
      <c r="M248" t="str">
        <f t="shared" si="11"/>
        <v>Jun-2016</v>
      </c>
    </row>
    <row r="249" spans="1:13" x14ac:dyDescent="0.3">
      <c r="A249" t="s">
        <v>544</v>
      </c>
      <c r="B249" s="1" t="s">
        <v>28</v>
      </c>
      <c r="C249" s="1" t="s">
        <v>29</v>
      </c>
      <c r="D249" s="1" t="s">
        <v>13</v>
      </c>
      <c r="E249" s="5">
        <v>42239</v>
      </c>
      <c r="F249" s="3" t="s">
        <v>25</v>
      </c>
      <c r="G249" s="1" t="s">
        <v>424</v>
      </c>
      <c r="H249" s="1">
        <v>700</v>
      </c>
      <c r="I249" s="1">
        <v>602</v>
      </c>
      <c r="J249" s="2">
        <v>0.14000000000000001</v>
      </c>
      <c r="K249">
        <f t="shared" si="9"/>
        <v>84.28</v>
      </c>
      <c r="L249">
        <f t="shared" si="10"/>
        <v>517.72</v>
      </c>
      <c r="M249" t="str">
        <f t="shared" si="11"/>
        <v>Aug-2015</v>
      </c>
    </row>
    <row r="250" spans="1:13" x14ac:dyDescent="0.3">
      <c r="A250" t="s">
        <v>545</v>
      </c>
      <c r="B250" s="1" t="s">
        <v>131</v>
      </c>
      <c r="C250" s="1" t="s">
        <v>108</v>
      </c>
      <c r="D250" s="1" t="s">
        <v>19</v>
      </c>
      <c r="E250" s="5">
        <v>42336</v>
      </c>
      <c r="F250" s="3" t="s">
        <v>36</v>
      </c>
      <c r="G250" s="1" t="s">
        <v>546</v>
      </c>
      <c r="H250" s="1">
        <v>50</v>
      </c>
      <c r="I250" s="1">
        <v>40</v>
      </c>
      <c r="J250" s="2">
        <v>0.2</v>
      </c>
      <c r="K250">
        <f t="shared" si="9"/>
        <v>8</v>
      </c>
      <c r="L250">
        <f t="shared" si="10"/>
        <v>32</v>
      </c>
      <c r="M250" t="str">
        <f t="shared" si="11"/>
        <v>Nov-2015</v>
      </c>
    </row>
    <row r="251" spans="1:13" x14ac:dyDescent="0.3">
      <c r="A251" t="s">
        <v>547</v>
      </c>
      <c r="B251" s="1" t="s">
        <v>77</v>
      </c>
      <c r="C251" s="1" t="s">
        <v>78</v>
      </c>
      <c r="D251" s="1" t="s">
        <v>35</v>
      </c>
      <c r="E251" s="5">
        <v>42570</v>
      </c>
      <c r="F251" s="3" t="s">
        <v>122</v>
      </c>
      <c r="G251" s="1" t="s">
        <v>548</v>
      </c>
      <c r="H251" s="1">
        <v>50</v>
      </c>
      <c r="I251" s="1">
        <v>50</v>
      </c>
      <c r="J251" s="2">
        <v>0</v>
      </c>
      <c r="K251">
        <f t="shared" si="9"/>
        <v>0</v>
      </c>
      <c r="L251">
        <f t="shared" si="10"/>
        <v>50</v>
      </c>
      <c r="M251" t="str">
        <f t="shared" si="11"/>
        <v>Jul-2016</v>
      </c>
    </row>
    <row r="252" spans="1:13" x14ac:dyDescent="0.3">
      <c r="A252" t="s">
        <v>549</v>
      </c>
      <c r="B252" s="1" t="s">
        <v>434</v>
      </c>
      <c r="C252" s="1" t="s">
        <v>435</v>
      </c>
      <c r="D252" s="1" t="s">
        <v>24</v>
      </c>
      <c r="E252" s="5">
        <v>43371</v>
      </c>
      <c r="F252" s="3" t="s">
        <v>36</v>
      </c>
      <c r="G252" s="1" t="s">
        <v>550</v>
      </c>
      <c r="H252" s="1">
        <v>50</v>
      </c>
      <c r="I252" s="1">
        <v>49</v>
      </c>
      <c r="J252" s="2">
        <v>0.02</v>
      </c>
      <c r="K252">
        <f t="shared" si="9"/>
        <v>0.98</v>
      </c>
      <c r="L252">
        <f t="shared" si="10"/>
        <v>48.02</v>
      </c>
      <c r="M252" t="str">
        <f t="shared" si="11"/>
        <v>Sep-2018</v>
      </c>
    </row>
    <row r="253" spans="1:13" x14ac:dyDescent="0.3">
      <c r="A253" t="s">
        <v>551</v>
      </c>
      <c r="B253" s="1" t="s">
        <v>59</v>
      </c>
      <c r="C253" s="1" t="s">
        <v>60</v>
      </c>
      <c r="D253" s="1" t="s">
        <v>13</v>
      </c>
      <c r="E253" s="5">
        <v>42845</v>
      </c>
      <c r="F253" s="3" t="s">
        <v>46</v>
      </c>
      <c r="G253" s="1" t="s">
        <v>312</v>
      </c>
      <c r="H253" s="1">
        <v>500</v>
      </c>
      <c r="I253" s="1">
        <v>425</v>
      </c>
      <c r="J253" s="2">
        <v>0.15</v>
      </c>
      <c r="K253">
        <f t="shared" si="9"/>
        <v>63.75</v>
      </c>
      <c r="L253">
        <f t="shared" si="10"/>
        <v>361.25</v>
      </c>
      <c r="M253" t="str">
        <f t="shared" si="11"/>
        <v>Apr-2017</v>
      </c>
    </row>
    <row r="254" spans="1:13" x14ac:dyDescent="0.3">
      <c r="A254" t="s">
        <v>552</v>
      </c>
      <c r="B254" s="1" t="s">
        <v>170</v>
      </c>
      <c r="C254" s="1" t="s">
        <v>171</v>
      </c>
      <c r="D254" s="1" t="s">
        <v>13</v>
      </c>
      <c r="E254" s="5">
        <v>41653</v>
      </c>
      <c r="F254" s="3" t="s">
        <v>72</v>
      </c>
      <c r="G254" s="1" t="s">
        <v>518</v>
      </c>
      <c r="H254" s="1">
        <v>500</v>
      </c>
      <c r="I254" s="1">
        <v>500</v>
      </c>
      <c r="J254" s="2">
        <v>0</v>
      </c>
      <c r="K254">
        <f t="shared" si="9"/>
        <v>0</v>
      </c>
      <c r="L254">
        <f t="shared" si="10"/>
        <v>500</v>
      </c>
      <c r="M254" t="str">
        <f t="shared" si="11"/>
        <v>Jan-2014</v>
      </c>
    </row>
    <row r="255" spans="1:13" x14ac:dyDescent="0.3">
      <c r="A255" t="s">
        <v>553</v>
      </c>
      <c r="B255" s="1" t="s">
        <v>28</v>
      </c>
      <c r="C255" s="1" t="s">
        <v>29</v>
      </c>
      <c r="D255" s="1" t="s">
        <v>13</v>
      </c>
      <c r="E255" s="5">
        <v>42719</v>
      </c>
      <c r="F255" s="3" t="s">
        <v>55</v>
      </c>
      <c r="G255" s="1" t="s">
        <v>554</v>
      </c>
      <c r="H255" s="1">
        <v>800</v>
      </c>
      <c r="I255" s="1">
        <v>680</v>
      </c>
      <c r="J255" s="2">
        <v>0.15</v>
      </c>
      <c r="K255">
        <f t="shared" si="9"/>
        <v>102</v>
      </c>
      <c r="L255">
        <f t="shared" si="10"/>
        <v>578</v>
      </c>
      <c r="M255" t="str">
        <f t="shared" si="11"/>
        <v>Dec-2016</v>
      </c>
    </row>
    <row r="256" spans="1:13" x14ac:dyDescent="0.3">
      <c r="A256" t="s">
        <v>555</v>
      </c>
      <c r="B256" s="1" t="s">
        <v>81</v>
      </c>
      <c r="C256" s="1" t="s">
        <v>82</v>
      </c>
      <c r="D256" s="1" t="s">
        <v>13</v>
      </c>
      <c r="E256" s="5">
        <v>43325</v>
      </c>
      <c r="F256" s="3" t="s">
        <v>30</v>
      </c>
      <c r="G256" s="1" t="s">
        <v>556</v>
      </c>
      <c r="H256" s="1">
        <v>150</v>
      </c>
      <c r="I256" s="1">
        <v>144</v>
      </c>
      <c r="J256" s="2">
        <v>0.04</v>
      </c>
      <c r="K256">
        <f t="shared" si="9"/>
        <v>5.76</v>
      </c>
      <c r="L256">
        <f t="shared" si="10"/>
        <v>138.24</v>
      </c>
      <c r="M256" t="str">
        <f t="shared" si="11"/>
        <v>Aug-2018</v>
      </c>
    </row>
    <row r="257" spans="1:13" x14ac:dyDescent="0.3">
      <c r="A257" t="s">
        <v>557</v>
      </c>
      <c r="B257" s="1" t="s">
        <v>255</v>
      </c>
      <c r="C257" s="1" t="s">
        <v>256</v>
      </c>
      <c r="D257" s="1" t="s">
        <v>13</v>
      </c>
      <c r="E257" s="5">
        <v>43190</v>
      </c>
      <c r="F257" s="3" t="s">
        <v>61</v>
      </c>
      <c r="G257" s="1" t="s">
        <v>376</v>
      </c>
      <c r="H257" s="1">
        <v>1000</v>
      </c>
      <c r="I257" s="1">
        <v>680</v>
      </c>
      <c r="J257" s="2">
        <v>0.32</v>
      </c>
      <c r="K257">
        <f t="shared" si="9"/>
        <v>217.6</v>
      </c>
      <c r="L257">
        <f t="shared" si="10"/>
        <v>462.4</v>
      </c>
      <c r="M257" t="str">
        <f t="shared" si="11"/>
        <v>Mar-2018</v>
      </c>
    </row>
    <row r="258" spans="1:13" x14ac:dyDescent="0.3">
      <c r="A258" t="s">
        <v>558</v>
      </c>
      <c r="B258" s="1" t="s">
        <v>22</v>
      </c>
      <c r="C258" s="1" t="s">
        <v>23</v>
      </c>
      <c r="D258" s="1" t="s">
        <v>24</v>
      </c>
      <c r="E258" s="5">
        <v>43397</v>
      </c>
      <c r="F258" s="3" t="s">
        <v>30</v>
      </c>
      <c r="G258" s="1" t="s">
        <v>310</v>
      </c>
      <c r="H258" s="1">
        <v>150</v>
      </c>
      <c r="I258" s="1">
        <v>140</v>
      </c>
      <c r="J258" s="2">
        <v>6.6699999999999995E-2</v>
      </c>
      <c r="K258">
        <f t="shared" si="9"/>
        <v>9.3379999999999992</v>
      </c>
      <c r="L258">
        <f t="shared" si="10"/>
        <v>130.66200000000001</v>
      </c>
      <c r="M258" t="str">
        <f t="shared" si="11"/>
        <v>Oct-2018</v>
      </c>
    </row>
    <row r="259" spans="1:13" x14ac:dyDescent="0.3">
      <c r="A259" t="s">
        <v>559</v>
      </c>
      <c r="B259" s="1" t="s">
        <v>111</v>
      </c>
      <c r="C259" s="1" t="s">
        <v>82</v>
      </c>
      <c r="D259" s="1" t="s">
        <v>13</v>
      </c>
      <c r="E259" s="5">
        <v>42944</v>
      </c>
      <c r="F259" s="3" t="s">
        <v>41</v>
      </c>
      <c r="G259" s="1" t="s">
        <v>560</v>
      </c>
      <c r="H259" s="1">
        <v>30</v>
      </c>
      <c r="I259" s="1">
        <v>28</v>
      </c>
      <c r="J259" s="2">
        <v>6.6699999999999995E-2</v>
      </c>
      <c r="K259">
        <f t="shared" si="9"/>
        <v>1.8675999999999999</v>
      </c>
      <c r="L259">
        <f t="shared" si="10"/>
        <v>26.132400000000001</v>
      </c>
      <c r="M259" t="str">
        <f t="shared" si="11"/>
        <v>Jul-2017</v>
      </c>
    </row>
    <row r="260" spans="1:13" x14ac:dyDescent="0.3">
      <c r="A260" t="s">
        <v>561</v>
      </c>
      <c r="B260" s="1" t="s">
        <v>205</v>
      </c>
      <c r="C260" s="1" t="s">
        <v>206</v>
      </c>
      <c r="D260" s="1" t="s">
        <v>24</v>
      </c>
      <c r="E260" s="5">
        <v>42448</v>
      </c>
      <c r="F260" s="3" t="s">
        <v>55</v>
      </c>
      <c r="G260" s="1" t="s">
        <v>207</v>
      </c>
      <c r="H260" s="1">
        <v>800</v>
      </c>
      <c r="I260" s="1">
        <v>544</v>
      </c>
      <c r="J260" s="2">
        <v>0.32</v>
      </c>
      <c r="K260">
        <f t="shared" ref="K260:K323" si="12">I260*J260</f>
        <v>174.08</v>
      </c>
      <c r="L260">
        <f t="shared" ref="L260:L323" si="13">I260-K260</f>
        <v>369.91999999999996</v>
      </c>
      <c r="M260" t="str">
        <f t="shared" ref="M260:M323" si="14">TEXT(E260, "mmm-yyyy")</f>
        <v>Mar-2016</v>
      </c>
    </row>
    <row r="261" spans="1:13" x14ac:dyDescent="0.3">
      <c r="A261" t="s">
        <v>562</v>
      </c>
      <c r="B261" s="1" t="s">
        <v>17</v>
      </c>
      <c r="C261" s="1" t="s">
        <v>18</v>
      </c>
      <c r="D261" s="1" t="s">
        <v>19</v>
      </c>
      <c r="E261" s="5">
        <v>42486</v>
      </c>
      <c r="F261" s="3" t="s">
        <v>36</v>
      </c>
      <c r="G261" s="1" t="s">
        <v>89</v>
      </c>
      <c r="H261" s="1">
        <v>50</v>
      </c>
      <c r="I261" s="1">
        <v>47</v>
      </c>
      <c r="J261" s="2">
        <v>0.06</v>
      </c>
      <c r="K261">
        <f t="shared" si="12"/>
        <v>2.82</v>
      </c>
      <c r="L261">
        <f t="shared" si="13"/>
        <v>44.18</v>
      </c>
      <c r="M261" t="str">
        <f t="shared" si="14"/>
        <v>Apr-2016</v>
      </c>
    </row>
    <row r="262" spans="1:13" x14ac:dyDescent="0.3">
      <c r="A262" t="s">
        <v>563</v>
      </c>
      <c r="B262" s="1" t="s">
        <v>111</v>
      </c>
      <c r="C262" s="1" t="s">
        <v>82</v>
      </c>
      <c r="D262" s="1" t="s">
        <v>13</v>
      </c>
      <c r="E262" s="5">
        <v>43398</v>
      </c>
      <c r="F262" s="3" t="s">
        <v>14</v>
      </c>
      <c r="G262" s="1" t="s">
        <v>564</v>
      </c>
      <c r="H262" s="1">
        <v>80</v>
      </c>
      <c r="I262" s="1">
        <v>60</v>
      </c>
      <c r="J262" s="2">
        <v>0.25</v>
      </c>
      <c r="K262">
        <f t="shared" si="12"/>
        <v>15</v>
      </c>
      <c r="L262">
        <f t="shared" si="13"/>
        <v>45</v>
      </c>
      <c r="M262" t="str">
        <f t="shared" si="14"/>
        <v>Oct-2018</v>
      </c>
    </row>
    <row r="263" spans="1:13" x14ac:dyDescent="0.3">
      <c r="A263" t="s">
        <v>565</v>
      </c>
      <c r="B263" s="1" t="s">
        <v>270</v>
      </c>
      <c r="C263" s="1" t="s">
        <v>271</v>
      </c>
      <c r="D263" s="1" t="s">
        <v>35</v>
      </c>
      <c r="E263" s="5">
        <v>43065</v>
      </c>
      <c r="F263" s="3" t="s">
        <v>41</v>
      </c>
      <c r="G263" s="1" t="s">
        <v>566</v>
      </c>
      <c r="H263" s="1">
        <v>30</v>
      </c>
      <c r="I263" s="1">
        <v>26</v>
      </c>
      <c r="J263" s="2">
        <v>0.1333</v>
      </c>
      <c r="K263">
        <f t="shared" si="12"/>
        <v>3.4658000000000002</v>
      </c>
      <c r="L263">
        <f t="shared" si="13"/>
        <v>22.534199999999998</v>
      </c>
      <c r="M263" t="str">
        <f t="shared" si="14"/>
        <v>Nov-2017</v>
      </c>
    </row>
    <row r="264" spans="1:13" x14ac:dyDescent="0.3">
      <c r="A264" t="s">
        <v>567</v>
      </c>
      <c r="B264" s="1" t="s">
        <v>131</v>
      </c>
      <c r="C264" s="1" t="s">
        <v>108</v>
      </c>
      <c r="D264" s="1" t="s">
        <v>19</v>
      </c>
      <c r="E264" s="5">
        <v>42059</v>
      </c>
      <c r="F264" s="3" t="s">
        <v>72</v>
      </c>
      <c r="G264" s="1" t="s">
        <v>536</v>
      </c>
      <c r="H264" s="1">
        <v>500</v>
      </c>
      <c r="I264" s="1">
        <v>495</v>
      </c>
      <c r="J264" s="2">
        <v>0.01</v>
      </c>
      <c r="K264">
        <f t="shared" si="12"/>
        <v>4.95</v>
      </c>
      <c r="L264">
        <f t="shared" si="13"/>
        <v>490.05</v>
      </c>
      <c r="M264" t="str">
        <f t="shared" si="14"/>
        <v>Feb-2015</v>
      </c>
    </row>
    <row r="265" spans="1:13" x14ac:dyDescent="0.3">
      <c r="A265" t="s">
        <v>568</v>
      </c>
      <c r="B265" s="1" t="s">
        <v>124</v>
      </c>
      <c r="C265" s="1" t="s">
        <v>40</v>
      </c>
      <c r="D265" s="1" t="s">
        <v>35</v>
      </c>
      <c r="E265" s="5">
        <v>41998</v>
      </c>
      <c r="F265" s="3" t="s">
        <v>61</v>
      </c>
      <c r="G265" s="1" t="s">
        <v>569</v>
      </c>
      <c r="H265" s="1">
        <v>1000</v>
      </c>
      <c r="I265" s="1">
        <v>620</v>
      </c>
      <c r="J265" s="2">
        <v>0.38</v>
      </c>
      <c r="K265">
        <f t="shared" si="12"/>
        <v>235.6</v>
      </c>
      <c r="L265">
        <f t="shared" si="13"/>
        <v>384.4</v>
      </c>
      <c r="M265" t="str">
        <f t="shared" si="14"/>
        <v>Dec-2014</v>
      </c>
    </row>
    <row r="266" spans="1:13" x14ac:dyDescent="0.3">
      <c r="A266" t="s">
        <v>570</v>
      </c>
      <c r="B266" s="1" t="s">
        <v>157</v>
      </c>
      <c r="C266" s="1" t="s">
        <v>108</v>
      </c>
      <c r="D266" s="1" t="s">
        <v>19</v>
      </c>
      <c r="E266" s="5">
        <v>43053</v>
      </c>
      <c r="F266" s="3" t="s">
        <v>72</v>
      </c>
      <c r="G266" s="1" t="s">
        <v>571</v>
      </c>
      <c r="H266" s="1">
        <v>500</v>
      </c>
      <c r="I266" s="1">
        <v>490</v>
      </c>
      <c r="J266" s="2">
        <v>0.02</v>
      </c>
      <c r="K266">
        <f t="shared" si="12"/>
        <v>9.8000000000000007</v>
      </c>
      <c r="L266">
        <f t="shared" si="13"/>
        <v>480.2</v>
      </c>
      <c r="M266" t="str">
        <f t="shared" si="14"/>
        <v>Nov-2017</v>
      </c>
    </row>
    <row r="267" spans="1:13" x14ac:dyDescent="0.3">
      <c r="A267" t="s">
        <v>572</v>
      </c>
      <c r="B267" s="1" t="s">
        <v>85</v>
      </c>
      <c r="C267" s="1" t="s">
        <v>86</v>
      </c>
      <c r="D267" s="1" t="s">
        <v>13</v>
      </c>
      <c r="E267" s="5">
        <v>41790</v>
      </c>
      <c r="F267" s="3" t="s">
        <v>41</v>
      </c>
      <c r="G267" s="1" t="s">
        <v>573</v>
      </c>
      <c r="H267" s="1">
        <v>30</v>
      </c>
      <c r="I267" s="1">
        <v>21</v>
      </c>
      <c r="J267" s="2">
        <v>0.3</v>
      </c>
      <c r="K267">
        <f t="shared" si="12"/>
        <v>6.3</v>
      </c>
      <c r="L267">
        <f t="shared" si="13"/>
        <v>14.7</v>
      </c>
      <c r="M267" t="str">
        <f t="shared" si="14"/>
        <v>May-2014</v>
      </c>
    </row>
    <row r="268" spans="1:13" x14ac:dyDescent="0.3">
      <c r="A268" t="s">
        <v>574</v>
      </c>
      <c r="B268" s="1" t="s">
        <v>124</v>
      </c>
      <c r="C268" s="1" t="s">
        <v>40</v>
      </c>
      <c r="D268" s="1" t="s">
        <v>35</v>
      </c>
      <c r="E268" s="5">
        <v>43372</v>
      </c>
      <c r="F268" s="3" t="s">
        <v>41</v>
      </c>
      <c r="G268" s="1" t="s">
        <v>575</v>
      </c>
      <c r="H268" s="1">
        <v>30</v>
      </c>
      <c r="I268" s="1">
        <v>20</v>
      </c>
      <c r="J268" s="2">
        <v>0.33329999999999999</v>
      </c>
      <c r="K268">
        <f t="shared" si="12"/>
        <v>6.6659999999999995</v>
      </c>
      <c r="L268">
        <f t="shared" si="13"/>
        <v>13.334</v>
      </c>
      <c r="M268" t="str">
        <f t="shared" si="14"/>
        <v>Sep-2018</v>
      </c>
    </row>
    <row r="269" spans="1:13" x14ac:dyDescent="0.3">
      <c r="A269" t="s">
        <v>576</v>
      </c>
      <c r="B269" s="1" t="s">
        <v>221</v>
      </c>
      <c r="C269" s="1" t="s">
        <v>40</v>
      </c>
      <c r="D269" s="1" t="s">
        <v>35</v>
      </c>
      <c r="E269" s="5">
        <v>43450</v>
      </c>
      <c r="F269" s="3" t="s">
        <v>61</v>
      </c>
      <c r="G269" s="1" t="s">
        <v>245</v>
      </c>
      <c r="H269" s="1">
        <v>1000</v>
      </c>
      <c r="I269" s="1">
        <v>910</v>
      </c>
      <c r="J269" s="2">
        <v>0.09</v>
      </c>
      <c r="K269">
        <f t="shared" si="12"/>
        <v>81.899999999999991</v>
      </c>
      <c r="L269">
        <f t="shared" si="13"/>
        <v>828.1</v>
      </c>
      <c r="M269" t="str">
        <f t="shared" si="14"/>
        <v>Dec-2018</v>
      </c>
    </row>
    <row r="270" spans="1:13" x14ac:dyDescent="0.3">
      <c r="A270" t="s">
        <v>577</v>
      </c>
      <c r="B270" s="1" t="s">
        <v>64</v>
      </c>
      <c r="C270" s="1" t="s">
        <v>65</v>
      </c>
      <c r="D270" s="1" t="s">
        <v>35</v>
      </c>
      <c r="E270" s="5">
        <v>42019</v>
      </c>
      <c r="F270" s="3" t="s">
        <v>104</v>
      </c>
      <c r="G270" s="1" t="s">
        <v>529</v>
      </c>
      <c r="H270" s="1">
        <v>70</v>
      </c>
      <c r="I270" s="1">
        <v>68</v>
      </c>
      <c r="J270" s="2">
        <v>2.86E-2</v>
      </c>
      <c r="K270">
        <f t="shared" si="12"/>
        <v>1.9448000000000001</v>
      </c>
      <c r="L270">
        <f t="shared" si="13"/>
        <v>66.055199999999999</v>
      </c>
      <c r="M270" t="str">
        <f t="shared" si="14"/>
        <v>Jan-2015</v>
      </c>
    </row>
    <row r="271" spans="1:13" x14ac:dyDescent="0.3">
      <c r="A271" t="s">
        <v>578</v>
      </c>
      <c r="B271" s="1" t="s">
        <v>205</v>
      </c>
      <c r="C271" s="1" t="s">
        <v>206</v>
      </c>
      <c r="D271" s="1" t="s">
        <v>24</v>
      </c>
      <c r="E271" s="5">
        <v>41780</v>
      </c>
      <c r="F271" s="3" t="s">
        <v>25</v>
      </c>
      <c r="G271" s="1" t="s">
        <v>579</v>
      </c>
      <c r="H271" s="1">
        <v>700</v>
      </c>
      <c r="I271" s="1">
        <v>623</v>
      </c>
      <c r="J271" s="2">
        <v>0.11</v>
      </c>
      <c r="K271">
        <f t="shared" si="12"/>
        <v>68.53</v>
      </c>
      <c r="L271">
        <f t="shared" si="13"/>
        <v>554.47</v>
      </c>
      <c r="M271" t="str">
        <f t="shared" si="14"/>
        <v>May-2014</v>
      </c>
    </row>
    <row r="272" spans="1:13" x14ac:dyDescent="0.3">
      <c r="A272" t="s">
        <v>580</v>
      </c>
      <c r="B272" s="1" t="s">
        <v>85</v>
      </c>
      <c r="C272" s="1" t="s">
        <v>86</v>
      </c>
      <c r="D272" s="1" t="s">
        <v>13</v>
      </c>
      <c r="E272" s="5">
        <v>41684</v>
      </c>
      <c r="F272" s="3" t="s">
        <v>72</v>
      </c>
      <c r="G272" s="1" t="s">
        <v>581</v>
      </c>
      <c r="H272" s="1">
        <v>500</v>
      </c>
      <c r="I272" s="1">
        <v>490</v>
      </c>
      <c r="J272" s="2">
        <v>0.02</v>
      </c>
      <c r="K272">
        <f t="shared" si="12"/>
        <v>9.8000000000000007</v>
      </c>
      <c r="L272">
        <f t="shared" si="13"/>
        <v>480.2</v>
      </c>
      <c r="M272" t="str">
        <f t="shared" si="14"/>
        <v>Feb-2014</v>
      </c>
    </row>
    <row r="273" spans="1:13" x14ac:dyDescent="0.3">
      <c r="A273" t="s">
        <v>582</v>
      </c>
      <c r="B273" s="1" t="s">
        <v>118</v>
      </c>
      <c r="C273" s="1" t="s">
        <v>119</v>
      </c>
      <c r="D273" s="1" t="s">
        <v>35</v>
      </c>
      <c r="E273" s="5">
        <v>42414</v>
      </c>
      <c r="F273" s="3" t="s">
        <v>36</v>
      </c>
      <c r="G273" s="1" t="s">
        <v>583</v>
      </c>
      <c r="H273" s="1">
        <v>50</v>
      </c>
      <c r="I273" s="1">
        <v>50</v>
      </c>
      <c r="J273" s="2">
        <v>0</v>
      </c>
      <c r="K273">
        <f t="shared" si="12"/>
        <v>0</v>
      </c>
      <c r="L273">
        <f t="shared" si="13"/>
        <v>50</v>
      </c>
      <c r="M273" t="str">
        <f t="shared" si="14"/>
        <v>Feb-2016</v>
      </c>
    </row>
    <row r="274" spans="1:13" x14ac:dyDescent="0.3">
      <c r="A274" t="s">
        <v>584</v>
      </c>
      <c r="B274" s="1" t="s">
        <v>434</v>
      </c>
      <c r="C274" s="1" t="s">
        <v>435</v>
      </c>
      <c r="D274" s="1" t="s">
        <v>24</v>
      </c>
      <c r="E274" s="5">
        <v>41716</v>
      </c>
      <c r="F274" s="3" t="s">
        <v>61</v>
      </c>
      <c r="G274" s="1" t="s">
        <v>585</v>
      </c>
      <c r="H274" s="1">
        <v>1000</v>
      </c>
      <c r="I274" s="1">
        <v>790</v>
      </c>
      <c r="J274" s="2">
        <v>0.21</v>
      </c>
      <c r="K274">
        <f t="shared" si="12"/>
        <v>165.9</v>
      </c>
      <c r="L274">
        <f t="shared" si="13"/>
        <v>624.1</v>
      </c>
      <c r="M274" t="str">
        <f t="shared" si="14"/>
        <v>Mar-2014</v>
      </c>
    </row>
    <row r="275" spans="1:13" x14ac:dyDescent="0.3">
      <c r="A275" t="s">
        <v>586</v>
      </c>
      <c r="B275" s="1" t="s">
        <v>33</v>
      </c>
      <c r="C275" s="1" t="s">
        <v>34</v>
      </c>
      <c r="D275" s="1" t="s">
        <v>35</v>
      </c>
      <c r="E275" s="5">
        <v>42821</v>
      </c>
      <c r="F275" s="3" t="s">
        <v>30</v>
      </c>
      <c r="G275" s="1" t="s">
        <v>37</v>
      </c>
      <c r="H275" s="1">
        <v>150</v>
      </c>
      <c r="I275" s="1">
        <v>144</v>
      </c>
      <c r="J275" s="2">
        <v>0.04</v>
      </c>
      <c r="K275">
        <f t="shared" si="12"/>
        <v>5.76</v>
      </c>
      <c r="L275">
        <f t="shared" si="13"/>
        <v>138.24</v>
      </c>
      <c r="M275" t="str">
        <f t="shared" si="14"/>
        <v>Mar-2017</v>
      </c>
    </row>
    <row r="276" spans="1:13" x14ac:dyDescent="0.3">
      <c r="A276" t="s">
        <v>587</v>
      </c>
      <c r="B276" s="1" t="s">
        <v>324</v>
      </c>
      <c r="C276" s="1" t="s">
        <v>325</v>
      </c>
      <c r="D276" s="1" t="s">
        <v>13</v>
      </c>
      <c r="E276" s="5">
        <v>43275</v>
      </c>
      <c r="F276" s="3" t="s">
        <v>61</v>
      </c>
      <c r="G276" s="1" t="s">
        <v>588</v>
      </c>
      <c r="H276" s="1">
        <v>1000</v>
      </c>
      <c r="I276" s="1">
        <v>960</v>
      </c>
      <c r="J276" s="2">
        <v>0.04</v>
      </c>
      <c r="K276">
        <f t="shared" si="12"/>
        <v>38.4</v>
      </c>
      <c r="L276">
        <f t="shared" si="13"/>
        <v>921.6</v>
      </c>
      <c r="M276" t="str">
        <f t="shared" si="14"/>
        <v>Jun-2018</v>
      </c>
    </row>
    <row r="277" spans="1:13" x14ac:dyDescent="0.3">
      <c r="A277" t="s">
        <v>589</v>
      </c>
      <c r="B277" s="1" t="s">
        <v>255</v>
      </c>
      <c r="C277" s="1" t="s">
        <v>256</v>
      </c>
      <c r="D277" s="1" t="s">
        <v>13</v>
      </c>
      <c r="E277" s="5">
        <v>42697</v>
      </c>
      <c r="F277" s="3" t="s">
        <v>46</v>
      </c>
      <c r="G277" s="1" t="s">
        <v>590</v>
      </c>
      <c r="H277" s="1">
        <v>500</v>
      </c>
      <c r="I277" s="1">
        <v>445</v>
      </c>
      <c r="J277" s="2">
        <v>0.11</v>
      </c>
      <c r="K277">
        <f t="shared" si="12"/>
        <v>48.95</v>
      </c>
      <c r="L277">
        <f t="shared" si="13"/>
        <v>396.05</v>
      </c>
      <c r="M277" t="str">
        <f t="shared" si="14"/>
        <v>Nov-2016</v>
      </c>
    </row>
    <row r="278" spans="1:13" x14ac:dyDescent="0.3">
      <c r="A278" t="s">
        <v>591</v>
      </c>
      <c r="B278" s="1" t="s">
        <v>103</v>
      </c>
      <c r="C278" s="1" t="s">
        <v>71</v>
      </c>
      <c r="D278" s="1" t="s">
        <v>35</v>
      </c>
      <c r="E278" s="5">
        <v>42938</v>
      </c>
      <c r="F278" s="3" t="s">
        <v>46</v>
      </c>
      <c r="G278" s="1" t="s">
        <v>592</v>
      </c>
      <c r="H278" s="1">
        <v>500</v>
      </c>
      <c r="I278" s="1">
        <v>435</v>
      </c>
      <c r="J278" s="2">
        <v>0.13</v>
      </c>
      <c r="K278">
        <f t="shared" si="12"/>
        <v>56.550000000000004</v>
      </c>
      <c r="L278">
        <f t="shared" si="13"/>
        <v>378.45</v>
      </c>
      <c r="M278" t="str">
        <f t="shared" si="14"/>
        <v>Jul-2017</v>
      </c>
    </row>
    <row r="279" spans="1:13" x14ac:dyDescent="0.3">
      <c r="A279" t="s">
        <v>593</v>
      </c>
      <c r="B279" s="1" t="s">
        <v>99</v>
      </c>
      <c r="C279" s="1" t="s">
        <v>100</v>
      </c>
      <c r="D279" s="1" t="s">
        <v>13</v>
      </c>
      <c r="E279" s="5">
        <v>42971</v>
      </c>
      <c r="F279" s="3" t="s">
        <v>72</v>
      </c>
      <c r="G279" s="1" t="s">
        <v>594</v>
      </c>
      <c r="H279" s="1">
        <v>500</v>
      </c>
      <c r="I279" s="1">
        <v>490</v>
      </c>
      <c r="J279" s="2">
        <v>0.02</v>
      </c>
      <c r="K279">
        <f t="shared" si="12"/>
        <v>9.8000000000000007</v>
      </c>
      <c r="L279">
        <f t="shared" si="13"/>
        <v>480.2</v>
      </c>
      <c r="M279" t="str">
        <f t="shared" si="14"/>
        <v>Aug-2017</v>
      </c>
    </row>
    <row r="280" spans="1:13" x14ac:dyDescent="0.3">
      <c r="A280" t="s">
        <v>595</v>
      </c>
      <c r="B280" s="1" t="s">
        <v>205</v>
      </c>
      <c r="C280" s="1" t="s">
        <v>206</v>
      </c>
      <c r="D280" s="1" t="s">
        <v>24</v>
      </c>
      <c r="E280" s="5">
        <v>42790</v>
      </c>
      <c r="F280" s="3" t="s">
        <v>115</v>
      </c>
      <c r="G280" s="1" t="s">
        <v>596</v>
      </c>
      <c r="H280" s="1">
        <v>250</v>
      </c>
      <c r="I280" s="1">
        <v>230</v>
      </c>
      <c r="J280" s="2">
        <v>0.08</v>
      </c>
      <c r="K280">
        <f t="shared" si="12"/>
        <v>18.400000000000002</v>
      </c>
      <c r="L280">
        <f t="shared" si="13"/>
        <v>211.6</v>
      </c>
      <c r="M280" t="str">
        <f t="shared" si="14"/>
        <v>Feb-2017</v>
      </c>
    </row>
    <row r="281" spans="1:13" x14ac:dyDescent="0.3">
      <c r="A281" t="s">
        <v>597</v>
      </c>
      <c r="B281" s="1" t="s">
        <v>434</v>
      </c>
      <c r="C281" s="1" t="s">
        <v>435</v>
      </c>
      <c r="D281" s="1" t="s">
        <v>24</v>
      </c>
      <c r="E281" s="5">
        <v>43365</v>
      </c>
      <c r="F281" s="3" t="s">
        <v>55</v>
      </c>
      <c r="G281" s="1" t="s">
        <v>436</v>
      </c>
      <c r="H281" s="1">
        <v>800</v>
      </c>
      <c r="I281" s="1">
        <v>472</v>
      </c>
      <c r="J281" s="2">
        <v>0.41</v>
      </c>
      <c r="K281">
        <f t="shared" si="12"/>
        <v>193.51999999999998</v>
      </c>
      <c r="L281">
        <f t="shared" si="13"/>
        <v>278.48</v>
      </c>
      <c r="M281" t="str">
        <f t="shared" si="14"/>
        <v>Sep-2018</v>
      </c>
    </row>
    <row r="282" spans="1:13" x14ac:dyDescent="0.3">
      <c r="A282" t="s">
        <v>598</v>
      </c>
      <c r="B282" s="1" t="s">
        <v>264</v>
      </c>
      <c r="C282" s="1" t="s">
        <v>265</v>
      </c>
      <c r="D282" s="1" t="s">
        <v>13</v>
      </c>
      <c r="E282" s="5">
        <v>42077</v>
      </c>
      <c r="F282" s="3" t="s">
        <v>61</v>
      </c>
      <c r="G282" s="1" t="s">
        <v>599</v>
      </c>
      <c r="H282" s="1">
        <v>1000</v>
      </c>
      <c r="I282" s="1">
        <v>510</v>
      </c>
      <c r="J282" s="2">
        <v>0.49</v>
      </c>
      <c r="K282">
        <f t="shared" si="12"/>
        <v>249.9</v>
      </c>
      <c r="L282">
        <f t="shared" si="13"/>
        <v>260.10000000000002</v>
      </c>
      <c r="M282" t="str">
        <f t="shared" si="14"/>
        <v>Mar-2015</v>
      </c>
    </row>
    <row r="283" spans="1:13" x14ac:dyDescent="0.3">
      <c r="A283" t="s">
        <v>600</v>
      </c>
      <c r="B283" s="1" t="s">
        <v>59</v>
      </c>
      <c r="C283" s="1" t="s">
        <v>60</v>
      </c>
      <c r="D283" s="1" t="s">
        <v>13</v>
      </c>
      <c r="E283" s="5">
        <v>41993</v>
      </c>
      <c r="F283" s="3" t="s">
        <v>115</v>
      </c>
      <c r="G283" s="1" t="s">
        <v>62</v>
      </c>
      <c r="H283" s="1">
        <v>250</v>
      </c>
      <c r="I283" s="1">
        <v>230</v>
      </c>
      <c r="J283" s="2">
        <v>0.08</v>
      </c>
      <c r="K283">
        <f t="shared" si="12"/>
        <v>18.400000000000002</v>
      </c>
      <c r="L283">
        <f t="shared" si="13"/>
        <v>211.6</v>
      </c>
      <c r="M283" t="str">
        <f t="shared" si="14"/>
        <v>Dec-2014</v>
      </c>
    </row>
    <row r="284" spans="1:13" x14ac:dyDescent="0.3">
      <c r="A284" t="s">
        <v>601</v>
      </c>
      <c r="B284" s="1" t="s">
        <v>264</v>
      </c>
      <c r="C284" s="1" t="s">
        <v>265</v>
      </c>
      <c r="D284" s="1" t="s">
        <v>13</v>
      </c>
      <c r="E284" s="5">
        <v>43373</v>
      </c>
      <c r="F284" s="3" t="s">
        <v>122</v>
      </c>
      <c r="G284" s="1" t="s">
        <v>266</v>
      </c>
      <c r="H284" s="1">
        <v>50</v>
      </c>
      <c r="I284" s="1">
        <v>48</v>
      </c>
      <c r="J284" s="2">
        <v>0.04</v>
      </c>
      <c r="K284">
        <f t="shared" si="12"/>
        <v>1.92</v>
      </c>
      <c r="L284">
        <f t="shared" si="13"/>
        <v>46.08</v>
      </c>
      <c r="M284" t="str">
        <f t="shared" si="14"/>
        <v>Sep-2018</v>
      </c>
    </row>
    <row r="285" spans="1:13" x14ac:dyDescent="0.3">
      <c r="A285" t="s">
        <v>602</v>
      </c>
      <c r="B285" s="1" t="s">
        <v>103</v>
      </c>
      <c r="C285" s="1" t="s">
        <v>71</v>
      </c>
      <c r="D285" s="1" t="s">
        <v>35</v>
      </c>
      <c r="E285" s="5">
        <v>41900</v>
      </c>
      <c r="F285" s="3" t="s">
        <v>14</v>
      </c>
      <c r="G285" s="1" t="s">
        <v>603</v>
      </c>
      <c r="H285" s="1">
        <v>80</v>
      </c>
      <c r="I285" s="1">
        <v>49</v>
      </c>
      <c r="J285" s="2">
        <v>0.38750000000000001</v>
      </c>
      <c r="K285">
        <f t="shared" si="12"/>
        <v>18.987500000000001</v>
      </c>
      <c r="L285">
        <f t="shared" si="13"/>
        <v>30.012499999999999</v>
      </c>
      <c r="M285" t="str">
        <f t="shared" si="14"/>
        <v>Sep-2014</v>
      </c>
    </row>
    <row r="286" spans="1:13" x14ac:dyDescent="0.3">
      <c r="A286" t="s">
        <v>604</v>
      </c>
      <c r="B286" s="1" t="s">
        <v>264</v>
      </c>
      <c r="C286" s="1" t="s">
        <v>265</v>
      </c>
      <c r="D286" s="1" t="s">
        <v>13</v>
      </c>
      <c r="E286" s="5">
        <v>43391</v>
      </c>
      <c r="F286" s="3" t="s">
        <v>72</v>
      </c>
      <c r="G286" s="1" t="s">
        <v>314</v>
      </c>
      <c r="H286" s="1">
        <v>500</v>
      </c>
      <c r="I286" s="1">
        <v>490</v>
      </c>
      <c r="J286" s="2">
        <v>0.02</v>
      </c>
      <c r="K286">
        <f t="shared" si="12"/>
        <v>9.8000000000000007</v>
      </c>
      <c r="L286">
        <f t="shared" si="13"/>
        <v>480.2</v>
      </c>
      <c r="M286" t="str">
        <f t="shared" si="14"/>
        <v>Oct-2018</v>
      </c>
    </row>
    <row r="287" spans="1:13" x14ac:dyDescent="0.3">
      <c r="A287" t="s">
        <v>605</v>
      </c>
      <c r="B287" s="1" t="s">
        <v>227</v>
      </c>
      <c r="C287" s="1" t="s">
        <v>228</v>
      </c>
      <c r="D287" s="1" t="s">
        <v>24</v>
      </c>
      <c r="E287" s="5">
        <v>42883</v>
      </c>
      <c r="F287" s="3" t="s">
        <v>115</v>
      </c>
      <c r="G287" s="1" t="s">
        <v>229</v>
      </c>
      <c r="H287" s="1">
        <v>250</v>
      </c>
      <c r="I287" s="1">
        <v>248</v>
      </c>
      <c r="J287" s="2">
        <v>8.0000000000000002E-3</v>
      </c>
      <c r="K287">
        <f t="shared" si="12"/>
        <v>1.984</v>
      </c>
      <c r="L287">
        <f t="shared" si="13"/>
        <v>246.01599999999999</v>
      </c>
      <c r="M287" t="str">
        <f t="shared" si="14"/>
        <v>May-2017</v>
      </c>
    </row>
    <row r="288" spans="1:13" x14ac:dyDescent="0.3">
      <c r="A288" t="s">
        <v>606</v>
      </c>
      <c r="B288" s="1" t="s">
        <v>174</v>
      </c>
      <c r="C288" s="1" t="s">
        <v>175</v>
      </c>
      <c r="D288" s="1" t="s">
        <v>13</v>
      </c>
      <c r="E288" s="5">
        <v>41721</v>
      </c>
      <c r="F288" s="3" t="s">
        <v>61</v>
      </c>
      <c r="G288" s="1" t="s">
        <v>607</v>
      </c>
      <c r="H288" s="1">
        <v>1000</v>
      </c>
      <c r="I288" s="1">
        <v>900</v>
      </c>
      <c r="J288" s="2">
        <v>0.1</v>
      </c>
      <c r="K288">
        <f t="shared" si="12"/>
        <v>90</v>
      </c>
      <c r="L288">
        <f t="shared" si="13"/>
        <v>810</v>
      </c>
      <c r="M288" t="str">
        <f t="shared" si="14"/>
        <v>Mar-2014</v>
      </c>
    </row>
    <row r="289" spans="1:13" x14ac:dyDescent="0.3">
      <c r="A289" t="s">
        <v>608</v>
      </c>
      <c r="B289" s="1" t="s">
        <v>59</v>
      </c>
      <c r="C289" s="1" t="s">
        <v>60</v>
      </c>
      <c r="D289" s="1" t="s">
        <v>13</v>
      </c>
      <c r="E289" s="5">
        <v>41750</v>
      </c>
      <c r="F289" s="3" t="s">
        <v>122</v>
      </c>
      <c r="G289" s="1" t="s">
        <v>62</v>
      </c>
      <c r="H289" s="1">
        <v>50</v>
      </c>
      <c r="I289" s="1">
        <v>45</v>
      </c>
      <c r="J289" s="2">
        <v>0.1</v>
      </c>
      <c r="K289">
        <f t="shared" si="12"/>
        <v>4.5</v>
      </c>
      <c r="L289">
        <f t="shared" si="13"/>
        <v>40.5</v>
      </c>
      <c r="M289" t="str">
        <f t="shared" si="14"/>
        <v>Apr-2014</v>
      </c>
    </row>
    <row r="290" spans="1:13" x14ac:dyDescent="0.3">
      <c r="A290" t="s">
        <v>609</v>
      </c>
      <c r="B290" s="1" t="s">
        <v>111</v>
      </c>
      <c r="C290" s="1" t="s">
        <v>82</v>
      </c>
      <c r="D290" s="1" t="s">
        <v>13</v>
      </c>
      <c r="E290" s="5">
        <v>42908</v>
      </c>
      <c r="F290" s="3" t="s">
        <v>30</v>
      </c>
      <c r="G290" s="1" t="s">
        <v>610</v>
      </c>
      <c r="H290" s="1">
        <v>150</v>
      </c>
      <c r="I290" s="1">
        <v>144</v>
      </c>
      <c r="J290" s="2">
        <v>0.04</v>
      </c>
      <c r="K290">
        <f t="shared" si="12"/>
        <v>5.76</v>
      </c>
      <c r="L290">
        <f t="shared" si="13"/>
        <v>138.24</v>
      </c>
      <c r="M290" t="str">
        <f t="shared" si="14"/>
        <v>Jun-2017</v>
      </c>
    </row>
    <row r="291" spans="1:13" x14ac:dyDescent="0.3">
      <c r="A291" t="s">
        <v>611</v>
      </c>
      <c r="B291" s="1" t="s">
        <v>134</v>
      </c>
      <c r="C291" s="1" t="s">
        <v>92</v>
      </c>
      <c r="D291" s="1" t="s">
        <v>35</v>
      </c>
      <c r="E291" s="5">
        <v>42939</v>
      </c>
      <c r="F291" s="3" t="s">
        <v>72</v>
      </c>
      <c r="G291" s="1" t="s">
        <v>135</v>
      </c>
      <c r="H291" s="1">
        <v>500</v>
      </c>
      <c r="I291" s="1">
        <v>495</v>
      </c>
      <c r="J291" s="2">
        <v>0.01</v>
      </c>
      <c r="K291">
        <f t="shared" si="12"/>
        <v>4.95</v>
      </c>
      <c r="L291">
        <f t="shared" si="13"/>
        <v>490.05</v>
      </c>
      <c r="M291" t="str">
        <f t="shared" si="14"/>
        <v>Jul-2017</v>
      </c>
    </row>
    <row r="292" spans="1:13" x14ac:dyDescent="0.3">
      <c r="A292" t="s">
        <v>612</v>
      </c>
      <c r="B292" s="1" t="s">
        <v>95</v>
      </c>
      <c r="C292" s="1" t="s">
        <v>96</v>
      </c>
      <c r="D292" s="1" t="s">
        <v>13</v>
      </c>
      <c r="E292" s="5">
        <v>42332</v>
      </c>
      <c r="F292" s="3" t="s">
        <v>46</v>
      </c>
      <c r="G292" s="1" t="s">
        <v>216</v>
      </c>
      <c r="H292" s="1">
        <v>500</v>
      </c>
      <c r="I292" s="1">
        <v>425</v>
      </c>
      <c r="J292" s="2">
        <v>0.15</v>
      </c>
      <c r="K292">
        <f t="shared" si="12"/>
        <v>63.75</v>
      </c>
      <c r="L292">
        <f t="shared" si="13"/>
        <v>361.25</v>
      </c>
      <c r="M292" t="str">
        <f t="shared" si="14"/>
        <v>Nov-2015</v>
      </c>
    </row>
    <row r="293" spans="1:13" x14ac:dyDescent="0.3">
      <c r="A293" t="s">
        <v>613</v>
      </c>
      <c r="B293" s="1" t="s">
        <v>59</v>
      </c>
      <c r="C293" s="1" t="s">
        <v>60</v>
      </c>
      <c r="D293" s="1" t="s">
        <v>13</v>
      </c>
      <c r="E293" s="5">
        <v>42946</v>
      </c>
      <c r="F293" s="3" t="s">
        <v>104</v>
      </c>
      <c r="G293" s="1" t="s">
        <v>614</v>
      </c>
      <c r="H293" s="1">
        <v>70</v>
      </c>
      <c r="I293" s="1">
        <v>60</v>
      </c>
      <c r="J293" s="2">
        <v>0.1429</v>
      </c>
      <c r="K293">
        <f t="shared" si="12"/>
        <v>8.5739999999999998</v>
      </c>
      <c r="L293">
        <f t="shared" si="13"/>
        <v>51.426000000000002</v>
      </c>
      <c r="M293" t="str">
        <f t="shared" si="14"/>
        <v>Jul-2017</v>
      </c>
    </row>
    <row r="294" spans="1:13" x14ac:dyDescent="0.3">
      <c r="A294" t="s">
        <v>615</v>
      </c>
      <c r="B294" s="1" t="s">
        <v>17</v>
      </c>
      <c r="C294" s="1" t="s">
        <v>18</v>
      </c>
      <c r="D294" s="1" t="s">
        <v>19</v>
      </c>
      <c r="E294" s="5">
        <v>41899</v>
      </c>
      <c r="F294" s="3" t="s">
        <v>55</v>
      </c>
      <c r="G294" s="1" t="s">
        <v>616</v>
      </c>
      <c r="H294" s="1">
        <v>800</v>
      </c>
      <c r="I294" s="1">
        <v>624</v>
      </c>
      <c r="J294" s="2">
        <v>0.22</v>
      </c>
      <c r="K294">
        <f t="shared" si="12"/>
        <v>137.28</v>
      </c>
      <c r="L294">
        <f t="shared" si="13"/>
        <v>486.72</v>
      </c>
      <c r="M294" t="str">
        <f t="shared" si="14"/>
        <v>Sep-2014</v>
      </c>
    </row>
    <row r="295" spans="1:13" x14ac:dyDescent="0.3">
      <c r="A295" t="s">
        <v>617</v>
      </c>
      <c r="B295" s="1" t="s">
        <v>400</v>
      </c>
      <c r="C295" s="1" t="s">
        <v>401</v>
      </c>
      <c r="D295" s="1" t="s">
        <v>13</v>
      </c>
      <c r="E295" s="5">
        <v>43391</v>
      </c>
      <c r="F295" s="3" t="s">
        <v>36</v>
      </c>
      <c r="G295" s="1" t="s">
        <v>618</v>
      </c>
      <c r="H295" s="1">
        <v>50</v>
      </c>
      <c r="I295" s="1">
        <v>47</v>
      </c>
      <c r="J295" s="2">
        <v>0.06</v>
      </c>
      <c r="K295">
        <f t="shared" si="12"/>
        <v>2.82</v>
      </c>
      <c r="L295">
        <f t="shared" si="13"/>
        <v>44.18</v>
      </c>
      <c r="M295" t="str">
        <f t="shared" si="14"/>
        <v>Oct-2018</v>
      </c>
    </row>
    <row r="296" spans="1:13" x14ac:dyDescent="0.3">
      <c r="A296" t="s">
        <v>619</v>
      </c>
      <c r="B296" s="1" t="s">
        <v>103</v>
      </c>
      <c r="C296" s="1" t="s">
        <v>71</v>
      </c>
      <c r="D296" s="1" t="s">
        <v>35</v>
      </c>
      <c r="E296" s="5">
        <v>42004</v>
      </c>
      <c r="F296" s="3" t="s">
        <v>41</v>
      </c>
      <c r="G296" s="1" t="s">
        <v>191</v>
      </c>
      <c r="H296" s="1">
        <v>30</v>
      </c>
      <c r="I296" s="1">
        <v>29</v>
      </c>
      <c r="J296" s="2">
        <v>3.3300000000000003E-2</v>
      </c>
      <c r="K296">
        <f t="shared" si="12"/>
        <v>0.96570000000000011</v>
      </c>
      <c r="L296">
        <f t="shared" si="13"/>
        <v>28.034299999999998</v>
      </c>
      <c r="M296" t="str">
        <f t="shared" si="14"/>
        <v>Dec-2014</v>
      </c>
    </row>
    <row r="297" spans="1:13" x14ac:dyDescent="0.3">
      <c r="A297" t="s">
        <v>620</v>
      </c>
      <c r="B297" s="1" t="s">
        <v>227</v>
      </c>
      <c r="C297" s="1" t="s">
        <v>228</v>
      </c>
      <c r="D297" s="1" t="s">
        <v>24</v>
      </c>
      <c r="E297" s="5">
        <v>42937</v>
      </c>
      <c r="F297" s="3" t="s">
        <v>122</v>
      </c>
      <c r="G297" s="1" t="s">
        <v>621</v>
      </c>
      <c r="H297" s="1">
        <v>50</v>
      </c>
      <c r="I297" s="1">
        <v>50</v>
      </c>
      <c r="J297" s="2">
        <v>0</v>
      </c>
      <c r="K297">
        <f t="shared" si="12"/>
        <v>0</v>
      </c>
      <c r="L297">
        <f t="shared" si="13"/>
        <v>50</v>
      </c>
      <c r="M297" t="str">
        <f t="shared" si="14"/>
        <v>Jul-2017</v>
      </c>
    </row>
    <row r="298" spans="1:13" x14ac:dyDescent="0.3">
      <c r="A298" t="s">
        <v>622</v>
      </c>
      <c r="B298" s="1" t="s">
        <v>187</v>
      </c>
      <c r="C298" s="1" t="s">
        <v>188</v>
      </c>
      <c r="D298" s="1" t="s">
        <v>13</v>
      </c>
      <c r="E298" s="5">
        <v>41714</v>
      </c>
      <c r="F298" s="3" t="s">
        <v>14</v>
      </c>
      <c r="G298" s="1" t="s">
        <v>415</v>
      </c>
      <c r="H298" s="1">
        <v>80</v>
      </c>
      <c r="I298" s="1">
        <v>72</v>
      </c>
      <c r="J298" s="2">
        <v>0.1</v>
      </c>
      <c r="K298">
        <f t="shared" si="12"/>
        <v>7.2</v>
      </c>
      <c r="L298">
        <f t="shared" si="13"/>
        <v>64.8</v>
      </c>
      <c r="M298" t="str">
        <f t="shared" si="14"/>
        <v>Mar-2014</v>
      </c>
    </row>
    <row r="299" spans="1:13" x14ac:dyDescent="0.3">
      <c r="A299" t="s">
        <v>623</v>
      </c>
      <c r="B299" s="1" t="s">
        <v>22</v>
      </c>
      <c r="C299" s="1" t="s">
        <v>23</v>
      </c>
      <c r="D299" s="1" t="s">
        <v>24</v>
      </c>
      <c r="E299" s="5">
        <v>43005</v>
      </c>
      <c r="F299" s="3" t="s">
        <v>61</v>
      </c>
      <c r="G299" s="1" t="s">
        <v>624</v>
      </c>
      <c r="H299" s="1">
        <v>1000</v>
      </c>
      <c r="I299" s="1">
        <v>580</v>
      </c>
      <c r="J299" s="2">
        <v>0.42</v>
      </c>
      <c r="K299">
        <f t="shared" si="12"/>
        <v>243.6</v>
      </c>
      <c r="L299">
        <f t="shared" si="13"/>
        <v>336.4</v>
      </c>
      <c r="M299" t="str">
        <f t="shared" si="14"/>
        <v>Sep-2017</v>
      </c>
    </row>
    <row r="300" spans="1:13" x14ac:dyDescent="0.3">
      <c r="A300" t="s">
        <v>625</v>
      </c>
      <c r="B300" s="1" t="s">
        <v>241</v>
      </c>
      <c r="C300" s="1" t="s">
        <v>242</v>
      </c>
      <c r="D300" s="1" t="s">
        <v>13</v>
      </c>
      <c r="E300" s="5">
        <v>43331</v>
      </c>
      <c r="F300" s="3" t="s">
        <v>55</v>
      </c>
      <c r="G300" s="1" t="s">
        <v>626</v>
      </c>
      <c r="H300" s="1">
        <v>800</v>
      </c>
      <c r="I300" s="1">
        <v>552</v>
      </c>
      <c r="J300" s="2">
        <v>0.31</v>
      </c>
      <c r="K300">
        <f t="shared" si="12"/>
        <v>171.12</v>
      </c>
      <c r="L300">
        <f t="shared" si="13"/>
        <v>380.88</v>
      </c>
      <c r="M300" t="str">
        <f t="shared" si="14"/>
        <v>Aug-2018</v>
      </c>
    </row>
    <row r="301" spans="1:13" x14ac:dyDescent="0.3">
      <c r="A301" t="s">
        <v>627</v>
      </c>
      <c r="B301" s="1" t="s">
        <v>85</v>
      </c>
      <c r="C301" s="1" t="s">
        <v>86</v>
      </c>
      <c r="D301" s="1" t="s">
        <v>13</v>
      </c>
      <c r="E301" s="5">
        <v>41833</v>
      </c>
      <c r="F301" s="3" t="s">
        <v>104</v>
      </c>
      <c r="G301" s="1" t="s">
        <v>628</v>
      </c>
      <c r="H301" s="1">
        <v>70</v>
      </c>
      <c r="I301" s="1">
        <v>67</v>
      </c>
      <c r="J301" s="2">
        <v>4.2900000000000001E-2</v>
      </c>
      <c r="K301">
        <f t="shared" si="12"/>
        <v>2.8742999999999999</v>
      </c>
      <c r="L301">
        <f t="shared" si="13"/>
        <v>64.125699999999995</v>
      </c>
      <c r="M301" t="str">
        <f t="shared" si="14"/>
        <v>Jul-2014</v>
      </c>
    </row>
    <row r="302" spans="1:13" x14ac:dyDescent="0.3">
      <c r="A302" t="s">
        <v>629</v>
      </c>
      <c r="B302" s="1" t="s">
        <v>49</v>
      </c>
      <c r="C302" s="1" t="s">
        <v>50</v>
      </c>
      <c r="D302" s="1" t="s">
        <v>24</v>
      </c>
      <c r="E302" s="5">
        <v>42113</v>
      </c>
      <c r="F302" s="3" t="s">
        <v>55</v>
      </c>
      <c r="G302" s="1" t="s">
        <v>51</v>
      </c>
      <c r="H302" s="1">
        <v>800</v>
      </c>
      <c r="I302" s="1">
        <v>704</v>
      </c>
      <c r="J302" s="2">
        <v>0.12</v>
      </c>
      <c r="K302">
        <f t="shared" si="12"/>
        <v>84.47999999999999</v>
      </c>
      <c r="L302">
        <f t="shared" si="13"/>
        <v>619.52</v>
      </c>
      <c r="M302" t="str">
        <f t="shared" si="14"/>
        <v>Apr-2015</v>
      </c>
    </row>
    <row r="303" spans="1:13" x14ac:dyDescent="0.3">
      <c r="A303" t="s">
        <v>630</v>
      </c>
      <c r="B303" s="1" t="s">
        <v>224</v>
      </c>
      <c r="C303" s="1" t="s">
        <v>50</v>
      </c>
      <c r="D303" s="1" t="s">
        <v>24</v>
      </c>
      <c r="E303" s="5">
        <v>42851</v>
      </c>
      <c r="F303" s="3" t="s">
        <v>61</v>
      </c>
      <c r="G303" s="1" t="s">
        <v>631</v>
      </c>
      <c r="H303" s="1">
        <v>1000</v>
      </c>
      <c r="I303" s="1">
        <v>590</v>
      </c>
      <c r="J303" s="2">
        <v>0.41</v>
      </c>
      <c r="K303">
        <f t="shared" si="12"/>
        <v>241.89999999999998</v>
      </c>
      <c r="L303">
        <f t="shared" si="13"/>
        <v>348.1</v>
      </c>
      <c r="M303" t="str">
        <f t="shared" si="14"/>
        <v>Apr-2017</v>
      </c>
    </row>
    <row r="304" spans="1:13" x14ac:dyDescent="0.3">
      <c r="A304" t="s">
        <v>632</v>
      </c>
      <c r="B304" s="1" t="s">
        <v>157</v>
      </c>
      <c r="C304" s="1" t="s">
        <v>108</v>
      </c>
      <c r="D304" s="1" t="s">
        <v>19</v>
      </c>
      <c r="E304" s="5">
        <v>42627</v>
      </c>
      <c r="F304" s="3" t="s">
        <v>41</v>
      </c>
      <c r="G304" s="1" t="s">
        <v>633</v>
      </c>
      <c r="H304" s="1">
        <v>30</v>
      </c>
      <c r="I304" s="1">
        <v>28</v>
      </c>
      <c r="J304" s="2">
        <v>6.6699999999999995E-2</v>
      </c>
      <c r="K304">
        <f t="shared" si="12"/>
        <v>1.8675999999999999</v>
      </c>
      <c r="L304">
        <f t="shared" si="13"/>
        <v>26.132400000000001</v>
      </c>
      <c r="M304" t="str">
        <f t="shared" si="14"/>
        <v>Sep-2016</v>
      </c>
    </row>
    <row r="305" spans="1:13" x14ac:dyDescent="0.3">
      <c r="A305" t="s">
        <v>634</v>
      </c>
      <c r="B305" s="1" t="s">
        <v>205</v>
      </c>
      <c r="C305" s="1" t="s">
        <v>206</v>
      </c>
      <c r="D305" s="1" t="s">
        <v>24</v>
      </c>
      <c r="E305" s="5">
        <v>41940</v>
      </c>
      <c r="F305" s="3" t="s">
        <v>55</v>
      </c>
      <c r="G305" s="1" t="s">
        <v>635</v>
      </c>
      <c r="H305" s="1">
        <v>800</v>
      </c>
      <c r="I305" s="1">
        <v>488</v>
      </c>
      <c r="J305" s="2">
        <v>0.39</v>
      </c>
      <c r="K305">
        <f t="shared" si="12"/>
        <v>190.32</v>
      </c>
      <c r="L305">
        <f t="shared" si="13"/>
        <v>297.68</v>
      </c>
      <c r="M305" t="str">
        <f t="shared" si="14"/>
        <v>Oct-2014</v>
      </c>
    </row>
    <row r="306" spans="1:13" x14ac:dyDescent="0.3">
      <c r="A306" t="s">
        <v>636</v>
      </c>
      <c r="B306" s="1" t="s">
        <v>17</v>
      </c>
      <c r="C306" s="1" t="s">
        <v>18</v>
      </c>
      <c r="D306" s="1" t="s">
        <v>19</v>
      </c>
      <c r="E306" s="5">
        <v>42184</v>
      </c>
      <c r="F306" s="3" t="s">
        <v>30</v>
      </c>
      <c r="G306" s="1" t="s">
        <v>616</v>
      </c>
      <c r="H306" s="1">
        <v>150</v>
      </c>
      <c r="I306" s="1">
        <v>134</v>
      </c>
      <c r="J306" s="2">
        <v>0.1067</v>
      </c>
      <c r="K306">
        <f t="shared" si="12"/>
        <v>14.297800000000001</v>
      </c>
      <c r="L306">
        <f t="shared" si="13"/>
        <v>119.7022</v>
      </c>
      <c r="M306" t="str">
        <f t="shared" si="14"/>
        <v>Jun-2015</v>
      </c>
    </row>
    <row r="307" spans="1:13" x14ac:dyDescent="0.3">
      <c r="A307" t="s">
        <v>637</v>
      </c>
      <c r="B307" s="1" t="s">
        <v>77</v>
      </c>
      <c r="C307" s="1" t="s">
        <v>78</v>
      </c>
      <c r="D307" s="1" t="s">
        <v>35</v>
      </c>
      <c r="E307" s="5">
        <v>42812</v>
      </c>
      <c r="F307" s="3" t="s">
        <v>122</v>
      </c>
      <c r="G307" s="1" t="s">
        <v>394</v>
      </c>
      <c r="H307" s="1">
        <v>50</v>
      </c>
      <c r="I307" s="1">
        <v>50</v>
      </c>
      <c r="J307" s="2">
        <v>0</v>
      </c>
      <c r="K307">
        <f t="shared" si="12"/>
        <v>0</v>
      </c>
      <c r="L307">
        <f t="shared" si="13"/>
        <v>50</v>
      </c>
      <c r="M307" t="str">
        <f t="shared" si="14"/>
        <v>Mar-2017</v>
      </c>
    </row>
    <row r="308" spans="1:13" x14ac:dyDescent="0.3">
      <c r="A308" t="s">
        <v>638</v>
      </c>
      <c r="B308" s="1" t="s">
        <v>157</v>
      </c>
      <c r="C308" s="1" t="s">
        <v>108</v>
      </c>
      <c r="D308" s="1" t="s">
        <v>19</v>
      </c>
      <c r="E308" s="5">
        <v>43342</v>
      </c>
      <c r="F308" s="3" t="s">
        <v>61</v>
      </c>
      <c r="G308" s="1" t="s">
        <v>633</v>
      </c>
      <c r="H308" s="1">
        <v>1000</v>
      </c>
      <c r="I308" s="1">
        <v>670</v>
      </c>
      <c r="J308" s="2">
        <v>0.33</v>
      </c>
      <c r="K308">
        <f t="shared" si="12"/>
        <v>221.10000000000002</v>
      </c>
      <c r="L308">
        <f t="shared" si="13"/>
        <v>448.9</v>
      </c>
      <c r="M308" t="str">
        <f t="shared" si="14"/>
        <v>Aug-2018</v>
      </c>
    </row>
    <row r="309" spans="1:13" x14ac:dyDescent="0.3">
      <c r="A309" t="s">
        <v>639</v>
      </c>
      <c r="B309" s="1" t="s">
        <v>103</v>
      </c>
      <c r="C309" s="1" t="s">
        <v>71</v>
      </c>
      <c r="D309" s="1" t="s">
        <v>35</v>
      </c>
      <c r="E309" s="5">
        <v>41845</v>
      </c>
      <c r="F309" s="3" t="s">
        <v>30</v>
      </c>
      <c r="G309" s="1" t="s">
        <v>497</v>
      </c>
      <c r="H309" s="1">
        <v>150</v>
      </c>
      <c r="I309" s="1">
        <v>149</v>
      </c>
      <c r="J309" s="2">
        <v>6.7000000000000002E-3</v>
      </c>
      <c r="K309">
        <f t="shared" si="12"/>
        <v>0.99830000000000008</v>
      </c>
      <c r="L309">
        <f t="shared" si="13"/>
        <v>148.0017</v>
      </c>
      <c r="M309" t="str">
        <f t="shared" si="14"/>
        <v>Jul-2014</v>
      </c>
    </row>
    <row r="310" spans="1:13" x14ac:dyDescent="0.3">
      <c r="A310" t="s">
        <v>640</v>
      </c>
      <c r="B310" s="1" t="s">
        <v>81</v>
      </c>
      <c r="C310" s="1" t="s">
        <v>82</v>
      </c>
      <c r="D310" s="1" t="s">
        <v>13</v>
      </c>
      <c r="E310" s="5">
        <v>42931</v>
      </c>
      <c r="F310" s="3" t="s">
        <v>72</v>
      </c>
      <c r="G310" s="1" t="s">
        <v>83</v>
      </c>
      <c r="H310" s="1">
        <v>500</v>
      </c>
      <c r="I310" s="1">
        <v>500</v>
      </c>
      <c r="J310" s="2">
        <v>0</v>
      </c>
      <c r="K310">
        <f t="shared" si="12"/>
        <v>0</v>
      </c>
      <c r="L310">
        <f t="shared" si="13"/>
        <v>500</v>
      </c>
      <c r="M310" t="str">
        <f t="shared" si="14"/>
        <v>Jul-2017</v>
      </c>
    </row>
    <row r="311" spans="1:13" x14ac:dyDescent="0.3">
      <c r="A311" t="s">
        <v>641</v>
      </c>
      <c r="B311" s="1" t="s">
        <v>81</v>
      </c>
      <c r="C311" s="1" t="s">
        <v>82</v>
      </c>
      <c r="D311" s="1" t="s">
        <v>13</v>
      </c>
      <c r="E311" s="5">
        <v>43331</v>
      </c>
      <c r="F311" s="3" t="s">
        <v>30</v>
      </c>
      <c r="G311" s="1" t="s">
        <v>83</v>
      </c>
      <c r="H311" s="1">
        <v>150</v>
      </c>
      <c r="I311" s="1">
        <v>146</v>
      </c>
      <c r="J311" s="2">
        <v>2.6700000000000002E-2</v>
      </c>
      <c r="K311">
        <f t="shared" si="12"/>
        <v>3.8982000000000001</v>
      </c>
      <c r="L311">
        <f t="shared" si="13"/>
        <v>142.1018</v>
      </c>
      <c r="M311" t="str">
        <f t="shared" si="14"/>
        <v>Aug-2018</v>
      </c>
    </row>
    <row r="312" spans="1:13" x14ac:dyDescent="0.3">
      <c r="A312" t="s">
        <v>642</v>
      </c>
      <c r="B312" s="1" t="s">
        <v>53</v>
      </c>
      <c r="C312" s="1" t="s">
        <v>54</v>
      </c>
      <c r="D312" s="1" t="s">
        <v>13</v>
      </c>
      <c r="E312" s="5">
        <v>42728</v>
      </c>
      <c r="F312" s="3" t="s">
        <v>61</v>
      </c>
      <c r="G312" s="1" t="s">
        <v>643</v>
      </c>
      <c r="H312" s="1">
        <v>1000</v>
      </c>
      <c r="I312" s="1">
        <v>810</v>
      </c>
      <c r="J312" s="2">
        <v>0.19</v>
      </c>
      <c r="K312">
        <f t="shared" si="12"/>
        <v>153.9</v>
      </c>
      <c r="L312">
        <f t="shared" si="13"/>
        <v>656.1</v>
      </c>
      <c r="M312" t="str">
        <f t="shared" si="14"/>
        <v>Dec-2016</v>
      </c>
    </row>
    <row r="313" spans="1:13" x14ac:dyDescent="0.3">
      <c r="A313" t="s">
        <v>644</v>
      </c>
      <c r="B313" s="1" t="s">
        <v>95</v>
      </c>
      <c r="C313" s="1" t="s">
        <v>96</v>
      </c>
      <c r="D313" s="1" t="s">
        <v>13</v>
      </c>
      <c r="E313" s="5">
        <v>41778</v>
      </c>
      <c r="F313" s="3" t="s">
        <v>30</v>
      </c>
      <c r="G313" s="1" t="s">
        <v>645</v>
      </c>
      <c r="H313" s="1">
        <v>150</v>
      </c>
      <c r="I313" s="1">
        <v>147</v>
      </c>
      <c r="J313" s="2">
        <v>0.02</v>
      </c>
      <c r="K313">
        <f t="shared" si="12"/>
        <v>2.94</v>
      </c>
      <c r="L313">
        <f t="shared" si="13"/>
        <v>144.06</v>
      </c>
      <c r="M313" t="str">
        <f t="shared" si="14"/>
        <v>May-2014</v>
      </c>
    </row>
    <row r="314" spans="1:13" x14ac:dyDescent="0.3">
      <c r="A314" t="s">
        <v>646</v>
      </c>
      <c r="B314" s="1" t="s">
        <v>53</v>
      </c>
      <c r="C314" s="1" t="s">
        <v>54</v>
      </c>
      <c r="D314" s="1" t="s">
        <v>13</v>
      </c>
      <c r="E314" s="5">
        <v>42931</v>
      </c>
      <c r="F314" s="3" t="s">
        <v>61</v>
      </c>
      <c r="G314" s="1" t="s">
        <v>647</v>
      </c>
      <c r="H314" s="1">
        <v>1000</v>
      </c>
      <c r="I314" s="1">
        <v>730</v>
      </c>
      <c r="J314" s="2">
        <v>0.27</v>
      </c>
      <c r="K314">
        <f t="shared" si="12"/>
        <v>197.10000000000002</v>
      </c>
      <c r="L314">
        <f t="shared" si="13"/>
        <v>532.9</v>
      </c>
      <c r="M314" t="str">
        <f t="shared" si="14"/>
        <v>Jul-2017</v>
      </c>
    </row>
    <row r="315" spans="1:13" x14ac:dyDescent="0.3">
      <c r="A315" t="s">
        <v>648</v>
      </c>
      <c r="B315" s="1" t="s">
        <v>64</v>
      </c>
      <c r="C315" s="1" t="s">
        <v>65</v>
      </c>
      <c r="D315" s="1" t="s">
        <v>35</v>
      </c>
      <c r="E315" s="5">
        <v>43307</v>
      </c>
      <c r="F315" s="3" t="s">
        <v>115</v>
      </c>
      <c r="G315" s="1" t="s">
        <v>280</v>
      </c>
      <c r="H315" s="1">
        <v>250</v>
      </c>
      <c r="I315" s="1">
        <v>248</v>
      </c>
      <c r="J315" s="2">
        <v>8.0000000000000002E-3</v>
      </c>
      <c r="K315">
        <f t="shared" si="12"/>
        <v>1.984</v>
      </c>
      <c r="L315">
        <f t="shared" si="13"/>
        <v>246.01599999999999</v>
      </c>
      <c r="M315" t="str">
        <f t="shared" si="14"/>
        <v>Jul-2018</v>
      </c>
    </row>
    <row r="316" spans="1:13" x14ac:dyDescent="0.3">
      <c r="A316" t="s">
        <v>649</v>
      </c>
      <c r="B316" s="1" t="s">
        <v>187</v>
      </c>
      <c r="C316" s="1" t="s">
        <v>188</v>
      </c>
      <c r="D316" s="1" t="s">
        <v>13</v>
      </c>
      <c r="E316" s="5">
        <v>43246</v>
      </c>
      <c r="F316" s="3" t="s">
        <v>25</v>
      </c>
      <c r="G316" s="1" t="s">
        <v>415</v>
      </c>
      <c r="H316" s="1">
        <v>700</v>
      </c>
      <c r="I316" s="1">
        <v>609</v>
      </c>
      <c r="J316" s="2">
        <v>0.13</v>
      </c>
      <c r="K316">
        <f t="shared" si="12"/>
        <v>79.17</v>
      </c>
      <c r="L316">
        <f t="shared" si="13"/>
        <v>529.83000000000004</v>
      </c>
      <c r="M316" t="str">
        <f t="shared" si="14"/>
        <v>May-2018</v>
      </c>
    </row>
    <row r="317" spans="1:13" x14ac:dyDescent="0.3">
      <c r="A317" t="s">
        <v>650</v>
      </c>
      <c r="B317" s="1" t="s">
        <v>28</v>
      </c>
      <c r="C317" s="1" t="s">
        <v>29</v>
      </c>
      <c r="D317" s="1" t="s">
        <v>13</v>
      </c>
      <c r="E317" s="5">
        <v>42333</v>
      </c>
      <c r="F317" s="3" t="s">
        <v>30</v>
      </c>
      <c r="G317" s="1" t="s">
        <v>445</v>
      </c>
      <c r="H317" s="1">
        <v>150</v>
      </c>
      <c r="I317" s="1">
        <v>140</v>
      </c>
      <c r="J317" s="2">
        <v>6.6699999999999995E-2</v>
      </c>
      <c r="K317">
        <f t="shared" si="12"/>
        <v>9.3379999999999992</v>
      </c>
      <c r="L317">
        <f t="shared" si="13"/>
        <v>130.66200000000001</v>
      </c>
      <c r="M317" t="str">
        <f t="shared" si="14"/>
        <v>Nov-2015</v>
      </c>
    </row>
    <row r="318" spans="1:13" x14ac:dyDescent="0.3">
      <c r="A318" t="s">
        <v>651</v>
      </c>
      <c r="B318" s="1" t="s">
        <v>103</v>
      </c>
      <c r="C318" s="1" t="s">
        <v>71</v>
      </c>
      <c r="D318" s="1" t="s">
        <v>35</v>
      </c>
      <c r="E318" s="5">
        <v>43388</v>
      </c>
      <c r="F318" s="3" t="s">
        <v>72</v>
      </c>
      <c r="G318" s="1" t="s">
        <v>191</v>
      </c>
      <c r="H318" s="1">
        <v>500</v>
      </c>
      <c r="I318" s="1">
        <v>500</v>
      </c>
      <c r="J318" s="2">
        <v>0</v>
      </c>
      <c r="K318">
        <f t="shared" si="12"/>
        <v>0</v>
      </c>
      <c r="L318">
        <f t="shared" si="13"/>
        <v>500</v>
      </c>
      <c r="M318" t="str">
        <f t="shared" si="14"/>
        <v>Oct-2018</v>
      </c>
    </row>
    <row r="319" spans="1:13" x14ac:dyDescent="0.3">
      <c r="A319" t="s">
        <v>652</v>
      </c>
      <c r="B319" s="1" t="s">
        <v>264</v>
      </c>
      <c r="C319" s="1" t="s">
        <v>265</v>
      </c>
      <c r="D319" s="1" t="s">
        <v>13</v>
      </c>
      <c r="E319" s="5">
        <v>42572</v>
      </c>
      <c r="F319" s="3" t="s">
        <v>61</v>
      </c>
      <c r="G319" s="1" t="s">
        <v>266</v>
      </c>
      <c r="H319" s="1">
        <v>1000</v>
      </c>
      <c r="I319" s="1">
        <v>960</v>
      </c>
      <c r="J319" s="2">
        <v>0.04</v>
      </c>
      <c r="K319">
        <f t="shared" si="12"/>
        <v>38.4</v>
      </c>
      <c r="L319">
        <f t="shared" si="13"/>
        <v>921.6</v>
      </c>
      <c r="M319" t="str">
        <f t="shared" si="14"/>
        <v>Jul-2016</v>
      </c>
    </row>
    <row r="320" spans="1:13" x14ac:dyDescent="0.3">
      <c r="A320" t="s">
        <v>653</v>
      </c>
      <c r="B320" s="1" t="s">
        <v>224</v>
      </c>
      <c r="C320" s="1" t="s">
        <v>50</v>
      </c>
      <c r="D320" s="1" t="s">
        <v>24</v>
      </c>
      <c r="E320" s="5">
        <v>43055</v>
      </c>
      <c r="F320" s="3" t="s">
        <v>14</v>
      </c>
      <c r="G320" s="1" t="s">
        <v>509</v>
      </c>
      <c r="H320" s="1">
        <v>80</v>
      </c>
      <c r="I320" s="1">
        <v>73</v>
      </c>
      <c r="J320" s="2">
        <v>8.7499999999999994E-2</v>
      </c>
      <c r="K320">
        <f t="shared" si="12"/>
        <v>6.3874999999999993</v>
      </c>
      <c r="L320">
        <f t="shared" si="13"/>
        <v>66.612499999999997</v>
      </c>
      <c r="M320" t="str">
        <f t="shared" si="14"/>
        <v>Nov-2017</v>
      </c>
    </row>
    <row r="321" spans="1:13" x14ac:dyDescent="0.3">
      <c r="A321" t="s">
        <v>654</v>
      </c>
      <c r="B321" s="1" t="s">
        <v>64</v>
      </c>
      <c r="C321" s="1" t="s">
        <v>65</v>
      </c>
      <c r="D321" s="1" t="s">
        <v>35</v>
      </c>
      <c r="E321" s="5">
        <v>42754</v>
      </c>
      <c r="F321" s="3" t="s">
        <v>25</v>
      </c>
      <c r="G321" s="1" t="s">
        <v>529</v>
      </c>
      <c r="H321" s="1">
        <v>700</v>
      </c>
      <c r="I321" s="1">
        <v>700</v>
      </c>
      <c r="J321" s="2">
        <v>0</v>
      </c>
      <c r="K321">
        <f t="shared" si="12"/>
        <v>0</v>
      </c>
      <c r="L321">
        <f t="shared" si="13"/>
        <v>700</v>
      </c>
      <c r="M321" t="str">
        <f t="shared" si="14"/>
        <v>Jan-2017</v>
      </c>
    </row>
    <row r="322" spans="1:13" x14ac:dyDescent="0.3">
      <c r="A322" t="s">
        <v>655</v>
      </c>
      <c r="B322" s="1" t="s">
        <v>127</v>
      </c>
      <c r="C322" s="1" t="s">
        <v>128</v>
      </c>
      <c r="D322" s="1" t="s">
        <v>13</v>
      </c>
      <c r="E322" s="5">
        <v>42489</v>
      </c>
      <c r="F322" s="3" t="s">
        <v>25</v>
      </c>
      <c r="G322" s="1" t="s">
        <v>233</v>
      </c>
      <c r="H322" s="1">
        <v>700</v>
      </c>
      <c r="I322" s="1">
        <v>672</v>
      </c>
      <c r="J322" s="2">
        <v>0.04</v>
      </c>
      <c r="K322">
        <f t="shared" si="12"/>
        <v>26.88</v>
      </c>
      <c r="L322">
        <f t="shared" si="13"/>
        <v>645.12</v>
      </c>
      <c r="M322" t="str">
        <f t="shared" si="14"/>
        <v>Apr-2016</v>
      </c>
    </row>
    <row r="323" spans="1:13" x14ac:dyDescent="0.3">
      <c r="A323" t="s">
        <v>656</v>
      </c>
      <c r="B323" s="1" t="s">
        <v>270</v>
      </c>
      <c r="C323" s="1" t="s">
        <v>271</v>
      </c>
      <c r="D323" s="1" t="s">
        <v>35</v>
      </c>
      <c r="E323" s="5">
        <v>42207</v>
      </c>
      <c r="F323" s="3" t="s">
        <v>25</v>
      </c>
      <c r="G323" s="1" t="s">
        <v>272</v>
      </c>
      <c r="H323" s="1">
        <v>700</v>
      </c>
      <c r="I323" s="1">
        <v>651</v>
      </c>
      <c r="J323" s="2">
        <v>7.0000000000000007E-2</v>
      </c>
      <c r="K323">
        <f t="shared" si="12"/>
        <v>45.570000000000007</v>
      </c>
      <c r="L323">
        <f t="shared" si="13"/>
        <v>605.42999999999995</v>
      </c>
      <c r="M323" t="str">
        <f t="shared" si="14"/>
        <v>Jul-2015</v>
      </c>
    </row>
    <row r="324" spans="1:13" x14ac:dyDescent="0.3">
      <c r="A324" t="s">
        <v>657</v>
      </c>
      <c r="B324" s="1" t="s">
        <v>49</v>
      </c>
      <c r="C324" s="1" t="s">
        <v>50</v>
      </c>
      <c r="D324" s="1" t="s">
        <v>24</v>
      </c>
      <c r="E324" s="5">
        <v>41928</v>
      </c>
      <c r="F324" s="3" t="s">
        <v>30</v>
      </c>
      <c r="G324" s="1" t="s">
        <v>658</v>
      </c>
      <c r="H324" s="1">
        <v>150</v>
      </c>
      <c r="I324" s="1">
        <v>137</v>
      </c>
      <c r="J324" s="2">
        <v>8.6699999999999999E-2</v>
      </c>
      <c r="K324">
        <f t="shared" ref="K324:K387" si="15">I324*J324</f>
        <v>11.8779</v>
      </c>
      <c r="L324">
        <f t="shared" ref="L324:L387" si="16">I324-K324</f>
        <v>125.1221</v>
      </c>
      <c r="M324" t="str">
        <f t="shared" ref="M324:M387" si="17">TEXT(E324, "mmm-yyyy")</f>
        <v>Oct-2014</v>
      </c>
    </row>
    <row r="325" spans="1:13" x14ac:dyDescent="0.3">
      <c r="A325" t="s">
        <v>659</v>
      </c>
      <c r="B325" s="1" t="s">
        <v>205</v>
      </c>
      <c r="C325" s="1" t="s">
        <v>206</v>
      </c>
      <c r="D325" s="1" t="s">
        <v>24</v>
      </c>
      <c r="E325" s="5">
        <v>42202</v>
      </c>
      <c r="F325" s="3" t="s">
        <v>25</v>
      </c>
      <c r="G325" s="1" t="s">
        <v>660</v>
      </c>
      <c r="H325" s="1">
        <v>700</v>
      </c>
      <c r="I325" s="1">
        <v>651</v>
      </c>
      <c r="J325" s="2">
        <v>7.0000000000000007E-2</v>
      </c>
      <c r="K325">
        <f t="shared" si="15"/>
        <v>45.570000000000007</v>
      </c>
      <c r="L325">
        <f t="shared" si="16"/>
        <v>605.42999999999995</v>
      </c>
      <c r="M325" t="str">
        <f t="shared" si="17"/>
        <v>Jul-2015</v>
      </c>
    </row>
    <row r="326" spans="1:13" x14ac:dyDescent="0.3">
      <c r="A326" t="s">
        <v>661</v>
      </c>
      <c r="B326" s="1" t="s">
        <v>39</v>
      </c>
      <c r="C326" s="1" t="s">
        <v>40</v>
      </c>
      <c r="D326" s="1" t="s">
        <v>35</v>
      </c>
      <c r="E326" s="5">
        <v>43066</v>
      </c>
      <c r="F326" s="3" t="s">
        <v>115</v>
      </c>
      <c r="G326" s="1" t="s">
        <v>42</v>
      </c>
      <c r="H326" s="1">
        <v>250</v>
      </c>
      <c r="I326" s="1">
        <v>238</v>
      </c>
      <c r="J326" s="2">
        <v>4.8000000000000001E-2</v>
      </c>
      <c r="K326">
        <f t="shared" si="15"/>
        <v>11.423999999999999</v>
      </c>
      <c r="L326">
        <f t="shared" si="16"/>
        <v>226.57599999999999</v>
      </c>
      <c r="M326" t="str">
        <f t="shared" si="17"/>
        <v>Nov-2017</v>
      </c>
    </row>
    <row r="327" spans="1:13" x14ac:dyDescent="0.3">
      <c r="A327" t="s">
        <v>662</v>
      </c>
      <c r="B327" s="1" t="s">
        <v>22</v>
      </c>
      <c r="C327" s="1" t="s">
        <v>23</v>
      </c>
      <c r="D327" s="1" t="s">
        <v>24</v>
      </c>
      <c r="E327" s="5">
        <v>42905</v>
      </c>
      <c r="F327" s="3" t="s">
        <v>55</v>
      </c>
      <c r="G327" s="1" t="s">
        <v>26</v>
      </c>
      <c r="H327" s="1">
        <v>800</v>
      </c>
      <c r="I327" s="1">
        <v>696</v>
      </c>
      <c r="J327" s="2">
        <v>0.13</v>
      </c>
      <c r="K327">
        <f t="shared" si="15"/>
        <v>90.48</v>
      </c>
      <c r="L327">
        <f t="shared" si="16"/>
        <v>605.52</v>
      </c>
      <c r="M327" t="str">
        <f t="shared" si="17"/>
        <v>Jun-2017</v>
      </c>
    </row>
    <row r="328" spans="1:13" x14ac:dyDescent="0.3">
      <c r="A328" t="s">
        <v>663</v>
      </c>
      <c r="B328" s="1" t="s">
        <v>49</v>
      </c>
      <c r="C328" s="1" t="s">
        <v>50</v>
      </c>
      <c r="D328" s="1" t="s">
        <v>24</v>
      </c>
      <c r="E328" s="5">
        <v>42999</v>
      </c>
      <c r="F328" s="3" t="s">
        <v>41</v>
      </c>
      <c r="G328" s="1" t="s">
        <v>398</v>
      </c>
      <c r="H328" s="1">
        <v>30</v>
      </c>
      <c r="I328" s="1">
        <v>21</v>
      </c>
      <c r="J328" s="2">
        <v>0.3</v>
      </c>
      <c r="K328">
        <f t="shared" si="15"/>
        <v>6.3</v>
      </c>
      <c r="L328">
        <f t="shared" si="16"/>
        <v>14.7</v>
      </c>
      <c r="M328" t="str">
        <f t="shared" si="17"/>
        <v>Sep-2017</v>
      </c>
    </row>
    <row r="329" spans="1:13" x14ac:dyDescent="0.3">
      <c r="A329" t="s">
        <v>664</v>
      </c>
      <c r="B329" s="1" t="s">
        <v>127</v>
      </c>
      <c r="C329" s="1" t="s">
        <v>128</v>
      </c>
      <c r="D329" s="1" t="s">
        <v>13</v>
      </c>
      <c r="E329" s="5">
        <v>42033</v>
      </c>
      <c r="F329" s="3" t="s">
        <v>14</v>
      </c>
      <c r="G329" s="1" t="s">
        <v>233</v>
      </c>
      <c r="H329" s="1">
        <v>80</v>
      </c>
      <c r="I329" s="1">
        <v>74</v>
      </c>
      <c r="J329" s="2">
        <v>7.4999999999999997E-2</v>
      </c>
      <c r="K329">
        <f t="shared" si="15"/>
        <v>5.55</v>
      </c>
      <c r="L329">
        <f t="shared" si="16"/>
        <v>68.45</v>
      </c>
      <c r="M329" t="str">
        <f t="shared" si="17"/>
        <v>Jan-2015</v>
      </c>
    </row>
    <row r="330" spans="1:13" x14ac:dyDescent="0.3">
      <c r="A330" t="s">
        <v>665</v>
      </c>
      <c r="B330" s="1" t="s">
        <v>22</v>
      </c>
      <c r="C330" s="1" t="s">
        <v>23</v>
      </c>
      <c r="D330" s="1" t="s">
        <v>24</v>
      </c>
      <c r="E330" s="5">
        <v>43086</v>
      </c>
      <c r="F330" s="3" t="s">
        <v>115</v>
      </c>
      <c r="G330" s="1" t="s">
        <v>144</v>
      </c>
      <c r="H330" s="1">
        <v>250</v>
      </c>
      <c r="I330" s="1">
        <v>228</v>
      </c>
      <c r="J330" s="2">
        <v>8.7999999999999995E-2</v>
      </c>
      <c r="K330">
        <f t="shared" si="15"/>
        <v>20.064</v>
      </c>
      <c r="L330">
        <f t="shared" si="16"/>
        <v>207.93600000000001</v>
      </c>
      <c r="M330" t="str">
        <f t="shared" si="17"/>
        <v>Dec-2017</v>
      </c>
    </row>
    <row r="331" spans="1:13" x14ac:dyDescent="0.3">
      <c r="A331" t="s">
        <v>666</v>
      </c>
      <c r="B331" s="1" t="s">
        <v>174</v>
      </c>
      <c r="C331" s="1" t="s">
        <v>175</v>
      </c>
      <c r="D331" s="1" t="s">
        <v>13</v>
      </c>
      <c r="E331" s="5">
        <v>42731</v>
      </c>
      <c r="F331" s="3" t="s">
        <v>25</v>
      </c>
      <c r="G331" s="1" t="s">
        <v>607</v>
      </c>
      <c r="H331" s="1">
        <v>700</v>
      </c>
      <c r="I331" s="1">
        <v>644</v>
      </c>
      <c r="J331" s="2">
        <v>0.08</v>
      </c>
      <c r="K331">
        <f t="shared" si="15"/>
        <v>51.52</v>
      </c>
      <c r="L331">
        <f t="shared" si="16"/>
        <v>592.48</v>
      </c>
      <c r="M331" t="str">
        <f t="shared" si="17"/>
        <v>Dec-2016</v>
      </c>
    </row>
    <row r="332" spans="1:13" x14ac:dyDescent="0.3">
      <c r="A332" t="s">
        <v>667</v>
      </c>
      <c r="B332" s="1" t="s">
        <v>77</v>
      </c>
      <c r="C332" s="1" t="s">
        <v>78</v>
      </c>
      <c r="D332" s="1" t="s">
        <v>35</v>
      </c>
      <c r="E332" s="5">
        <v>42481</v>
      </c>
      <c r="F332" s="3" t="s">
        <v>41</v>
      </c>
      <c r="G332" s="1" t="s">
        <v>668</v>
      </c>
      <c r="H332" s="1">
        <v>30</v>
      </c>
      <c r="I332" s="1">
        <v>29</v>
      </c>
      <c r="J332" s="2">
        <v>3.3300000000000003E-2</v>
      </c>
      <c r="K332">
        <f t="shared" si="15"/>
        <v>0.96570000000000011</v>
      </c>
      <c r="L332">
        <f t="shared" si="16"/>
        <v>28.034299999999998</v>
      </c>
      <c r="M332" t="str">
        <f t="shared" si="17"/>
        <v>Apr-2016</v>
      </c>
    </row>
    <row r="333" spans="1:13" x14ac:dyDescent="0.3">
      <c r="A333" t="s">
        <v>669</v>
      </c>
      <c r="B333" s="1" t="s">
        <v>70</v>
      </c>
      <c r="C333" s="1" t="s">
        <v>71</v>
      </c>
      <c r="D333" s="1" t="s">
        <v>35</v>
      </c>
      <c r="E333" s="5">
        <v>43026</v>
      </c>
      <c r="F333" s="3" t="s">
        <v>55</v>
      </c>
      <c r="G333" s="1" t="s">
        <v>670</v>
      </c>
      <c r="H333" s="1">
        <v>800</v>
      </c>
      <c r="I333" s="1">
        <v>656</v>
      </c>
      <c r="J333" s="2">
        <v>0.18</v>
      </c>
      <c r="K333">
        <f t="shared" si="15"/>
        <v>118.08</v>
      </c>
      <c r="L333">
        <f t="shared" si="16"/>
        <v>537.91999999999996</v>
      </c>
      <c r="M333" t="str">
        <f t="shared" si="17"/>
        <v>Oct-2017</v>
      </c>
    </row>
    <row r="334" spans="1:13" x14ac:dyDescent="0.3">
      <c r="A334" t="s">
        <v>671</v>
      </c>
      <c r="B334" s="1" t="s">
        <v>150</v>
      </c>
      <c r="C334" s="1" t="s">
        <v>151</v>
      </c>
      <c r="D334" s="1" t="s">
        <v>13</v>
      </c>
      <c r="E334" s="5">
        <v>42290</v>
      </c>
      <c r="F334" s="3" t="s">
        <v>30</v>
      </c>
      <c r="G334" s="1" t="s">
        <v>185</v>
      </c>
      <c r="H334" s="1">
        <v>150</v>
      </c>
      <c r="I334" s="1">
        <v>149</v>
      </c>
      <c r="J334" s="2">
        <v>6.7000000000000002E-3</v>
      </c>
      <c r="K334">
        <f t="shared" si="15"/>
        <v>0.99830000000000008</v>
      </c>
      <c r="L334">
        <f t="shared" si="16"/>
        <v>148.0017</v>
      </c>
      <c r="M334" t="str">
        <f t="shared" si="17"/>
        <v>Oct-2015</v>
      </c>
    </row>
    <row r="335" spans="1:13" x14ac:dyDescent="0.3">
      <c r="A335" t="s">
        <v>672</v>
      </c>
      <c r="B335" s="1" t="s">
        <v>182</v>
      </c>
      <c r="C335" s="1" t="s">
        <v>108</v>
      </c>
      <c r="D335" s="1" t="s">
        <v>19</v>
      </c>
      <c r="E335" s="5">
        <v>42781</v>
      </c>
      <c r="F335" s="3" t="s">
        <v>30</v>
      </c>
      <c r="G335" s="1" t="s">
        <v>673</v>
      </c>
      <c r="H335" s="1">
        <v>150</v>
      </c>
      <c r="I335" s="1">
        <v>147</v>
      </c>
      <c r="J335" s="2">
        <v>0.02</v>
      </c>
      <c r="K335">
        <f t="shared" si="15"/>
        <v>2.94</v>
      </c>
      <c r="L335">
        <f t="shared" si="16"/>
        <v>144.06</v>
      </c>
      <c r="M335" t="str">
        <f t="shared" si="17"/>
        <v>Feb-2017</v>
      </c>
    </row>
    <row r="336" spans="1:13" x14ac:dyDescent="0.3">
      <c r="A336" t="s">
        <v>674</v>
      </c>
      <c r="B336" s="1" t="s">
        <v>111</v>
      </c>
      <c r="C336" s="1" t="s">
        <v>82</v>
      </c>
      <c r="D336" s="1" t="s">
        <v>13</v>
      </c>
      <c r="E336" s="5">
        <v>42845</v>
      </c>
      <c r="F336" s="3" t="s">
        <v>14</v>
      </c>
      <c r="G336" s="1" t="s">
        <v>112</v>
      </c>
      <c r="H336" s="1">
        <v>80</v>
      </c>
      <c r="I336" s="1">
        <v>78</v>
      </c>
      <c r="J336" s="2">
        <v>2.5000000000000001E-2</v>
      </c>
      <c r="K336">
        <f t="shared" si="15"/>
        <v>1.9500000000000002</v>
      </c>
      <c r="L336">
        <f t="shared" si="16"/>
        <v>76.05</v>
      </c>
      <c r="M336" t="str">
        <f t="shared" si="17"/>
        <v>Apr-2017</v>
      </c>
    </row>
    <row r="337" spans="1:13" x14ac:dyDescent="0.3">
      <c r="A337" t="s">
        <v>675</v>
      </c>
      <c r="B337" s="1" t="s">
        <v>324</v>
      </c>
      <c r="C337" s="1" t="s">
        <v>325</v>
      </c>
      <c r="D337" s="1" t="s">
        <v>13</v>
      </c>
      <c r="E337" s="5">
        <v>42548</v>
      </c>
      <c r="F337" s="3" t="s">
        <v>30</v>
      </c>
      <c r="G337" s="1" t="s">
        <v>365</v>
      </c>
      <c r="H337" s="1">
        <v>150</v>
      </c>
      <c r="I337" s="1">
        <v>147</v>
      </c>
      <c r="J337" s="2">
        <v>0.02</v>
      </c>
      <c r="K337">
        <f t="shared" si="15"/>
        <v>2.94</v>
      </c>
      <c r="L337">
        <f t="shared" si="16"/>
        <v>144.06</v>
      </c>
      <c r="M337" t="str">
        <f t="shared" si="17"/>
        <v>Jun-2016</v>
      </c>
    </row>
    <row r="338" spans="1:13" x14ac:dyDescent="0.3">
      <c r="A338" t="s">
        <v>676</v>
      </c>
      <c r="B338" s="1" t="s">
        <v>77</v>
      </c>
      <c r="C338" s="1" t="s">
        <v>78</v>
      </c>
      <c r="D338" s="1" t="s">
        <v>35</v>
      </c>
      <c r="E338" s="5">
        <v>41968</v>
      </c>
      <c r="F338" s="3" t="s">
        <v>46</v>
      </c>
      <c r="G338" s="1" t="s">
        <v>548</v>
      </c>
      <c r="H338" s="1">
        <v>500</v>
      </c>
      <c r="I338" s="1">
        <v>360</v>
      </c>
      <c r="J338" s="2">
        <v>0.28000000000000003</v>
      </c>
      <c r="K338">
        <f t="shared" si="15"/>
        <v>100.80000000000001</v>
      </c>
      <c r="L338">
        <f t="shared" si="16"/>
        <v>259.2</v>
      </c>
      <c r="M338" t="str">
        <f t="shared" si="17"/>
        <v>Nov-2014</v>
      </c>
    </row>
    <row r="339" spans="1:13" x14ac:dyDescent="0.3">
      <c r="A339" t="s">
        <v>677</v>
      </c>
      <c r="B339" s="1" t="s">
        <v>134</v>
      </c>
      <c r="C339" s="1" t="s">
        <v>92</v>
      </c>
      <c r="D339" s="1" t="s">
        <v>35</v>
      </c>
      <c r="E339" s="5">
        <v>42551</v>
      </c>
      <c r="F339" s="3" t="s">
        <v>122</v>
      </c>
      <c r="G339" s="1" t="s">
        <v>678</v>
      </c>
      <c r="H339" s="1">
        <v>50</v>
      </c>
      <c r="I339" s="1">
        <v>45</v>
      </c>
      <c r="J339" s="2">
        <v>0.1</v>
      </c>
      <c r="K339">
        <f t="shared" si="15"/>
        <v>4.5</v>
      </c>
      <c r="L339">
        <f t="shared" si="16"/>
        <v>40.5</v>
      </c>
      <c r="M339" t="str">
        <f t="shared" si="17"/>
        <v>Jun-2016</v>
      </c>
    </row>
    <row r="340" spans="1:13" x14ac:dyDescent="0.3">
      <c r="A340" t="s">
        <v>679</v>
      </c>
      <c r="B340" s="1" t="s">
        <v>70</v>
      </c>
      <c r="C340" s="1" t="s">
        <v>71</v>
      </c>
      <c r="D340" s="1" t="s">
        <v>35</v>
      </c>
      <c r="E340" s="5">
        <v>42757</v>
      </c>
      <c r="F340" s="3" t="s">
        <v>122</v>
      </c>
      <c r="G340" s="1" t="s">
        <v>328</v>
      </c>
      <c r="H340" s="1">
        <v>50</v>
      </c>
      <c r="I340" s="1">
        <v>43</v>
      </c>
      <c r="J340" s="2">
        <v>0.14000000000000001</v>
      </c>
      <c r="K340">
        <f t="shared" si="15"/>
        <v>6.0200000000000005</v>
      </c>
      <c r="L340">
        <f t="shared" si="16"/>
        <v>36.979999999999997</v>
      </c>
      <c r="M340" t="str">
        <f t="shared" si="17"/>
        <v>Jan-2017</v>
      </c>
    </row>
    <row r="341" spans="1:13" x14ac:dyDescent="0.3">
      <c r="A341" t="s">
        <v>680</v>
      </c>
      <c r="B341" s="1" t="s">
        <v>205</v>
      </c>
      <c r="C341" s="1" t="s">
        <v>206</v>
      </c>
      <c r="D341" s="1" t="s">
        <v>24</v>
      </c>
      <c r="E341" s="5">
        <v>42637</v>
      </c>
      <c r="F341" s="3" t="s">
        <v>14</v>
      </c>
      <c r="G341" s="1" t="s">
        <v>681</v>
      </c>
      <c r="H341" s="1">
        <v>80</v>
      </c>
      <c r="I341" s="1">
        <v>75</v>
      </c>
      <c r="J341" s="2">
        <v>6.25E-2</v>
      </c>
      <c r="K341">
        <f t="shared" si="15"/>
        <v>4.6875</v>
      </c>
      <c r="L341">
        <f t="shared" si="16"/>
        <v>70.3125</v>
      </c>
      <c r="M341" t="str">
        <f t="shared" si="17"/>
        <v>Sep-2016</v>
      </c>
    </row>
    <row r="342" spans="1:13" x14ac:dyDescent="0.3">
      <c r="A342" t="s">
        <v>682</v>
      </c>
      <c r="B342" s="1" t="s">
        <v>187</v>
      </c>
      <c r="C342" s="1" t="s">
        <v>188</v>
      </c>
      <c r="D342" s="1" t="s">
        <v>13</v>
      </c>
      <c r="E342" s="5">
        <v>42662</v>
      </c>
      <c r="F342" s="3" t="s">
        <v>122</v>
      </c>
      <c r="G342" s="1" t="s">
        <v>683</v>
      </c>
      <c r="H342" s="1">
        <v>50</v>
      </c>
      <c r="I342" s="1">
        <v>36</v>
      </c>
      <c r="J342" s="2">
        <v>0.28000000000000003</v>
      </c>
      <c r="K342">
        <f t="shared" si="15"/>
        <v>10.080000000000002</v>
      </c>
      <c r="L342">
        <f t="shared" si="16"/>
        <v>25.919999999999998</v>
      </c>
      <c r="M342" t="str">
        <f t="shared" si="17"/>
        <v>Oct-2016</v>
      </c>
    </row>
    <row r="343" spans="1:13" x14ac:dyDescent="0.3">
      <c r="A343" t="s">
        <v>684</v>
      </c>
      <c r="B343" s="1" t="s">
        <v>227</v>
      </c>
      <c r="C343" s="1" t="s">
        <v>228</v>
      </c>
      <c r="D343" s="1" t="s">
        <v>24</v>
      </c>
      <c r="E343" s="5">
        <v>42138</v>
      </c>
      <c r="F343" s="3" t="s">
        <v>55</v>
      </c>
      <c r="G343" s="1" t="s">
        <v>685</v>
      </c>
      <c r="H343" s="1">
        <v>800</v>
      </c>
      <c r="I343" s="1">
        <v>448</v>
      </c>
      <c r="J343" s="2">
        <v>0.44</v>
      </c>
      <c r="K343">
        <f t="shared" si="15"/>
        <v>197.12</v>
      </c>
      <c r="L343">
        <f t="shared" si="16"/>
        <v>250.88</v>
      </c>
      <c r="M343" t="str">
        <f t="shared" si="17"/>
        <v>May-2015</v>
      </c>
    </row>
    <row r="344" spans="1:13" x14ac:dyDescent="0.3">
      <c r="A344" t="s">
        <v>686</v>
      </c>
      <c r="B344" s="1" t="s">
        <v>241</v>
      </c>
      <c r="C344" s="1" t="s">
        <v>242</v>
      </c>
      <c r="D344" s="1" t="s">
        <v>13</v>
      </c>
      <c r="E344" s="5">
        <v>42993</v>
      </c>
      <c r="F344" s="3" t="s">
        <v>30</v>
      </c>
      <c r="G344" s="1" t="s">
        <v>380</v>
      </c>
      <c r="H344" s="1">
        <v>150</v>
      </c>
      <c r="I344" s="1">
        <v>138</v>
      </c>
      <c r="J344" s="2">
        <v>0.08</v>
      </c>
      <c r="K344">
        <f t="shared" si="15"/>
        <v>11.040000000000001</v>
      </c>
      <c r="L344">
        <f t="shared" si="16"/>
        <v>126.96</v>
      </c>
      <c r="M344" t="str">
        <f t="shared" si="17"/>
        <v>Sep-2017</v>
      </c>
    </row>
    <row r="345" spans="1:13" x14ac:dyDescent="0.3">
      <c r="A345" t="s">
        <v>687</v>
      </c>
      <c r="B345" s="1" t="s">
        <v>131</v>
      </c>
      <c r="C345" s="1" t="s">
        <v>108</v>
      </c>
      <c r="D345" s="1" t="s">
        <v>19</v>
      </c>
      <c r="E345" s="5">
        <v>42115</v>
      </c>
      <c r="F345" s="3" t="s">
        <v>72</v>
      </c>
      <c r="G345" s="1" t="s">
        <v>688</v>
      </c>
      <c r="H345" s="1">
        <v>500</v>
      </c>
      <c r="I345" s="1">
        <v>500</v>
      </c>
      <c r="J345" s="2">
        <v>0</v>
      </c>
      <c r="K345">
        <f t="shared" si="15"/>
        <v>0</v>
      </c>
      <c r="L345">
        <f t="shared" si="16"/>
        <v>500</v>
      </c>
      <c r="M345" t="str">
        <f t="shared" si="17"/>
        <v>Apr-2015</v>
      </c>
    </row>
    <row r="346" spans="1:13" x14ac:dyDescent="0.3">
      <c r="A346" t="s">
        <v>689</v>
      </c>
      <c r="B346" s="1" t="s">
        <v>28</v>
      </c>
      <c r="C346" s="1" t="s">
        <v>29</v>
      </c>
      <c r="D346" s="1" t="s">
        <v>13</v>
      </c>
      <c r="E346" s="5">
        <v>43453</v>
      </c>
      <c r="F346" s="3" t="s">
        <v>72</v>
      </c>
      <c r="G346" s="1" t="s">
        <v>396</v>
      </c>
      <c r="H346" s="1">
        <v>500</v>
      </c>
      <c r="I346" s="1">
        <v>495</v>
      </c>
      <c r="J346" s="2">
        <v>0.01</v>
      </c>
      <c r="K346">
        <f t="shared" si="15"/>
        <v>4.95</v>
      </c>
      <c r="L346">
        <f t="shared" si="16"/>
        <v>490.05</v>
      </c>
      <c r="M346" t="str">
        <f t="shared" si="17"/>
        <v>Dec-2018</v>
      </c>
    </row>
    <row r="347" spans="1:13" x14ac:dyDescent="0.3">
      <c r="A347" t="s">
        <v>690</v>
      </c>
      <c r="B347" s="1" t="s">
        <v>174</v>
      </c>
      <c r="C347" s="1" t="s">
        <v>175</v>
      </c>
      <c r="D347" s="1" t="s">
        <v>13</v>
      </c>
      <c r="E347" s="5">
        <v>42599</v>
      </c>
      <c r="F347" s="3" t="s">
        <v>30</v>
      </c>
      <c r="G347" s="1" t="s">
        <v>607</v>
      </c>
      <c r="H347" s="1">
        <v>150</v>
      </c>
      <c r="I347" s="1">
        <v>128</v>
      </c>
      <c r="J347" s="2">
        <v>0.1467</v>
      </c>
      <c r="K347">
        <f t="shared" si="15"/>
        <v>18.7776</v>
      </c>
      <c r="L347">
        <f t="shared" si="16"/>
        <v>109.22239999999999</v>
      </c>
      <c r="M347" t="str">
        <f t="shared" si="17"/>
        <v>Aug-2016</v>
      </c>
    </row>
    <row r="348" spans="1:13" x14ac:dyDescent="0.3">
      <c r="A348" t="s">
        <v>691</v>
      </c>
      <c r="B348" s="1" t="s">
        <v>70</v>
      </c>
      <c r="C348" s="1" t="s">
        <v>71</v>
      </c>
      <c r="D348" s="1" t="s">
        <v>35</v>
      </c>
      <c r="E348" s="5">
        <v>42179</v>
      </c>
      <c r="F348" s="3" t="s">
        <v>122</v>
      </c>
      <c r="G348" s="1" t="s">
        <v>417</v>
      </c>
      <c r="H348" s="1">
        <v>50</v>
      </c>
      <c r="I348" s="1">
        <v>42</v>
      </c>
      <c r="J348" s="2">
        <v>0.16</v>
      </c>
      <c r="K348">
        <f t="shared" si="15"/>
        <v>6.72</v>
      </c>
      <c r="L348">
        <f t="shared" si="16"/>
        <v>35.28</v>
      </c>
      <c r="M348" t="str">
        <f t="shared" si="17"/>
        <v>Jun-2015</v>
      </c>
    </row>
    <row r="349" spans="1:13" x14ac:dyDescent="0.3">
      <c r="A349" t="s">
        <v>692</v>
      </c>
      <c r="B349" s="1" t="s">
        <v>400</v>
      </c>
      <c r="C349" s="1" t="s">
        <v>401</v>
      </c>
      <c r="D349" s="1" t="s">
        <v>13</v>
      </c>
      <c r="E349" s="5">
        <v>42002</v>
      </c>
      <c r="F349" s="3" t="s">
        <v>14</v>
      </c>
      <c r="G349" s="1" t="s">
        <v>693</v>
      </c>
      <c r="H349" s="1">
        <v>80</v>
      </c>
      <c r="I349" s="1">
        <v>80</v>
      </c>
      <c r="J349" s="2">
        <v>0</v>
      </c>
      <c r="K349">
        <f t="shared" si="15"/>
        <v>0</v>
      </c>
      <c r="L349">
        <f t="shared" si="16"/>
        <v>80</v>
      </c>
      <c r="M349" t="str">
        <f t="shared" si="17"/>
        <v>Dec-2014</v>
      </c>
    </row>
    <row r="350" spans="1:13" x14ac:dyDescent="0.3">
      <c r="A350" t="s">
        <v>694</v>
      </c>
      <c r="B350" s="1" t="s">
        <v>118</v>
      </c>
      <c r="C350" s="1" t="s">
        <v>119</v>
      </c>
      <c r="D350" s="1" t="s">
        <v>35</v>
      </c>
      <c r="E350" s="5">
        <v>42691</v>
      </c>
      <c r="F350" s="3" t="s">
        <v>30</v>
      </c>
      <c r="G350" s="1" t="s">
        <v>695</v>
      </c>
      <c r="H350" s="1">
        <v>150</v>
      </c>
      <c r="I350" s="1">
        <v>147</v>
      </c>
      <c r="J350" s="2">
        <v>0.02</v>
      </c>
      <c r="K350">
        <f t="shared" si="15"/>
        <v>2.94</v>
      </c>
      <c r="L350">
        <f t="shared" si="16"/>
        <v>144.06</v>
      </c>
      <c r="M350" t="str">
        <f t="shared" si="17"/>
        <v>Nov-2016</v>
      </c>
    </row>
    <row r="351" spans="1:13" x14ac:dyDescent="0.3">
      <c r="A351" t="s">
        <v>696</v>
      </c>
      <c r="B351" s="1" t="s">
        <v>59</v>
      </c>
      <c r="C351" s="1" t="s">
        <v>60</v>
      </c>
      <c r="D351" s="1" t="s">
        <v>13</v>
      </c>
      <c r="E351" s="5">
        <v>42752</v>
      </c>
      <c r="F351" s="3" t="s">
        <v>36</v>
      </c>
      <c r="G351" s="1" t="s">
        <v>697</v>
      </c>
      <c r="H351" s="1">
        <v>50</v>
      </c>
      <c r="I351" s="1">
        <v>44</v>
      </c>
      <c r="J351" s="2">
        <v>0.12</v>
      </c>
      <c r="K351">
        <f t="shared" si="15"/>
        <v>5.2799999999999994</v>
      </c>
      <c r="L351">
        <f t="shared" si="16"/>
        <v>38.72</v>
      </c>
      <c r="M351" t="str">
        <f t="shared" si="17"/>
        <v>Jan-2017</v>
      </c>
    </row>
    <row r="352" spans="1:13" x14ac:dyDescent="0.3">
      <c r="A352" t="s">
        <v>698</v>
      </c>
      <c r="B352" s="1" t="s">
        <v>49</v>
      </c>
      <c r="C352" s="1" t="s">
        <v>50</v>
      </c>
      <c r="D352" s="1" t="s">
        <v>24</v>
      </c>
      <c r="E352" s="5">
        <v>42544</v>
      </c>
      <c r="F352" s="3" t="s">
        <v>104</v>
      </c>
      <c r="G352" s="1" t="s">
        <v>699</v>
      </c>
      <c r="H352" s="1">
        <v>70</v>
      </c>
      <c r="I352" s="1">
        <v>67</v>
      </c>
      <c r="J352" s="2">
        <v>4.2900000000000001E-2</v>
      </c>
      <c r="K352">
        <f t="shared" si="15"/>
        <v>2.8742999999999999</v>
      </c>
      <c r="L352">
        <f t="shared" si="16"/>
        <v>64.125699999999995</v>
      </c>
      <c r="M352" t="str">
        <f t="shared" si="17"/>
        <v>Jun-2016</v>
      </c>
    </row>
    <row r="353" spans="1:13" x14ac:dyDescent="0.3">
      <c r="A353" t="s">
        <v>700</v>
      </c>
      <c r="B353" s="1" t="s">
        <v>107</v>
      </c>
      <c r="C353" s="1" t="s">
        <v>108</v>
      </c>
      <c r="D353" s="1" t="s">
        <v>19</v>
      </c>
      <c r="E353" s="5">
        <v>41839</v>
      </c>
      <c r="F353" s="3" t="s">
        <v>104</v>
      </c>
      <c r="G353" s="1" t="s">
        <v>239</v>
      </c>
      <c r="H353" s="1">
        <v>70</v>
      </c>
      <c r="I353" s="1">
        <v>67</v>
      </c>
      <c r="J353" s="2">
        <v>4.2900000000000001E-2</v>
      </c>
      <c r="K353">
        <f t="shared" si="15"/>
        <v>2.8742999999999999</v>
      </c>
      <c r="L353">
        <f t="shared" si="16"/>
        <v>64.125699999999995</v>
      </c>
      <c r="M353" t="str">
        <f t="shared" si="17"/>
        <v>Jul-2014</v>
      </c>
    </row>
    <row r="354" spans="1:13" x14ac:dyDescent="0.3">
      <c r="A354" t="s">
        <v>701</v>
      </c>
      <c r="B354" s="1" t="s">
        <v>134</v>
      </c>
      <c r="C354" s="1" t="s">
        <v>92</v>
      </c>
      <c r="D354" s="1" t="s">
        <v>35</v>
      </c>
      <c r="E354" s="5">
        <v>43061</v>
      </c>
      <c r="F354" s="3" t="s">
        <v>46</v>
      </c>
      <c r="G354" s="1" t="s">
        <v>702</v>
      </c>
      <c r="H354" s="1">
        <v>500</v>
      </c>
      <c r="I354" s="1">
        <v>460</v>
      </c>
      <c r="J354" s="2">
        <v>0.08</v>
      </c>
      <c r="K354">
        <f t="shared" si="15"/>
        <v>36.800000000000004</v>
      </c>
      <c r="L354">
        <f t="shared" si="16"/>
        <v>423.2</v>
      </c>
      <c r="M354" t="str">
        <f t="shared" si="17"/>
        <v>Nov-2017</v>
      </c>
    </row>
    <row r="355" spans="1:13" x14ac:dyDescent="0.3">
      <c r="A355" t="s">
        <v>703</v>
      </c>
      <c r="B355" s="1" t="s">
        <v>11</v>
      </c>
      <c r="C355" s="1" t="s">
        <v>12</v>
      </c>
      <c r="D355" s="1" t="s">
        <v>13</v>
      </c>
      <c r="E355" s="5">
        <v>43003</v>
      </c>
      <c r="F355" s="3" t="s">
        <v>72</v>
      </c>
      <c r="G355" s="1" t="s">
        <v>15</v>
      </c>
      <c r="H355" s="1">
        <v>500</v>
      </c>
      <c r="I355" s="1">
        <v>495</v>
      </c>
      <c r="J355" s="2">
        <v>0.01</v>
      </c>
      <c r="K355">
        <f t="shared" si="15"/>
        <v>4.95</v>
      </c>
      <c r="L355">
        <f t="shared" si="16"/>
        <v>490.05</v>
      </c>
      <c r="M355" t="str">
        <f t="shared" si="17"/>
        <v>Sep-2017</v>
      </c>
    </row>
    <row r="356" spans="1:13" x14ac:dyDescent="0.3">
      <c r="A356" t="s">
        <v>704</v>
      </c>
      <c r="B356" s="1" t="s">
        <v>95</v>
      </c>
      <c r="C356" s="1" t="s">
        <v>96</v>
      </c>
      <c r="D356" s="1" t="s">
        <v>13</v>
      </c>
      <c r="E356" s="5">
        <v>42659</v>
      </c>
      <c r="F356" s="3" t="s">
        <v>55</v>
      </c>
      <c r="G356" s="1" t="s">
        <v>97</v>
      </c>
      <c r="H356" s="1">
        <v>800</v>
      </c>
      <c r="I356" s="1">
        <v>704</v>
      </c>
      <c r="J356" s="2">
        <v>0.12</v>
      </c>
      <c r="K356">
        <f t="shared" si="15"/>
        <v>84.47999999999999</v>
      </c>
      <c r="L356">
        <f t="shared" si="16"/>
        <v>619.52</v>
      </c>
      <c r="M356" t="str">
        <f t="shared" si="17"/>
        <v>Oct-2016</v>
      </c>
    </row>
    <row r="357" spans="1:13" x14ac:dyDescent="0.3">
      <c r="A357" t="s">
        <v>705</v>
      </c>
      <c r="B357" s="1" t="s">
        <v>85</v>
      </c>
      <c r="C357" s="1" t="s">
        <v>86</v>
      </c>
      <c r="D357" s="1" t="s">
        <v>13</v>
      </c>
      <c r="E357" s="5">
        <v>41836</v>
      </c>
      <c r="F357" s="3" t="s">
        <v>14</v>
      </c>
      <c r="G357" s="1" t="s">
        <v>363</v>
      </c>
      <c r="H357" s="1">
        <v>80</v>
      </c>
      <c r="I357" s="1">
        <v>60</v>
      </c>
      <c r="J357" s="2">
        <v>0.25</v>
      </c>
      <c r="K357">
        <f t="shared" si="15"/>
        <v>15</v>
      </c>
      <c r="L357">
        <f t="shared" si="16"/>
        <v>45</v>
      </c>
      <c r="M357" t="str">
        <f t="shared" si="17"/>
        <v>Jul-2014</v>
      </c>
    </row>
    <row r="358" spans="1:13" x14ac:dyDescent="0.3">
      <c r="A358" t="s">
        <v>706</v>
      </c>
      <c r="B358" s="1" t="s">
        <v>270</v>
      </c>
      <c r="C358" s="1" t="s">
        <v>271</v>
      </c>
      <c r="D358" s="1" t="s">
        <v>35</v>
      </c>
      <c r="E358" s="5">
        <v>42886</v>
      </c>
      <c r="F358" s="3" t="s">
        <v>72</v>
      </c>
      <c r="G358" s="1" t="s">
        <v>272</v>
      </c>
      <c r="H358" s="1">
        <v>500</v>
      </c>
      <c r="I358" s="1">
        <v>500</v>
      </c>
      <c r="J358" s="2">
        <v>0</v>
      </c>
      <c r="K358">
        <f t="shared" si="15"/>
        <v>0</v>
      </c>
      <c r="L358">
        <f t="shared" si="16"/>
        <v>500</v>
      </c>
      <c r="M358" t="str">
        <f t="shared" si="17"/>
        <v>May-2017</v>
      </c>
    </row>
    <row r="359" spans="1:13" x14ac:dyDescent="0.3">
      <c r="A359" t="s">
        <v>707</v>
      </c>
      <c r="B359" s="1" t="s">
        <v>154</v>
      </c>
      <c r="C359" s="1" t="s">
        <v>108</v>
      </c>
      <c r="D359" s="1" t="s">
        <v>19</v>
      </c>
      <c r="E359" s="5">
        <v>42902</v>
      </c>
      <c r="F359" s="3" t="s">
        <v>30</v>
      </c>
      <c r="G359" s="1" t="s">
        <v>352</v>
      </c>
      <c r="H359" s="1">
        <v>150</v>
      </c>
      <c r="I359" s="1">
        <v>150</v>
      </c>
      <c r="J359" s="2">
        <v>0</v>
      </c>
      <c r="K359">
        <f t="shared" si="15"/>
        <v>0</v>
      </c>
      <c r="L359">
        <f t="shared" si="16"/>
        <v>150</v>
      </c>
      <c r="M359" t="str">
        <f t="shared" si="17"/>
        <v>Jun-2017</v>
      </c>
    </row>
    <row r="360" spans="1:13" x14ac:dyDescent="0.3">
      <c r="A360" t="s">
        <v>708</v>
      </c>
      <c r="B360" s="1" t="s">
        <v>118</v>
      </c>
      <c r="C360" s="1" t="s">
        <v>119</v>
      </c>
      <c r="D360" s="1" t="s">
        <v>35</v>
      </c>
      <c r="E360" s="5">
        <v>41833</v>
      </c>
      <c r="F360" s="3" t="s">
        <v>104</v>
      </c>
      <c r="G360" s="1" t="s">
        <v>709</v>
      </c>
      <c r="H360" s="1">
        <v>70</v>
      </c>
      <c r="I360" s="1">
        <v>68</v>
      </c>
      <c r="J360" s="2">
        <v>2.86E-2</v>
      </c>
      <c r="K360">
        <f t="shared" si="15"/>
        <v>1.9448000000000001</v>
      </c>
      <c r="L360">
        <f t="shared" si="16"/>
        <v>66.055199999999999</v>
      </c>
      <c r="M360" t="str">
        <f t="shared" si="17"/>
        <v>Jul-2014</v>
      </c>
    </row>
    <row r="361" spans="1:13" x14ac:dyDescent="0.3">
      <c r="A361" t="s">
        <v>710</v>
      </c>
      <c r="B361" s="1" t="s">
        <v>400</v>
      </c>
      <c r="C361" s="1" t="s">
        <v>401</v>
      </c>
      <c r="D361" s="1" t="s">
        <v>13</v>
      </c>
      <c r="E361" s="5">
        <v>41864</v>
      </c>
      <c r="F361" s="3" t="s">
        <v>104</v>
      </c>
      <c r="G361" s="1" t="s">
        <v>711</v>
      </c>
      <c r="H361" s="1">
        <v>70</v>
      </c>
      <c r="I361" s="1">
        <v>70</v>
      </c>
      <c r="J361" s="2">
        <v>0</v>
      </c>
      <c r="K361">
        <f t="shared" si="15"/>
        <v>0</v>
      </c>
      <c r="L361">
        <f t="shared" si="16"/>
        <v>70</v>
      </c>
      <c r="M361" t="str">
        <f t="shared" si="17"/>
        <v>Aug-2014</v>
      </c>
    </row>
    <row r="362" spans="1:13" x14ac:dyDescent="0.3">
      <c r="A362" t="s">
        <v>712</v>
      </c>
      <c r="B362" s="1" t="s">
        <v>270</v>
      </c>
      <c r="C362" s="1" t="s">
        <v>271</v>
      </c>
      <c r="D362" s="1" t="s">
        <v>35</v>
      </c>
      <c r="E362" s="5">
        <v>42460</v>
      </c>
      <c r="F362" s="3" t="s">
        <v>41</v>
      </c>
      <c r="G362" s="1" t="s">
        <v>713</v>
      </c>
      <c r="H362" s="1">
        <v>30</v>
      </c>
      <c r="I362" s="1">
        <v>28</v>
      </c>
      <c r="J362" s="2">
        <v>6.6699999999999995E-2</v>
      </c>
      <c r="K362">
        <f t="shared" si="15"/>
        <v>1.8675999999999999</v>
      </c>
      <c r="L362">
        <f t="shared" si="16"/>
        <v>26.132400000000001</v>
      </c>
      <c r="M362" t="str">
        <f t="shared" si="17"/>
        <v>Mar-2016</v>
      </c>
    </row>
    <row r="363" spans="1:13" x14ac:dyDescent="0.3">
      <c r="A363" t="s">
        <v>714</v>
      </c>
      <c r="B363" s="1" t="s">
        <v>270</v>
      </c>
      <c r="C363" s="1" t="s">
        <v>271</v>
      </c>
      <c r="D363" s="1" t="s">
        <v>35</v>
      </c>
      <c r="E363" s="5">
        <v>43338</v>
      </c>
      <c r="F363" s="3" t="s">
        <v>104</v>
      </c>
      <c r="G363" s="1" t="s">
        <v>715</v>
      </c>
      <c r="H363" s="1">
        <v>70</v>
      </c>
      <c r="I363" s="1">
        <v>64</v>
      </c>
      <c r="J363" s="2">
        <v>8.5699999999999998E-2</v>
      </c>
      <c r="K363">
        <f t="shared" si="15"/>
        <v>5.4847999999999999</v>
      </c>
      <c r="L363">
        <f t="shared" si="16"/>
        <v>58.5152</v>
      </c>
      <c r="M363" t="str">
        <f t="shared" si="17"/>
        <v>Aug-2018</v>
      </c>
    </row>
    <row r="364" spans="1:13" x14ac:dyDescent="0.3">
      <c r="A364" t="s">
        <v>716</v>
      </c>
      <c r="B364" s="1" t="s">
        <v>22</v>
      </c>
      <c r="C364" s="1" t="s">
        <v>23</v>
      </c>
      <c r="D364" s="1" t="s">
        <v>24</v>
      </c>
      <c r="E364" s="5">
        <v>43113</v>
      </c>
      <c r="F364" s="3" t="s">
        <v>122</v>
      </c>
      <c r="G364" s="1" t="s">
        <v>26</v>
      </c>
      <c r="H364" s="1">
        <v>50</v>
      </c>
      <c r="I364" s="1">
        <v>38</v>
      </c>
      <c r="J364" s="2">
        <v>0.24</v>
      </c>
      <c r="K364">
        <f t="shared" si="15"/>
        <v>9.1199999999999992</v>
      </c>
      <c r="L364">
        <f t="shared" si="16"/>
        <v>28.880000000000003</v>
      </c>
      <c r="M364" t="str">
        <f t="shared" si="17"/>
        <v>Jan-2018</v>
      </c>
    </row>
    <row r="365" spans="1:13" x14ac:dyDescent="0.3">
      <c r="A365" t="s">
        <v>717</v>
      </c>
      <c r="B365" s="1" t="s">
        <v>17</v>
      </c>
      <c r="C365" s="1" t="s">
        <v>18</v>
      </c>
      <c r="D365" s="1" t="s">
        <v>19</v>
      </c>
      <c r="E365" s="5">
        <v>42361</v>
      </c>
      <c r="F365" s="3" t="s">
        <v>122</v>
      </c>
      <c r="G365" s="1" t="s">
        <v>543</v>
      </c>
      <c r="H365" s="1">
        <v>50</v>
      </c>
      <c r="I365" s="1">
        <v>50</v>
      </c>
      <c r="J365" s="2">
        <v>0</v>
      </c>
      <c r="K365">
        <f t="shared" si="15"/>
        <v>0</v>
      </c>
      <c r="L365">
        <f t="shared" si="16"/>
        <v>50</v>
      </c>
      <c r="M365" t="str">
        <f t="shared" si="17"/>
        <v>Dec-2015</v>
      </c>
    </row>
    <row r="366" spans="1:13" x14ac:dyDescent="0.3">
      <c r="A366" t="s">
        <v>718</v>
      </c>
      <c r="B366" s="1" t="s">
        <v>103</v>
      </c>
      <c r="C366" s="1" t="s">
        <v>71</v>
      </c>
      <c r="D366" s="1" t="s">
        <v>35</v>
      </c>
      <c r="E366" s="5">
        <v>43185</v>
      </c>
      <c r="F366" s="3" t="s">
        <v>46</v>
      </c>
      <c r="G366" s="1" t="s">
        <v>247</v>
      </c>
      <c r="H366" s="1">
        <v>500</v>
      </c>
      <c r="I366" s="1">
        <v>465</v>
      </c>
      <c r="J366" s="2">
        <v>7.0000000000000007E-2</v>
      </c>
      <c r="K366">
        <f t="shared" si="15"/>
        <v>32.550000000000004</v>
      </c>
      <c r="L366">
        <f t="shared" si="16"/>
        <v>432.45</v>
      </c>
      <c r="M366" t="str">
        <f t="shared" si="17"/>
        <v>Mar-2018</v>
      </c>
    </row>
    <row r="367" spans="1:13" x14ac:dyDescent="0.3">
      <c r="A367" t="s">
        <v>719</v>
      </c>
      <c r="B367" s="1" t="s">
        <v>157</v>
      </c>
      <c r="C367" s="1" t="s">
        <v>108</v>
      </c>
      <c r="D367" s="1" t="s">
        <v>19</v>
      </c>
      <c r="E367" s="5">
        <v>42751</v>
      </c>
      <c r="F367" s="3" t="s">
        <v>36</v>
      </c>
      <c r="G367" s="1" t="s">
        <v>720</v>
      </c>
      <c r="H367" s="1">
        <v>50</v>
      </c>
      <c r="I367" s="1">
        <v>44</v>
      </c>
      <c r="J367" s="2">
        <v>0.12</v>
      </c>
      <c r="K367">
        <f t="shared" si="15"/>
        <v>5.2799999999999994</v>
      </c>
      <c r="L367">
        <f t="shared" si="16"/>
        <v>38.72</v>
      </c>
      <c r="M367" t="str">
        <f t="shared" si="17"/>
        <v>Jan-2017</v>
      </c>
    </row>
    <row r="368" spans="1:13" x14ac:dyDescent="0.3">
      <c r="A368" t="s">
        <v>721</v>
      </c>
      <c r="B368" s="1" t="s">
        <v>205</v>
      </c>
      <c r="C368" s="1" t="s">
        <v>206</v>
      </c>
      <c r="D368" s="1" t="s">
        <v>24</v>
      </c>
      <c r="E368" s="5">
        <v>42852</v>
      </c>
      <c r="F368" s="3" t="s">
        <v>36</v>
      </c>
      <c r="G368" s="1" t="s">
        <v>722</v>
      </c>
      <c r="H368" s="1">
        <v>50</v>
      </c>
      <c r="I368" s="1">
        <v>47</v>
      </c>
      <c r="J368" s="2">
        <v>0.06</v>
      </c>
      <c r="K368">
        <f t="shared" si="15"/>
        <v>2.82</v>
      </c>
      <c r="L368">
        <f t="shared" si="16"/>
        <v>44.18</v>
      </c>
      <c r="M368" t="str">
        <f t="shared" si="17"/>
        <v>Apr-2017</v>
      </c>
    </row>
    <row r="369" spans="1:13" x14ac:dyDescent="0.3">
      <c r="A369" t="s">
        <v>723</v>
      </c>
      <c r="B369" s="1" t="s">
        <v>170</v>
      </c>
      <c r="C369" s="1" t="s">
        <v>171</v>
      </c>
      <c r="D369" s="1" t="s">
        <v>13</v>
      </c>
      <c r="E369" s="5">
        <v>42633</v>
      </c>
      <c r="F369" s="3" t="s">
        <v>30</v>
      </c>
      <c r="G369" s="1" t="s">
        <v>518</v>
      </c>
      <c r="H369" s="1">
        <v>150</v>
      </c>
      <c r="I369" s="1">
        <v>101</v>
      </c>
      <c r="J369" s="2">
        <v>0.32669999999999999</v>
      </c>
      <c r="K369">
        <f t="shared" si="15"/>
        <v>32.996699999999997</v>
      </c>
      <c r="L369">
        <f t="shared" si="16"/>
        <v>68.003299999999996</v>
      </c>
      <c r="M369" t="str">
        <f t="shared" si="17"/>
        <v>Sep-2016</v>
      </c>
    </row>
    <row r="370" spans="1:13" x14ac:dyDescent="0.3">
      <c r="A370" t="s">
        <v>724</v>
      </c>
      <c r="B370" s="1" t="s">
        <v>146</v>
      </c>
      <c r="C370" s="1" t="s">
        <v>147</v>
      </c>
      <c r="D370" s="1" t="s">
        <v>13</v>
      </c>
      <c r="E370" s="5">
        <v>41751</v>
      </c>
      <c r="F370" s="3" t="s">
        <v>14</v>
      </c>
      <c r="G370" s="1" t="s">
        <v>725</v>
      </c>
      <c r="H370" s="1">
        <v>80</v>
      </c>
      <c r="I370" s="1">
        <v>78</v>
      </c>
      <c r="J370" s="2">
        <v>2.5000000000000001E-2</v>
      </c>
      <c r="K370">
        <f t="shared" si="15"/>
        <v>1.9500000000000002</v>
      </c>
      <c r="L370">
        <f t="shared" si="16"/>
        <v>76.05</v>
      </c>
      <c r="M370" t="str">
        <f t="shared" si="17"/>
        <v>Apr-2014</v>
      </c>
    </row>
    <row r="371" spans="1:13" x14ac:dyDescent="0.3">
      <c r="A371" t="s">
        <v>726</v>
      </c>
      <c r="B371" s="1" t="s">
        <v>103</v>
      </c>
      <c r="C371" s="1" t="s">
        <v>71</v>
      </c>
      <c r="D371" s="1" t="s">
        <v>35</v>
      </c>
      <c r="E371" s="5">
        <v>41790</v>
      </c>
      <c r="F371" s="3" t="s">
        <v>72</v>
      </c>
      <c r="G371" s="1" t="s">
        <v>727</v>
      </c>
      <c r="H371" s="1">
        <v>500</v>
      </c>
      <c r="I371" s="1">
        <v>500</v>
      </c>
      <c r="J371" s="2">
        <v>0</v>
      </c>
      <c r="K371">
        <f t="shared" si="15"/>
        <v>0</v>
      </c>
      <c r="L371">
        <f t="shared" si="16"/>
        <v>500</v>
      </c>
      <c r="M371" t="str">
        <f t="shared" si="17"/>
        <v>May-2014</v>
      </c>
    </row>
    <row r="372" spans="1:13" x14ac:dyDescent="0.3">
      <c r="A372" t="s">
        <v>728</v>
      </c>
      <c r="B372" s="1" t="s">
        <v>49</v>
      </c>
      <c r="C372" s="1" t="s">
        <v>50</v>
      </c>
      <c r="D372" s="1" t="s">
        <v>24</v>
      </c>
      <c r="E372" s="5">
        <v>42869</v>
      </c>
      <c r="F372" s="3" t="s">
        <v>14</v>
      </c>
      <c r="G372" s="1" t="s">
        <v>729</v>
      </c>
      <c r="H372" s="1">
        <v>80</v>
      </c>
      <c r="I372" s="1">
        <v>74</v>
      </c>
      <c r="J372" s="2">
        <v>7.4999999999999997E-2</v>
      </c>
      <c r="K372">
        <f t="shared" si="15"/>
        <v>5.55</v>
      </c>
      <c r="L372">
        <f t="shared" si="16"/>
        <v>68.45</v>
      </c>
      <c r="M372" t="str">
        <f t="shared" si="17"/>
        <v>May-2017</v>
      </c>
    </row>
    <row r="373" spans="1:13" x14ac:dyDescent="0.3">
      <c r="A373" t="s">
        <v>730</v>
      </c>
      <c r="B373" s="1" t="s">
        <v>95</v>
      </c>
      <c r="C373" s="1" t="s">
        <v>96</v>
      </c>
      <c r="D373" s="1" t="s">
        <v>13</v>
      </c>
      <c r="E373" s="5">
        <v>42321</v>
      </c>
      <c r="F373" s="3" t="s">
        <v>104</v>
      </c>
      <c r="G373" s="1" t="s">
        <v>731</v>
      </c>
      <c r="H373" s="1">
        <v>70</v>
      </c>
      <c r="I373" s="1">
        <v>68</v>
      </c>
      <c r="J373" s="2">
        <v>2.86E-2</v>
      </c>
      <c r="K373">
        <f t="shared" si="15"/>
        <v>1.9448000000000001</v>
      </c>
      <c r="L373">
        <f t="shared" si="16"/>
        <v>66.055199999999999</v>
      </c>
      <c r="M373" t="str">
        <f t="shared" si="17"/>
        <v>Nov-2015</v>
      </c>
    </row>
    <row r="374" spans="1:13" x14ac:dyDescent="0.3">
      <c r="A374" t="s">
        <v>732</v>
      </c>
      <c r="B374" s="1" t="s">
        <v>264</v>
      </c>
      <c r="C374" s="1" t="s">
        <v>265</v>
      </c>
      <c r="D374" s="1" t="s">
        <v>13</v>
      </c>
      <c r="E374" s="5">
        <v>42844</v>
      </c>
      <c r="F374" s="3" t="s">
        <v>46</v>
      </c>
      <c r="G374" s="1" t="s">
        <v>314</v>
      </c>
      <c r="H374" s="1">
        <v>500</v>
      </c>
      <c r="I374" s="1">
        <v>500</v>
      </c>
      <c r="J374" s="2">
        <v>0</v>
      </c>
      <c r="K374">
        <f t="shared" si="15"/>
        <v>0</v>
      </c>
      <c r="L374">
        <f t="shared" si="16"/>
        <v>500</v>
      </c>
      <c r="M374" t="str">
        <f t="shared" si="17"/>
        <v>Apr-2017</v>
      </c>
    </row>
    <row r="375" spans="1:13" x14ac:dyDescent="0.3">
      <c r="A375" t="s">
        <v>733</v>
      </c>
      <c r="B375" s="1" t="s">
        <v>224</v>
      </c>
      <c r="C375" s="1" t="s">
        <v>50</v>
      </c>
      <c r="D375" s="1" t="s">
        <v>24</v>
      </c>
      <c r="E375" s="5">
        <v>42961</v>
      </c>
      <c r="F375" s="3" t="s">
        <v>61</v>
      </c>
      <c r="G375" s="1" t="s">
        <v>734</v>
      </c>
      <c r="H375" s="1">
        <v>1000</v>
      </c>
      <c r="I375" s="1">
        <v>720</v>
      </c>
      <c r="J375" s="2">
        <v>0.28000000000000003</v>
      </c>
      <c r="K375">
        <f t="shared" si="15"/>
        <v>201.60000000000002</v>
      </c>
      <c r="L375">
        <f t="shared" si="16"/>
        <v>518.4</v>
      </c>
      <c r="M375" t="str">
        <f t="shared" si="17"/>
        <v>Aug-2017</v>
      </c>
    </row>
    <row r="376" spans="1:13" x14ac:dyDescent="0.3">
      <c r="A376" t="s">
        <v>735</v>
      </c>
      <c r="B376" s="1" t="s">
        <v>17</v>
      </c>
      <c r="C376" s="1" t="s">
        <v>18</v>
      </c>
      <c r="D376" s="1" t="s">
        <v>19</v>
      </c>
      <c r="E376" s="5">
        <v>43426</v>
      </c>
      <c r="F376" s="3" t="s">
        <v>46</v>
      </c>
      <c r="G376" s="1" t="s">
        <v>616</v>
      </c>
      <c r="H376" s="1">
        <v>500</v>
      </c>
      <c r="I376" s="1">
        <v>480</v>
      </c>
      <c r="J376" s="2">
        <v>0.04</v>
      </c>
      <c r="K376">
        <f t="shared" si="15"/>
        <v>19.2</v>
      </c>
      <c r="L376">
        <f t="shared" si="16"/>
        <v>460.8</v>
      </c>
      <c r="M376" t="str">
        <f t="shared" si="17"/>
        <v>Nov-2018</v>
      </c>
    </row>
    <row r="377" spans="1:13" x14ac:dyDescent="0.3">
      <c r="A377" t="s">
        <v>736</v>
      </c>
      <c r="B377" s="1" t="s">
        <v>154</v>
      </c>
      <c r="C377" s="1" t="s">
        <v>108</v>
      </c>
      <c r="D377" s="1" t="s">
        <v>19</v>
      </c>
      <c r="E377" s="5">
        <v>42748</v>
      </c>
      <c r="F377" s="3" t="s">
        <v>36</v>
      </c>
      <c r="G377" s="1" t="s">
        <v>737</v>
      </c>
      <c r="H377" s="1">
        <v>50</v>
      </c>
      <c r="I377" s="1">
        <v>43</v>
      </c>
      <c r="J377" s="2">
        <v>0.14000000000000001</v>
      </c>
      <c r="K377">
        <f t="shared" si="15"/>
        <v>6.0200000000000005</v>
      </c>
      <c r="L377">
        <f t="shared" si="16"/>
        <v>36.979999999999997</v>
      </c>
      <c r="M377" t="str">
        <f t="shared" si="17"/>
        <v>Jan-2017</v>
      </c>
    </row>
    <row r="378" spans="1:13" x14ac:dyDescent="0.3">
      <c r="A378" t="s">
        <v>738</v>
      </c>
      <c r="B378" s="1" t="s">
        <v>53</v>
      </c>
      <c r="C378" s="1" t="s">
        <v>54</v>
      </c>
      <c r="D378" s="1" t="s">
        <v>13</v>
      </c>
      <c r="E378" s="5">
        <v>43208</v>
      </c>
      <c r="F378" s="3" t="s">
        <v>30</v>
      </c>
      <c r="G378" s="1" t="s">
        <v>643</v>
      </c>
      <c r="H378" s="1">
        <v>150</v>
      </c>
      <c r="I378" s="1">
        <v>150</v>
      </c>
      <c r="J378" s="2">
        <v>0</v>
      </c>
      <c r="K378">
        <f t="shared" si="15"/>
        <v>0</v>
      </c>
      <c r="L378">
        <f t="shared" si="16"/>
        <v>150</v>
      </c>
      <c r="M378" t="str">
        <f t="shared" si="17"/>
        <v>Apr-2018</v>
      </c>
    </row>
    <row r="379" spans="1:13" x14ac:dyDescent="0.3">
      <c r="A379" t="s">
        <v>739</v>
      </c>
      <c r="B379" s="1" t="s">
        <v>11</v>
      </c>
      <c r="C379" s="1" t="s">
        <v>12</v>
      </c>
      <c r="D379" s="1" t="s">
        <v>13</v>
      </c>
      <c r="E379" s="5">
        <v>42939</v>
      </c>
      <c r="F379" s="3" t="s">
        <v>55</v>
      </c>
      <c r="G379" s="1" t="s">
        <v>348</v>
      </c>
      <c r="H379" s="1">
        <v>800</v>
      </c>
      <c r="I379" s="1">
        <v>528</v>
      </c>
      <c r="J379" s="2">
        <v>0.34</v>
      </c>
      <c r="K379">
        <f t="shared" si="15"/>
        <v>179.52</v>
      </c>
      <c r="L379">
        <f t="shared" si="16"/>
        <v>348.48</v>
      </c>
      <c r="M379" t="str">
        <f t="shared" si="17"/>
        <v>Jul-2017</v>
      </c>
    </row>
    <row r="380" spans="1:13" x14ac:dyDescent="0.3">
      <c r="A380" t="s">
        <v>740</v>
      </c>
      <c r="B380" s="1" t="s">
        <v>187</v>
      </c>
      <c r="C380" s="1" t="s">
        <v>188</v>
      </c>
      <c r="D380" s="1" t="s">
        <v>13</v>
      </c>
      <c r="E380" s="5">
        <v>43327</v>
      </c>
      <c r="F380" s="3" t="s">
        <v>36</v>
      </c>
      <c r="G380" s="1" t="s">
        <v>741</v>
      </c>
      <c r="H380" s="1">
        <v>50</v>
      </c>
      <c r="I380" s="1">
        <v>39</v>
      </c>
      <c r="J380" s="2">
        <v>0.22</v>
      </c>
      <c r="K380">
        <f t="shared" si="15"/>
        <v>8.58</v>
      </c>
      <c r="L380">
        <f t="shared" si="16"/>
        <v>30.42</v>
      </c>
      <c r="M380" t="str">
        <f t="shared" si="17"/>
        <v>Aug-2018</v>
      </c>
    </row>
    <row r="381" spans="1:13" x14ac:dyDescent="0.3">
      <c r="A381" t="s">
        <v>742</v>
      </c>
      <c r="B381" s="1" t="s">
        <v>85</v>
      </c>
      <c r="C381" s="1" t="s">
        <v>86</v>
      </c>
      <c r="D381" s="1" t="s">
        <v>13</v>
      </c>
      <c r="E381" s="5">
        <v>42238</v>
      </c>
      <c r="F381" s="3" t="s">
        <v>122</v>
      </c>
      <c r="G381" s="1" t="s">
        <v>87</v>
      </c>
      <c r="H381" s="1">
        <v>50</v>
      </c>
      <c r="I381" s="1">
        <v>50</v>
      </c>
      <c r="J381" s="2">
        <v>0</v>
      </c>
      <c r="K381">
        <f t="shared" si="15"/>
        <v>0</v>
      </c>
      <c r="L381">
        <f t="shared" si="16"/>
        <v>50</v>
      </c>
      <c r="M381" t="str">
        <f t="shared" si="17"/>
        <v>Aug-2015</v>
      </c>
    </row>
    <row r="382" spans="1:13" x14ac:dyDescent="0.3">
      <c r="A382" t="s">
        <v>743</v>
      </c>
      <c r="B382" s="1" t="s">
        <v>103</v>
      </c>
      <c r="C382" s="1" t="s">
        <v>71</v>
      </c>
      <c r="D382" s="1" t="s">
        <v>35</v>
      </c>
      <c r="E382" s="5">
        <v>42490</v>
      </c>
      <c r="F382" s="3" t="s">
        <v>72</v>
      </c>
      <c r="G382" s="1" t="s">
        <v>603</v>
      </c>
      <c r="H382" s="1">
        <v>500</v>
      </c>
      <c r="I382" s="1">
        <v>500</v>
      </c>
      <c r="J382" s="2">
        <v>0</v>
      </c>
      <c r="K382">
        <f t="shared" si="15"/>
        <v>0</v>
      </c>
      <c r="L382">
        <f t="shared" si="16"/>
        <v>500</v>
      </c>
      <c r="M382" t="str">
        <f t="shared" si="17"/>
        <v>Apr-2016</v>
      </c>
    </row>
    <row r="383" spans="1:13" x14ac:dyDescent="0.3">
      <c r="A383" t="s">
        <v>744</v>
      </c>
      <c r="B383" s="1" t="s">
        <v>95</v>
      </c>
      <c r="C383" s="1" t="s">
        <v>96</v>
      </c>
      <c r="D383" s="1" t="s">
        <v>13</v>
      </c>
      <c r="E383" s="5">
        <v>41774</v>
      </c>
      <c r="F383" s="3" t="s">
        <v>36</v>
      </c>
      <c r="G383" s="1" t="s">
        <v>180</v>
      </c>
      <c r="H383" s="1">
        <v>50</v>
      </c>
      <c r="I383" s="1">
        <v>44</v>
      </c>
      <c r="J383" s="2">
        <v>0.12</v>
      </c>
      <c r="K383">
        <f t="shared" si="15"/>
        <v>5.2799999999999994</v>
      </c>
      <c r="L383">
        <f t="shared" si="16"/>
        <v>38.72</v>
      </c>
      <c r="M383" t="str">
        <f t="shared" si="17"/>
        <v>May-2014</v>
      </c>
    </row>
    <row r="384" spans="1:13" x14ac:dyDescent="0.3">
      <c r="A384" t="s">
        <v>745</v>
      </c>
      <c r="B384" s="1" t="s">
        <v>224</v>
      </c>
      <c r="C384" s="1" t="s">
        <v>50</v>
      </c>
      <c r="D384" s="1" t="s">
        <v>24</v>
      </c>
      <c r="E384" s="5">
        <v>42384</v>
      </c>
      <c r="F384" s="3" t="s">
        <v>122</v>
      </c>
      <c r="G384" s="1" t="s">
        <v>225</v>
      </c>
      <c r="H384" s="1">
        <v>50</v>
      </c>
      <c r="I384" s="1">
        <v>48</v>
      </c>
      <c r="J384" s="2">
        <v>0.04</v>
      </c>
      <c r="K384">
        <f t="shared" si="15"/>
        <v>1.92</v>
      </c>
      <c r="L384">
        <f t="shared" si="16"/>
        <v>46.08</v>
      </c>
      <c r="M384" t="str">
        <f t="shared" si="17"/>
        <v>Jan-2016</v>
      </c>
    </row>
    <row r="385" spans="1:13" x14ac:dyDescent="0.3">
      <c r="A385" t="s">
        <v>746</v>
      </c>
      <c r="B385" s="1" t="s">
        <v>134</v>
      </c>
      <c r="C385" s="1" t="s">
        <v>92</v>
      </c>
      <c r="D385" s="1" t="s">
        <v>35</v>
      </c>
      <c r="E385" s="5">
        <v>42597</v>
      </c>
      <c r="F385" s="3" t="s">
        <v>14</v>
      </c>
      <c r="G385" s="1" t="s">
        <v>747</v>
      </c>
      <c r="H385" s="1">
        <v>80</v>
      </c>
      <c r="I385" s="1">
        <v>72</v>
      </c>
      <c r="J385" s="2">
        <v>0.1</v>
      </c>
      <c r="K385">
        <f t="shared" si="15"/>
        <v>7.2</v>
      </c>
      <c r="L385">
        <f t="shared" si="16"/>
        <v>64.8</v>
      </c>
      <c r="M385" t="str">
        <f t="shared" si="17"/>
        <v>Aug-2016</v>
      </c>
    </row>
    <row r="386" spans="1:13" x14ac:dyDescent="0.3">
      <c r="A386" t="s">
        <v>748</v>
      </c>
      <c r="B386" s="1" t="s">
        <v>205</v>
      </c>
      <c r="C386" s="1" t="s">
        <v>206</v>
      </c>
      <c r="D386" s="1" t="s">
        <v>24</v>
      </c>
      <c r="E386" s="5">
        <v>41755</v>
      </c>
      <c r="F386" s="3" t="s">
        <v>122</v>
      </c>
      <c r="G386" s="1" t="s">
        <v>596</v>
      </c>
      <c r="H386" s="1">
        <v>50</v>
      </c>
      <c r="I386" s="1">
        <v>32</v>
      </c>
      <c r="J386" s="2">
        <v>0.36</v>
      </c>
      <c r="K386">
        <f t="shared" si="15"/>
        <v>11.52</v>
      </c>
      <c r="L386">
        <f t="shared" si="16"/>
        <v>20.48</v>
      </c>
      <c r="M386" t="str">
        <f t="shared" si="17"/>
        <v>Apr-2014</v>
      </c>
    </row>
    <row r="387" spans="1:13" x14ac:dyDescent="0.3">
      <c r="A387" t="s">
        <v>749</v>
      </c>
      <c r="B387" s="1" t="s">
        <v>221</v>
      </c>
      <c r="C387" s="1" t="s">
        <v>40</v>
      </c>
      <c r="D387" s="1" t="s">
        <v>35</v>
      </c>
      <c r="E387" s="5">
        <v>41932</v>
      </c>
      <c r="F387" s="3" t="s">
        <v>25</v>
      </c>
      <c r="G387" s="1" t="s">
        <v>231</v>
      </c>
      <c r="H387" s="1">
        <v>700</v>
      </c>
      <c r="I387" s="1">
        <v>651</v>
      </c>
      <c r="J387" s="2">
        <v>7.0000000000000007E-2</v>
      </c>
      <c r="K387">
        <f t="shared" si="15"/>
        <v>45.570000000000007</v>
      </c>
      <c r="L387">
        <f t="shared" si="16"/>
        <v>605.42999999999995</v>
      </c>
      <c r="M387" t="str">
        <f t="shared" si="17"/>
        <v>Oct-2014</v>
      </c>
    </row>
    <row r="388" spans="1:13" x14ac:dyDescent="0.3">
      <c r="A388" t="s">
        <v>750</v>
      </c>
      <c r="B388" s="1" t="s">
        <v>127</v>
      </c>
      <c r="C388" s="1" t="s">
        <v>128</v>
      </c>
      <c r="D388" s="1" t="s">
        <v>13</v>
      </c>
      <c r="E388" s="5">
        <v>42244</v>
      </c>
      <c r="F388" s="3" t="s">
        <v>122</v>
      </c>
      <c r="G388" s="1" t="s">
        <v>210</v>
      </c>
      <c r="H388" s="1">
        <v>50</v>
      </c>
      <c r="I388" s="1">
        <v>49</v>
      </c>
      <c r="J388" s="2">
        <v>0.02</v>
      </c>
      <c r="K388">
        <f t="shared" ref="K388:K451" si="18">I388*J388</f>
        <v>0.98</v>
      </c>
      <c r="L388">
        <f t="shared" ref="L388:L451" si="19">I388-K388</f>
        <v>48.02</v>
      </c>
      <c r="M388" t="str">
        <f t="shared" ref="M388:M451" si="20">TEXT(E388, "mmm-yyyy")</f>
        <v>Aug-2015</v>
      </c>
    </row>
    <row r="389" spans="1:13" x14ac:dyDescent="0.3">
      <c r="A389" t="s">
        <v>751</v>
      </c>
      <c r="B389" s="1" t="s">
        <v>99</v>
      </c>
      <c r="C389" s="1" t="s">
        <v>100</v>
      </c>
      <c r="D389" s="1" t="s">
        <v>13</v>
      </c>
      <c r="E389" s="5">
        <v>42114</v>
      </c>
      <c r="F389" s="3" t="s">
        <v>46</v>
      </c>
      <c r="G389" s="1" t="s">
        <v>752</v>
      </c>
      <c r="H389" s="1">
        <v>500</v>
      </c>
      <c r="I389" s="1">
        <v>440</v>
      </c>
      <c r="J389" s="2">
        <v>0.12</v>
      </c>
      <c r="K389">
        <f t="shared" si="18"/>
        <v>52.8</v>
      </c>
      <c r="L389">
        <f t="shared" si="19"/>
        <v>387.2</v>
      </c>
      <c r="M389" t="str">
        <f t="shared" si="20"/>
        <v>Apr-2015</v>
      </c>
    </row>
    <row r="390" spans="1:13" x14ac:dyDescent="0.3">
      <c r="A390" t="s">
        <v>753</v>
      </c>
      <c r="B390" s="1" t="s">
        <v>187</v>
      </c>
      <c r="C390" s="1" t="s">
        <v>188</v>
      </c>
      <c r="D390" s="1" t="s">
        <v>13</v>
      </c>
      <c r="E390" s="5">
        <v>41934</v>
      </c>
      <c r="F390" s="3" t="s">
        <v>61</v>
      </c>
      <c r="G390" s="1" t="s">
        <v>237</v>
      </c>
      <c r="H390" s="1">
        <v>1000</v>
      </c>
      <c r="I390" s="1">
        <v>680</v>
      </c>
      <c r="J390" s="2">
        <v>0.32</v>
      </c>
      <c r="K390">
        <f t="shared" si="18"/>
        <v>217.6</v>
      </c>
      <c r="L390">
        <f t="shared" si="19"/>
        <v>462.4</v>
      </c>
      <c r="M390" t="str">
        <f t="shared" si="20"/>
        <v>Oct-2014</v>
      </c>
    </row>
    <row r="391" spans="1:13" x14ac:dyDescent="0.3">
      <c r="A391" t="s">
        <v>754</v>
      </c>
      <c r="B391" s="1" t="s">
        <v>33</v>
      </c>
      <c r="C391" s="1" t="s">
        <v>34</v>
      </c>
      <c r="D391" s="1" t="s">
        <v>35</v>
      </c>
      <c r="E391" s="5">
        <v>43267</v>
      </c>
      <c r="F391" s="3" t="s">
        <v>25</v>
      </c>
      <c r="G391" s="1" t="s">
        <v>197</v>
      </c>
      <c r="H391" s="1">
        <v>700</v>
      </c>
      <c r="I391" s="1">
        <v>637</v>
      </c>
      <c r="J391" s="2">
        <v>0.09</v>
      </c>
      <c r="K391">
        <f t="shared" si="18"/>
        <v>57.33</v>
      </c>
      <c r="L391">
        <f t="shared" si="19"/>
        <v>579.66999999999996</v>
      </c>
      <c r="M391" t="str">
        <f t="shared" si="20"/>
        <v>Jun-2018</v>
      </c>
    </row>
    <row r="392" spans="1:13" x14ac:dyDescent="0.3">
      <c r="A392" t="s">
        <v>755</v>
      </c>
      <c r="B392" s="1" t="s">
        <v>114</v>
      </c>
      <c r="C392" s="1" t="s">
        <v>54</v>
      </c>
      <c r="D392" s="1" t="s">
        <v>13</v>
      </c>
      <c r="E392" s="5">
        <v>41833</v>
      </c>
      <c r="F392" s="3" t="s">
        <v>36</v>
      </c>
      <c r="G392" s="1" t="s">
        <v>476</v>
      </c>
      <c r="H392" s="1">
        <v>50</v>
      </c>
      <c r="I392" s="1">
        <v>43</v>
      </c>
      <c r="J392" s="2">
        <v>0.14000000000000001</v>
      </c>
      <c r="K392">
        <f t="shared" si="18"/>
        <v>6.0200000000000005</v>
      </c>
      <c r="L392">
        <f t="shared" si="19"/>
        <v>36.979999999999997</v>
      </c>
      <c r="M392" t="str">
        <f t="shared" si="20"/>
        <v>Jul-2014</v>
      </c>
    </row>
    <row r="393" spans="1:13" x14ac:dyDescent="0.3">
      <c r="A393" t="s">
        <v>756</v>
      </c>
      <c r="B393" s="1" t="s">
        <v>70</v>
      </c>
      <c r="C393" s="1" t="s">
        <v>71</v>
      </c>
      <c r="D393" s="1" t="s">
        <v>35</v>
      </c>
      <c r="E393" s="5">
        <v>42445</v>
      </c>
      <c r="F393" s="3" t="s">
        <v>41</v>
      </c>
      <c r="G393" s="1" t="s">
        <v>73</v>
      </c>
      <c r="H393" s="1">
        <v>30</v>
      </c>
      <c r="I393" s="1">
        <v>29</v>
      </c>
      <c r="J393" s="2">
        <v>3.3300000000000003E-2</v>
      </c>
      <c r="K393">
        <f t="shared" si="18"/>
        <v>0.96570000000000011</v>
      </c>
      <c r="L393">
        <f t="shared" si="19"/>
        <v>28.034299999999998</v>
      </c>
      <c r="M393" t="str">
        <f t="shared" si="20"/>
        <v>Mar-2016</v>
      </c>
    </row>
    <row r="394" spans="1:13" x14ac:dyDescent="0.3">
      <c r="A394" t="s">
        <v>757</v>
      </c>
      <c r="B394" s="1" t="s">
        <v>59</v>
      </c>
      <c r="C394" s="1" t="s">
        <v>60</v>
      </c>
      <c r="D394" s="1" t="s">
        <v>13</v>
      </c>
      <c r="E394" s="5">
        <v>42238</v>
      </c>
      <c r="F394" s="3" t="s">
        <v>36</v>
      </c>
      <c r="G394" s="1" t="s">
        <v>312</v>
      </c>
      <c r="H394" s="1">
        <v>50</v>
      </c>
      <c r="I394" s="1">
        <v>47</v>
      </c>
      <c r="J394" s="2">
        <v>0.06</v>
      </c>
      <c r="K394">
        <f t="shared" si="18"/>
        <v>2.82</v>
      </c>
      <c r="L394">
        <f t="shared" si="19"/>
        <v>44.18</v>
      </c>
      <c r="M394" t="str">
        <f t="shared" si="20"/>
        <v>Aug-2015</v>
      </c>
    </row>
    <row r="395" spans="1:13" x14ac:dyDescent="0.3">
      <c r="A395" t="s">
        <v>758</v>
      </c>
      <c r="B395" s="1" t="s">
        <v>205</v>
      </c>
      <c r="C395" s="1" t="s">
        <v>206</v>
      </c>
      <c r="D395" s="1" t="s">
        <v>24</v>
      </c>
      <c r="E395" s="5">
        <v>42209</v>
      </c>
      <c r="F395" s="3" t="s">
        <v>30</v>
      </c>
      <c r="G395" s="1" t="s">
        <v>759</v>
      </c>
      <c r="H395" s="1">
        <v>150</v>
      </c>
      <c r="I395" s="1">
        <v>144</v>
      </c>
      <c r="J395" s="2">
        <v>0.04</v>
      </c>
      <c r="K395">
        <f t="shared" si="18"/>
        <v>5.76</v>
      </c>
      <c r="L395">
        <f t="shared" si="19"/>
        <v>138.24</v>
      </c>
      <c r="M395" t="str">
        <f t="shared" si="20"/>
        <v>Jul-2015</v>
      </c>
    </row>
    <row r="396" spans="1:13" x14ac:dyDescent="0.3">
      <c r="A396" t="s">
        <v>760</v>
      </c>
      <c r="B396" s="1" t="s">
        <v>174</v>
      </c>
      <c r="C396" s="1" t="s">
        <v>175</v>
      </c>
      <c r="D396" s="1" t="s">
        <v>13</v>
      </c>
      <c r="E396" s="5">
        <v>42663</v>
      </c>
      <c r="F396" s="3" t="s">
        <v>115</v>
      </c>
      <c r="G396" s="1" t="s">
        <v>319</v>
      </c>
      <c r="H396" s="1">
        <v>250</v>
      </c>
      <c r="I396" s="1">
        <v>193</v>
      </c>
      <c r="J396" s="2">
        <v>0.22800000000000001</v>
      </c>
      <c r="K396">
        <f t="shared" si="18"/>
        <v>44.004000000000005</v>
      </c>
      <c r="L396">
        <f t="shared" si="19"/>
        <v>148.99599999999998</v>
      </c>
      <c r="M396" t="str">
        <f t="shared" si="20"/>
        <v>Oct-2016</v>
      </c>
    </row>
    <row r="397" spans="1:13" x14ac:dyDescent="0.3">
      <c r="A397" t="s">
        <v>761</v>
      </c>
      <c r="B397" s="1" t="s">
        <v>77</v>
      </c>
      <c r="C397" s="1" t="s">
        <v>78</v>
      </c>
      <c r="D397" s="1" t="s">
        <v>35</v>
      </c>
      <c r="E397" s="5">
        <v>42269</v>
      </c>
      <c r="F397" s="3" t="s">
        <v>55</v>
      </c>
      <c r="G397" s="1" t="s">
        <v>762</v>
      </c>
      <c r="H397" s="1">
        <v>800</v>
      </c>
      <c r="I397" s="1">
        <v>800</v>
      </c>
      <c r="J397" s="2">
        <v>0</v>
      </c>
      <c r="K397">
        <f t="shared" si="18"/>
        <v>0</v>
      </c>
      <c r="L397">
        <f t="shared" si="19"/>
        <v>800</v>
      </c>
      <c r="M397" t="str">
        <f t="shared" si="20"/>
        <v>Sep-2015</v>
      </c>
    </row>
    <row r="398" spans="1:13" x14ac:dyDescent="0.3">
      <c r="A398" t="s">
        <v>763</v>
      </c>
      <c r="B398" s="1" t="s">
        <v>434</v>
      </c>
      <c r="C398" s="1" t="s">
        <v>435</v>
      </c>
      <c r="D398" s="1" t="s">
        <v>24</v>
      </c>
      <c r="E398" s="5">
        <v>42276</v>
      </c>
      <c r="F398" s="3" t="s">
        <v>25</v>
      </c>
      <c r="G398" s="1" t="s">
        <v>764</v>
      </c>
      <c r="H398" s="1">
        <v>700</v>
      </c>
      <c r="I398" s="1">
        <v>441</v>
      </c>
      <c r="J398" s="2">
        <v>0.37</v>
      </c>
      <c r="K398">
        <f t="shared" si="18"/>
        <v>163.16999999999999</v>
      </c>
      <c r="L398">
        <f t="shared" si="19"/>
        <v>277.83000000000004</v>
      </c>
      <c r="M398" t="str">
        <f t="shared" si="20"/>
        <v>Sep-2015</v>
      </c>
    </row>
    <row r="399" spans="1:13" x14ac:dyDescent="0.3">
      <c r="A399" t="s">
        <v>765</v>
      </c>
      <c r="B399" s="1" t="s">
        <v>150</v>
      </c>
      <c r="C399" s="1" t="s">
        <v>151</v>
      </c>
      <c r="D399" s="1" t="s">
        <v>13</v>
      </c>
      <c r="E399" s="5">
        <v>41867</v>
      </c>
      <c r="F399" s="3" t="s">
        <v>104</v>
      </c>
      <c r="G399" s="1" t="s">
        <v>152</v>
      </c>
      <c r="H399" s="1">
        <v>70</v>
      </c>
      <c r="I399" s="1">
        <v>60</v>
      </c>
      <c r="J399" s="2">
        <v>0.1429</v>
      </c>
      <c r="K399">
        <f t="shared" si="18"/>
        <v>8.5739999999999998</v>
      </c>
      <c r="L399">
        <f t="shared" si="19"/>
        <v>51.426000000000002</v>
      </c>
      <c r="M399" t="str">
        <f t="shared" si="20"/>
        <v>Aug-2014</v>
      </c>
    </row>
    <row r="400" spans="1:13" x14ac:dyDescent="0.3">
      <c r="A400" t="s">
        <v>766</v>
      </c>
      <c r="B400" s="1" t="s">
        <v>39</v>
      </c>
      <c r="C400" s="1" t="s">
        <v>40</v>
      </c>
      <c r="D400" s="1" t="s">
        <v>35</v>
      </c>
      <c r="E400" s="5">
        <v>42052</v>
      </c>
      <c r="F400" s="3" t="s">
        <v>46</v>
      </c>
      <c r="G400" s="1" t="s">
        <v>164</v>
      </c>
      <c r="H400" s="1">
        <v>500</v>
      </c>
      <c r="I400" s="1">
        <v>495</v>
      </c>
      <c r="J400" s="2">
        <v>0.01</v>
      </c>
      <c r="K400">
        <f t="shared" si="18"/>
        <v>4.95</v>
      </c>
      <c r="L400">
        <f t="shared" si="19"/>
        <v>490.05</v>
      </c>
      <c r="M400" t="str">
        <f t="shared" si="20"/>
        <v>Feb-2015</v>
      </c>
    </row>
    <row r="401" spans="1:13" x14ac:dyDescent="0.3">
      <c r="A401" t="s">
        <v>767</v>
      </c>
      <c r="B401" s="1" t="s">
        <v>187</v>
      </c>
      <c r="C401" s="1" t="s">
        <v>188</v>
      </c>
      <c r="D401" s="1" t="s">
        <v>13</v>
      </c>
      <c r="E401" s="5">
        <v>42940</v>
      </c>
      <c r="F401" s="3" t="s">
        <v>41</v>
      </c>
      <c r="G401" s="1" t="s">
        <v>415</v>
      </c>
      <c r="H401" s="1">
        <v>30</v>
      </c>
      <c r="I401" s="1">
        <v>29</v>
      </c>
      <c r="J401" s="2">
        <v>3.3300000000000003E-2</v>
      </c>
      <c r="K401">
        <f t="shared" si="18"/>
        <v>0.96570000000000011</v>
      </c>
      <c r="L401">
        <f t="shared" si="19"/>
        <v>28.034299999999998</v>
      </c>
      <c r="M401" t="str">
        <f t="shared" si="20"/>
        <v>Jul-2017</v>
      </c>
    </row>
    <row r="402" spans="1:13" x14ac:dyDescent="0.3">
      <c r="A402" t="s">
        <v>768</v>
      </c>
      <c r="B402" s="1" t="s">
        <v>95</v>
      </c>
      <c r="C402" s="1" t="s">
        <v>96</v>
      </c>
      <c r="D402" s="1" t="s">
        <v>13</v>
      </c>
      <c r="E402" s="5">
        <v>42690</v>
      </c>
      <c r="F402" s="3" t="s">
        <v>41</v>
      </c>
      <c r="G402" s="1" t="s">
        <v>769</v>
      </c>
      <c r="H402" s="1">
        <v>30</v>
      </c>
      <c r="I402" s="1">
        <v>29</v>
      </c>
      <c r="J402" s="2">
        <v>3.3300000000000003E-2</v>
      </c>
      <c r="K402">
        <f t="shared" si="18"/>
        <v>0.96570000000000011</v>
      </c>
      <c r="L402">
        <f t="shared" si="19"/>
        <v>28.034299999999998</v>
      </c>
      <c r="M402" t="str">
        <f t="shared" si="20"/>
        <v>Nov-2016</v>
      </c>
    </row>
    <row r="403" spans="1:13" x14ac:dyDescent="0.3">
      <c r="A403" t="s">
        <v>770</v>
      </c>
      <c r="B403" s="1" t="s">
        <v>150</v>
      </c>
      <c r="C403" s="1" t="s">
        <v>151</v>
      </c>
      <c r="D403" s="1" t="s">
        <v>13</v>
      </c>
      <c r="E403" s="5">
        <v>42022</v>
      </c>
      <c r="F403" s="3" t="s">
        <v>72</v>
      </c>
      <c r="G403" s="1" t="s">
        <v>771</v>
      </c>
      <c r="H403" s="1">
        <v>500</v>
      </c>
      <c r="I403" s="1">
        <v>500</v>
      </c>
      <c r="J403" s="2">
        <v>0</v>
      </c>
      <c r="K403">
        <f t="shared" si="18"/>
        <v>0</v>
      </c>
      <c r="L403">
        <f t="shared" si="19"/>
        <v>500</v>
      </c>
      <c r="M403" t="str">
        <f t="shared" si="20"/>
        <v>Jan-2015</v>
      </c>
    </row>
    <row r="404" spans="1:13" x14ac:dyDescent="0.3">
      <c r="A404" t="s">
        <v>772</v>
      </c>
      <c r="B404" s="1" t="s">
        <v>174</v>
      </c>
      <c r="C404" s="1" t="s">
        <v>175</v>
      </c>
      <c r="D404" s="1" t="s">
        <v>13</v>
      </c>
      <c r="E404" s="5">
        <v>42301</v>
      </c>
      <c r="F404" s="3" t="s">
        <v>61</v>
      </c>
      <c r="G404" s="1" t="s">
        <v>607</v>
      </c>
      <c r="H404" s="1">
        <v>1000</v>
      </c>
      <c r="I404" s="1">
        <v>510</v>
      </c>
      <c r="J404" s="2">
        <v>0.49</v>
      </c>
      <c r="K404">
        <f t="shared" si="18"/>
        <v>249.9</v>
      </c>
      <c r="L404">
        <f t="shared" si="19"/>
        <v>260.10000000000002</v>
      </c>
      <c r="M404" t="str">
        <f t="shared" si="20"/>
        <v>Oct-2015</v>
      </c>
    </row>
    <row r="405" spans="1:13" x14ac:dyDescent="0.3">
      <c r="A405" t="s">
        <v>773</v>
      </c>
      <c r="B405" s="1" t="s">
        <v>224</v>
      </c>
      <c r="C405" s="1" t="s">
        <v>50</v>
      </c>
      <c r="D405" s="1" t="s">
        <v>24</v>
      </c>
      <c r="E405" s="5">
        <v>41989</v>
      </c>
      <c r="F405" s="3" t="s">
        <v>55</v>
      </c>
      <c r="G405" s="1" t="s">
        <v>774</v>
      </c>
      <c r="H405" s="1">
        <v>800</v>
      </c>
      <c r="I405" s="1">
        <v>488</v>
      </c>
      <c r="J405" s="2">
        <v>0.39</v>
      </c>
      <c r="K405">
        <f t="shared" si="18"/>
        <v>190.32</v>
      </c>
      <c r="L405">
        <f t="shared" si="19"/>
        <v>297.68</v>
      </c>
      <c r="M405" t="str">
        <f t="shared" si="20"/>
        <v>Dec-2014</v>
      </c>
    </row>
    <row r="406" spans="1:13" x14ac:dyDescent="0.3">
      <c r="A406" t="s">
        <v>775</v>
      </c>
      <c r="B406" s="1" t="s">
        <v>17</v>
      </c>
      <c r="C406" s="1" t="s">
        <v>18</v>
      </c>
      <c r="D406" s="1" t="s">
        <v>19</v>
      </c>
      <c r="E406" s="5">
        <v>42352</v>
      </c>
      <c r="F406" s="3" t="s">
        <v>36</v>
      </c>
      <c r="G406" s="1" t="s">
        <v>776</v>
      </c>
      <c r="H406" s="1">
        <v>50</v>
      </c>
      <c r="I406" s="1">
        <v>49</v>
      </c>
      <c r="J406" s="2">
        <v>0.02</v>
      </c>
      <c r="K406">
        <f t="shared" si="18"/>
        <v>0.98</v>
      </c>
      <c r="L406">
        <f t="shared" si="19"/>
        <v>48.02</v>
      </c>
      <c r="M406" t="str">
        <f t="shared" si="20"/>
        <v>Dec-2015</v>
      </c>
    </row>
    <row r="407" spans="1:13" x14ac:dyDescent="0.3">
      <c r="A407" t="s">
        <v>777</v>
      </c>
      <c r="B407" s="1" t="s">
        <v>255</v>
      </c>
      <c r="C407" s="1" t="s">
        <v>256</v>
      </c>
      <c r="D407" s="1" t="s">
        <v>13</v>
      </c>
      <c r="E407" s="5">
        <v>42929</v>
      </c>
      <c r="F407" s="3" t="s">
        <v>14</v>
      </c>
      <c r="G407" s="1" t="s">
        <v>522</v>
      </c>
      <c r="H407" s="1">
        <v>80</v>
      </c>
      <c r="I407" s="1">
        <v>78</v>
      </c>
      <c r="J407" s="2">
        <v>2.5000000000000001E-2</v>
      </c>
      <c r="K407">
        <f t="shared" si="18"/>
        <v>1.9500000000000002</v>
      </c>
      <c r="L407">
        <f t="shared" si="19"/>
        <v>76.05</v>
      </c>
      <c r="M407" t="str">
        <f t="shared" si="20"/>
        <v>Jul-2017</v>
      </c>
    </row>
    <row r="408" spans="1:13" x14ac:dyDescent="0.3">
      <c r="A408" t="s">
        <v>778</v>
      </c>
      <c r="B408" s="1" t="s">
        <v>241</v>
      </c>
      <c r="C408" s="1" t="s">
        <v>242</v>
      </c>
      <c r="D408" s="1" t="s">
        <v>13</v>
      </c>
      <c r="E408" s="5">
        <v>43399</v>
      </c>
      <c r="F408" s="3" t="s">
        <v>122</v>
      </c>
      <c r="G408" s="1" t="s">
        <v>779</v>
      </c>
      <c r="H408" s="1">
        <v>50</v>
      </c>
      <c r="I408" s="1">
        <v>48</v>
      </c>
      <c r="J408" s="2">
        <v>0.04</v>
      </c>
      <c r="K408">
        <f t="shared" si="18"/>
        <v>1.92</v>
      </c>
      <c r="L408">
        <f t="shared" si="19"/>
        <v>46.08</v>
      </c>
      <c r="M408" t="str">
        <f t="shared" si="20"/>
        <v>Oct-2018</v>
      </c>
    </row>
    <row r="409" spans="1:13" x14ac:dyDescent="0.3">
      <c r="A409" t="s">
        <v>780</v>
      </c>
      <c r="B409" s="1" t="s">
        <v>59</v>
      </c>
      <c r="C409" s="1" t="s">
        <v>60</v>
      </c>
      <c r="D409" s="1" t="s">
        <v>13</v>
      </c>
      <c r="E409" s="5">
        <v>42610</v>
      </c>
      <c r="F409" s="3" t="s">
        <v>122</v>
      </c>
      <c r="G409" s="1" t="s">
        <v>781</v>
      </c>
      <c r="H409" s="1">
        <v>50</v>
      </c>
      <c r="I409" s="1">
        <v>50</v>
      </c>
      <c r="J409" s="2">
        <v>0</v>
      </c>
      <c r="K409">
        <f t="shared" si="18"/>
        <v>0</v>
      </c>
      <c r="L409">
        <f t="shared" si="19"/>
        <v>50</v>
      </c>
      <c r="M409" t="str">
        <f t="shared" si="20"/>
        <v>Aug-2016</v>
      </c>
    </row>
    <row r="410" spans="1:13" x14ac:dyDescent="0.3">
      <c r="A410" t="s">
        <v>782</v>
      </c>
      <c r="B410" s="1" t="s">
        <v>64</v>
      </c>
      <c r="C410" s="1" t="s">
        <v>65</v>
      </c>
      <c r="D410" s="1" t="s">
        <v>35</v>
      </c>
      <c r="E410" s="5">
        <v>41963</v>
      </c>
      <c r="F410" s="3" t="s">
        <v>115</v>
      </c>
      <c r="G410" s="1" t="s">
        <v>783</v>
      </c>
      <c r="H410" s="1">
        <v>250</v>
      </c>
      <c r="I410" s="1">
        <v>250</v>
      </c>
      <c r="J410" s="2">
        <v>0</v>
      </c>
      <c r="K410">
        <f t="shared" si="18"/>
        <v>0</v>
      </c>
      <c r="L410">
        <f t="shared" si="19"/>
        <v>250</v>
      </c>
      <c r="M410" t="str">
        <f t="shared" si="20"/>
        <v>Nov-2014</v>
      </c>
    </row>
    <row r="411" spans="1:13" x14ac:dyDescent="0.3">
      <c r="A411" t="s">
        <v>784</v>
      </c>
      <c r="B411" s="1" t="s">
        <v>85</v>
      </c>
      <c r="C411" s="1" t="s">
        <v>86</v>
      </c>
      <c r="D411" s="1" t="s">
        <v>13</v>
      </c>
      <c r="E411" s="5">
        <v>43343</v>
      </c>
      <c r="F411" s="3" t="s">
        <v>104</v>
      </c>
      <c r="G411" s="1" t="s">
        <v>581</v>
      </c>
      <c r="H411" s="1">
        <v>70</v>
      </c>
      <c r="I411" s="1">
        <v>67</v>
      </c>
      <c r="J411" s="2">
        <v>4.2900000000000001E-2</v>
      </c>
      <c r="K411">
        <f t="shared" si="18"/>
        <v>2.8742999999999999</v>
      </c>
      <c r="L411">
        <f t="shared" si="19"/>
        <v>64.125699999999995</v>
      </c>
      <c r="M411" t="str">
        <f t="shared" si="20"/>
        <v>Aug-2018</v>
      </c>
    </row>
    <row r="412" spans="1:13" x14ac:dyDescent="0.3">
      <c r="A412" t="s">
        <v>785</v>
      </c>
      <c r="B412" s="1" t="s">
        <v>33</v>
      </c>
      <c r="C412" s="1" t="s">
        <v>34</v>
      </c>
      <c r="D412" s="1" t="s">
        <v>35</v>
      </c>
      <c r="E412" s="5">
        <v>42656</v>
      </c>
      <c r="F412" s="3" t="s">
        <v>25</v>
      </c>
      <c r="G412" s="1" t="s">
        <v>37</v>
      </c>
      <c r="H412" s="1">
        <v>700</v>
      </c>
      <c r="I412" s="1">
        <v>693</v>
      </c>
      <c r="J412" s="2">
        <v>0.01</v>
      </c>
      <c r="K412">
        <f t="shared" si="18"/>
        <v>6.93</v>
      </c>
      <c r="L412">
        <f t="shared" si="19"/>
        <v>686.07</v>
      </c>
      <c r="M412" t="str">
        <f t="shared" si="20"/>
        <v>Oct-2016</v>
      </c>
    </row>
    <row r="413" spans="1:13" x14ac:dyDescent="0.3">
      <c r="A413" t="s">
        <v>786</v>
      </c>
      <c r="B413" s="1" t="s">
        <v>39</v>
      </c>
      <c r="C413" s="1" t="s">
        <v>40</v>
      </c>
      <c r="D413" s="1" t="s">
        <v>35</v>
      </c>
      <c r="E413" s="5">
        <v>41902</v>
      </c>
      <c r="F413" s="3" t="s">
        <v>41</v>
      </c>
      <c r="G413" s="1" t="s">
        <v>214</v>
      </c>
      <c r="H413" s="1">
        <v>30</v>
      </c>
      <c r="I413" s="1">
        <v>27</v>
      </c>
      <c r="J413" s="2">
        <v>0.1</v>
      </c>
      <c r="K413">
        <f t="shared" si="18"/>
        <v>2.7</v>
      </c>
      <c r="L413">
        <f t="shared" si="19"/>
        <v>24.3</v>
      </c>
      <c r="M413" t="str">
        <f t="shared" si="20"/>
        <v>Sep-2014</v>
      </c>
    </row>
    <row r="414" spans="1:13" x14ac:dyDescent="0.3">
      <c r="A414" t="s">
        <v>787</v>
      </c>
      <c r="B414" s="1" t="s">
        <v>174</v>
      </c>
      <c r="C414" s="1" t="s">
        <v>175</v>
      </c>
      <c r="D414" s="1" t="s">
        <v>13</v>
      </c>
      <c r="E414" s="5">
        <v>41934</v>
      </c>
      <c r="F414" s="3" t="s">
        <v>36</v>
      </c>
      <c r="G414" s="1" t="s">
        <v>788</v>
      </c>
      <c r="H414" s="1">
        <v>50</v>
      </c>
      <c r="I414" s="1">
        <v>49</v>
      </c>
      <c r="J414" s="2">
        <v>0.02</v>
      </c>
      <c r="K414">
        <f t="shared" si="18"/>
        <v>0.98</v>
      </c>
      <c r="L414">
        <f t="shared" si="19"/>
        <v>48.02</v>
      </c>
      <c r="M414" t="str">
        <f t="shared" si="20"/>
        <v>Oct-2014</v>
      </c>
    </row>
    <row r="415" spans="1:13" x14ac:dyDescent="0.3">
      <c r="A415" t="s">
        <v>789</v>
      </c>
      <c r="B415" s="1" t="s">
        <v>28</v>
      </c>
      <c r="C415" s="1" t="s">
        <v>29</v>
      </c>
      <c r="D415" s="1" t="s">
        <v>13</v>
      </c>
      <c r="E415" s="5">
        <v>43153</v>
      </c>
      <c r="F415" s="3" t="s">
        <v>55</v>
      </c>
      <c r="G415" s="1" t="s">
        <v>445</v>
      </c>
      <c r="H415" s="1">
        <v>800</v>
      </c>
      <c r="I415" s="1">
        <v>664</v>
      </c>
      <c r="J415" s="2">
        <v>0.17</v>
      </c>
      <c r="K415">
        <f t="shared" si="18"/>
        <v>112.88000000000001</v>
      </c>
      <c r="L415">
        <f t="shared" si="19"/>
        <v>551.12</v>
      </c>
      <c r="M415" t="str">
        <f t="shared" si="20"/>
        <v>Feb-2018</v>
      </c>
    </row>
    <row r="416" spans="1:13" x14ac:dyDescent="0.3">
      <c r="A416" t="s">
        <v>790</v>
      </c>
      <c r="B416" s="1" t="s">
        <v>187</v>
      </c>
      <c r="C416" s="1" t="s">
        <v>188</v>
      </c>
      <c r="D416" s="1" t="s">
        <v>13</v>
      </c>
      <c r="E416" s="5">
        <v>43022</v>
      </c>
      <c r="F416" s="3" t="s">
        <v>55</v>
      </c>
      <c r="G416" s="1" t="s">
        <v>791</v>
      </c>
      <c r="H416" s="1">
        <v>800</v>
      </c>
      <c r="I416" s="1">
        <v>648</v>
      </c>
      <c r="J416" s="2">
        <v>0.19</v>
      </c>
      <c r="K416">
        <f t="shared" si="18"/>
        <v>123.12</v>
      </c>
      <c r="L416">
        <f t="shared" si="19"/>
        <v>524.88</v>
      </c>
      <c r="M416" t="str">
        <f t="shared" si="20"/>
        <v>Oct-2017</v>
      </c>
    </row>
    <row r="417" spans="1:13" x14ac:dyDescent="0.3">
      <c r="A417" t="s">
        <v>792</v>
      </c>
      <c r="B417" s="1" t="s">
        <v>131</v>
      </c>
      <c r="C417" s="1" t="s">
        <v>108</v>
      </c>
      <c r="D417" s="1" t="s">
        <v>19</v>
      </c>
      <c r="E417" s="5">
        <v>43420</v>
      </c>
      <c r="F417" s="3" t="s">
        <v>41</v>
      </c>
      <c r="G417" s="1" t="s">
        <v>793</v>
      </c>
      <c r="H417" s="1">
        <v>30</v>
      </c>
      <c r="I417" s="1">
        <v>29</v>
      </c>
      <c r="J417" s="2">
        <v>3.3300000000000003E-2</v>
      </c>
      <c r="K417">
        <f t="shared" si="18"/>
        <v>0.96570000000000011</v>
      </c>
      <c r="L417">
        <f t="shared" si="19"/>
        <v>28.034299999999998</v>
      </c>
      <c r="M417" t="str">
        <f t="shared" si="20"/>
        <v>Nov-2018</v>
      </c>
    </row>
    <row r="418" spans="1:13" x14ac:dyDescent="0.3">
      <c r="A418" t="s">
        <v>794</v>
      </c>
      <c r="B418" s="1" t="s">
        <v>53</v>
      </c>
      <c r="C418" s="1" t="s">
        <v>54</v>
      </c>
      <c r="D418" s="1" t="s">
        <v>13</v>
      </c>
      <c r="E418" s="5">
        <v>42482</v>
      </c>
      <c r="F418" s="3" t="s">
        <v>46</v>
      </c>
      <c r="G418" s="1" t="s">
        <v>795</v>
      </c>
      <c r="H418" s="1">
        <v>500</v>
      </c>
      <c r="I418" s="1">
        <v>475</v>
      </c>
      <c r="J418" s="2">
        <v>0.05</v>
      </c>
      <c r="K418">
        <f t="shared" si="18"/>
        <v>23.75</v>
      </c>
      <c r="L418">
        <f t="shared" si="19"/>
        <v>451.25</v>
      </c>
      <c r="M418" t="str">
        <f t="shared" si="20"/>
        <v>Apr-2016</v>
      </c>
    </row>
    <row r="419" spans="1:13" x14ac:dyDescent="0.3">
      <c r="A419" t="s">
        <v>796</v>
      </c>
      <c r="B419" s="1" t="s">
        <v>187</v>
      </c>
      <c r="C419" s="1" t="s">
        <v>188</v>
      </c>
      <c r="D419" s="1" t="s">
        <v>13</v>
      </c>
      <c r="E419" s="5">
        <v>42053</v>
      </c>
      <c r="F419" s="3" t="s">
        <v>72</v>
      </c>
      <c r="G419" s="1" t="s">
        <v>797</v>
      </c>
      <c r="H419" s="1">
        <v>500</v>
      </c>
      <c r="I419" s="1">
        <v>495</v>
      </c>
      <c r="J419" s="2">
        <v>0.01</v>
      </c>
      <c r="K419">
        <f t="shared" si="18"/>
        <v>4.95</v>
      </c>
      <c r="L419">
        <f t="shared" si="19"/>
        <v>490.05</v>
      </c>
      <c r="M419" t="str">
        <f t="shared" si="20"/>
        <v>Feb-2015</v>
      </c>
    </row>
    <row r="420" spans="1:13" x14ac:dyDescent="0.3">
      <c r="A420" t="s">
        <v>798</v>
      </c>
      <c r="B420" s="1" t="s">
        <v>11</v>
      </c>
      <c r="C420" s="1" t="s">
        <v>12</v>
      </c>
      <c r="D420" s="1" t="s">
        <v>13</v>
      </c>
      <c r="E420" s="5">
        <v>42965</v>
      </c>
      <c r="F420" s="3" t="s">
        <v>61</v>
      </c>
      <c r="G420" s="1" t="s">
        <v>276</v>
      </c>
      <c r="H420" s="1">
        <v>1000</v>
      </c>
      <c r="I420" s="1">
        <v>580</v>
      </c>
      <c r="J420" s="2">
        <v>0.42</v>
      </c>
      <c r="K420">
        <f t="shared" si="18"/>
        <v>243.6</v>
      </c>
      <c r="L420">
        <f t="shared" si="19"/>
        <v>336.4</v>
      </c>
      <c r="M420" t="str">
        <f t="shared" si="20"/>
        <v>Aug-2017</v>
      </c>
    </row>
    <row r="421" spans="1:13" x14ac:dyDescent="0.3">
      <c r="A421" t="s">
        <v>799</v>
      </c>
      <c r="B421" s="1" t="s">
        <v>255</v>
      </c>
      <c r="C421" s="1" t="s">
        <v>256</v>
      </c>
      <c r="D421" s="1" t="s">
        <v>13</v>
      </c>
      <c r="E421" s="5">
        <v>41721</v>
      </c>
      <c r="F421" s="3" t="s">
        <v>122</v>
      </c>
      <c r="G421" s="1" t="s">
        <v>800</v>
      </c>
      <c r="H421" s="1">
        <v>50</v>
      </c>
      <c r="I421" s="1">
        <v>47</v>
      </c>
      <c r="J421" s="2">
        <v>0.06</v>
      </c>
      <c r="K421">
        <f t="shared" si="18"/>
        <v>2.82</v>
      </c>
      <c r="L421">
        <f t="shared" si="19"/>
        <v>44.18</v>
      </c>
      <c r="M421" t="str">
        <f t="shared" si="20"/>
        <v>Mar-2014</v>
      </c>
    </row>
    <row r="422" spans="1:13" x14ac:dyDescent="0.3">
      <c r="A422" t="s">
        <v>801</v>
      </c>
      <c r="B422" s="1" t="s">
        <v>264</v>
      </c>
      <c r="C422" s="1" t="s">
        <v>265</v>
      </c>
      <c r="D422" s="1" t="s">
        <v>13</v>
      </c>
      <c r="E422" s="5">
        <v>42703</v>
      </c>
      <c r="F422" s="3" t="s">
        <v>104</v>
      </c>
      <c r="G422" s="1" t="s">
        <v>802</v>
      </c>
      <c r="H422" s="1">
        <v>70</v>
      </c>
      <c r="I422" s="1">
        <v>48</v>
      </c>
      <c r="J422" s="2">
        <v>0.31430000000000002</v>
      </c>
      <c r="K422">
        <f t="shared" si="18"/>
        <v>15.086400000000001</v>
      </c>
      <c r="L422">
        <f t="shared" si="19"/>
        <v>32.913600000000002</v>
      </c>
      <c r="M422" t="str">
        <f t="shared" si="20"/>
        <v>Nov-2016</v>
      </c>
    </row>
    <row r="423" spans="1:13" x14ac:dyDescent="0.3">
      <c r="A423" t="s">
        <v>803</v>
      </c>
      <c r="B423" s="1" t="s">
        <v>187</v>
      </c>
      <c r="C423" s="1" t="s">
        <v>188</v>
      </c>
      <c r="D423" s="1" t="s">
        <v>13</v>
      </c>
      <c r="E423" s="5">
        <v>43329</v>
      </c>
      <c r="F423" s="3" t="s">
        <v>61</v>
      </c>
      <c r="G423" s="1" t="s">
        <v>741</v>
      </c>
      <c r="H423" s="1">
        <v>1000</v>
      </c>
      <c r="I423" s="1">
        <v>750</v>
      </c>
      <c r="J423" s="2">
        <v>0.25</v>
      </c>
      <c r="K423">
        <f t="shared" si="18"/>
        <v>187.5</v>
      </c>
      <c r="L423">
        <f t="shared" si="19"/>
        <v>562.5</v>
      </c>
      <c r="M423" t="str">
        <f t="shared" si="20"/>
        <v>Aug-2018</v>
      </c>
    </row>
    <row r="424" spans="1:13" x14ac:dyDescent="0.3">
      <c r="A424" t="s">
        <v>804</v>
      </c>
      <c r="B424" s="1" t="s">
        <v>255</v>
      </c>
      <c r="C424" s="1" t="s">
        <v>256</v>
      </c>
      <c r="D424" s="1" t="s">
        <v>13</v>
      </c>
      <c r="E424" s="5">
        <v>41970</v>
      </c>
      <c r="F424" s="3" t="s">
        <v>41</v>
      </c>
      <c r="G424" s="1" t="s">
        <v>805</v>
      </c>
      <c r="H424" s="1">
        <v>30</v>
      </c>
      <c r="I424" s="1">
        <v>25</v>
      </c>
      <c r="J424" s="2">
        <v>0.16669999999999999</v>
      </c>
      <c r="K424">
        <f t="shared" si="18"/>
        <v>4.1674999999999995</v>
      </c>
      <c r="L424">
        <f t="shared" si="19"/>
        <v>20.8325</v>
      </c>
      <c r="M424" t="str">
        <f t="shared" si="20"/>
        <v>Nov-2014</v>
      </c>
    </row>
    <row r="425" spans="1:13" x14ac:dyDescent="0.3">
      <c r="A425" t="s">
        <v>806</v>
      </c>
      <c r="B425" s="1" t="s">
        <v>134</v>
      </c>
      <c r="C425" s="1" t="s">
        <v>92</v>
      </c>
      <c r="D425" s="1" t="s">
        <v>35</v>
      </c>
      <c r="E425" s="5">
        <v>42489</v>
      </c>
      <c r="F425" s="3" t="s">
        <v>41</v>
      </c>
      <c r="G425" s="1" t="s">
        <v>807</v>
      </c>
      <c r="H425" s="1">
        <v>30</v>
      </c>
      <c r="I425" s="1">
        <v>27</v>
      </c>
      <c r="J425" s="2">
        <v>0.1</v>
      </c>
      <c r="K425">
        <f t="shared" si="18"/>
        <v>2.7</v>
      </c>
      <c r="L425">
        <f t="shared" si="19"/>
        <v>24.3</v>
      </c>
      <c r="M425" t="str">
        <f t="shared" si="20"/>
        <v>Apr-2016</v>
      </c>
    </row>
    <row r="426" spans="1:13" x14ac:dyDescent="0.3">
      <c r="A426" t="s">
        <v>808</v>
      </c>
      <c r="B426" s="1" t="s">
        <v>270</v>
      </c>
      <c r="C426" s="1" t="s">
        <v>271</v>
      </c>
      <c r="D426" s="1" t="s">
        <v>35</v>
      </c>
      <c r="E426" s="5">
        <v>43086</v>
      </c>
      <c r="F426" s="3" t="s">
        <v>72</v>
      </c>
      <c r="G426" s="1" t="s">
        <v>809</v>
      </c>
      <c r="H426" s="1">
        <v>500</v>
      </c>
      <c r="I426" s="1">
        <v>490</v>
      </c>
      <c r="J426" s="2">
        <v>0.02</v>
      </c>
      <c r="K426">
        <f t="shared" si="18"/>
        <v>9.8000000000000007</v>
      </c>
      <c r="L426">
        <f t="shared" si="19"/>
        <v>480.2</v>
      </c>
      <c r="M426" t="str">
        <f t="shared" si="20"/>
        <v>Dec-2017</v>
      </c>
    </row>
    <row r="427" spans="1:13" x14ac:dyDescent="0.3">
      <c r="A427" t="s">
        <v>810</v>
      </c>
      <c r="B427" s="1" t="s">
        <v>107</v>
      </c>
      <c r="C427" s="1" t="s">
        <v>108</v>
      </c>
      <c r="D427" s="1" t="s">
        <v>19</v>
      </c>
      <c r="E427" s="5">
        <v>42208</v>
      </c>
      <c r="F427" s="3" t="s">
        <v>72</v>
      </c>
      <c r="G427" s="1" t="s">
        <v>109</v>
      </c>
      <c r="H427" s="1">
        <v>500</v>
      </c>
      <c r="I427" s="1">
        <v>500</v>
      </c>
      <c r="J427" s="2">
        <v>0</v>
      </c>
      <c r="K427">
        <f t="shared" si="18"/>
        <v>0</v>
      </c>
      <c r="L427">
        <f t="shared" si="19"/>
        <v>500</v>
      </c>
      <c r="M427" t="str">
        <f t="shared" si="20"/>
        <v>Jul-2015</v>
      </c>
    </row>
    <row r="428" spans="1:13" x14ac:dyDescent="0.3">
      <c r="A428" t="s">
        <v>811</v>
      </c>
      <c r="B428" s="1" t="s">
        <v>127</v>
      </c>
      <c r="C428" s="1" t="s">
        <v>128</v>
      </c>
      <c r="D428" s="1" t="s">
        <v>13</v>
      </c>
      <c r="E428" s="5">
        <v>42337</v>
      </c>
      <c r="F428" s="3" t="s">
        <v>72</v>
      </c>
      <c r="G428" s="1" t="s">
        <v>210</v>
      </c>
      <c r="H428" s="1">
        <v>500</v>
      </c>
      <c r="I428" s="1">
        <v>495</v>
      </c>
      <c r="J428" s="2">
        <v>0.01</v>
      </c>
      <c r="K428">
        <f t="shared" si="18"/>
        <v>4.95</v>
      </c>
      <c r="L428">
        <f t="shared" si="19"/>
        <v>490.05</v>
      </c>
      <c r="M428" t="str">
        <f t="shared" si="20"/>
        <v>Nov-2015</v>
      </c>
    </row>
    <row r="429" spans="1:13" x14ac:dyDescent="0.3">
      <c r="A429" t="s">
        <v>812</v>
      </c>
      <c r="B429" s="1" t="s">
        <v>434</v>
      </c>
      <c r="C429" s="1" t="s">
        <v>435</v>
      </c>
      <c r="D429" s="1" t="s">
        <v>24</v>
      </c>
      <c r="E429" s="5">
        <v>41876</v>
      </c>
      <c r="F429" s="3" t="s">
        <v>30</v>
      </c>
      <c r="G429" s="1" t="s">
        <v>550</v>
      </c>
      <c r="H429" s="1">
        <v>150</v>
      </c>
      <c r="I429" s="1">
        <v>119</v>
      </c>
      <c r="J429" s="2">
        <v>0.20669999999999999</v>
      </c>
      <c r="K429">
        <f t="shared" si="18"/>
        <v>24.597300000000001</v>
      </c>
      <c r="L429">
        <f t="shared" si="19"/>
        <v>94.402699999999996</v>
      </c>
      <c r="M429" t="str">
        <f t="shared" si="20"/>
        <v>Aug-2014</v>
      </c>
    </row>
    <row r="430" spans="1:13" x14ac:dyDescent="0.3">
      <c r="A430" t="s">
        <v>813</v>
      </c>
      <c r="B430" s="1" t="s">
        <v>53</v>
      </c>
      <c r="C430" s="1" t="s">
        <v>54</v>
      </c>
      <c r="D430" s="1" t="s">
        <v>13</v>
      </c>
      <c r="E430" s="5">
        <v>42611</v>
      </c>
      <c r="F430" s="3" t="s">
        <v>14</v>
      </c>
      <c r="G430" s="1" t="s">
        <v>814</v>
      </c>
      <c r="H430" s="1">
        <v>80</v>
      </c>
      <c r="I430" s="1">
        <v>79</v>
      </c>
      <c r="J430" s="2">
        <v>1.2500000000000001E-2</v>
      </c>
      <c r="K430">
        <f t="shared" si="18"/>
        <v>0.98750000000000004</v>
      </c>
      <c r="L430">
        <f t="shared" si="19"/>
        <v>78.012500000000003</v>
      </c>
      <c r="M430" t="str">
        <f t="shared" si="20"/>
        <v>Aug-2016</v>
      </c>
    </row>
    <row r="431" spans="1:13" x14ac:dyDescent="0.3">
      <c r="A431" t="s">
        <v>815</v>
      </c>
      <c r="B431" s="1" t="s">
        <v>400</v>
      </c>
      <c r="C431" s="1" t="s">
        <v>401</v>
      </c>
      <c r="D431" s="1" t="s">
        <v>13</v>
      </c>
      <c r="E431" s="5">
        <v>42884</v>
      </c>
      <c r="F431" s="3" t="s">
        <v>30</v>
      </c>
      <c r="G431" s="1" t="s">
        <v>402</v>
      </c>
      <c r="H431" s="1">
        <v>150</v>
      </c>
      <c r="I431" s="1">
        <v>99</v>
      </c>
      <c r="J431" s="2">
        <v>0.34</v>
      </c>
      <c r="K431">
        <f t="shared" si="18"/>
        <v>33.660000000000004</v>
      </c>
      <c r="L431">
        <f t="shared" si="19"/>
        <v>65.34</v>
      </c>
      <c r="M431" t="str">
        <f t="shared" si="20"/>
        <v>May-2017</v>
      </c>
    </row>
    <row r="432" spans="1:13" x14ac:dyDescent="0.3">
      <c r="A432" t="s">
        <v>816</v>
      </c>
      <c r="B432" s="1" t="s">
        <v>107</v>
      </c>
      <c r="C432" s="1" t="s">
        <v>108</v>
      </c>
      <c r="D432" s="1" t="s">
        <v>19</v>
      </c>
      <c r="E432" s="5">
        <v>42397</v>
      </c>
      <c r="F432" s="3" t="s">
        <v>46</v>
      </c>
      <c r="G432" s="1" t="s">
        <v>817</v>
      </c>
      <c r="H432" s="1">
        <v>500</v>
      </c>
      <c r="I432" s="1">
        <v>425</v>
      </c>
      <c r="J432" s="2">
        <v>0.15</v>
      </c>
      <c r="K432">
        <f t="shared" si="18"/>
        <v>63.75</v>
      </c>
      <c r="L432">
        <f t="shared" si="19"/>
        <v>361.25</v>
      </c>
      <c r="M432" t="str">
        <f t="shared" si="20"/>
        <v>Jan-2016</v>
      </c>
    </row>
    <row r="433" spans="1:13" x14ac:dyDescent="0.3">
      <c r="A433" t="s">
        <v>818</v>
      </c>
      <c r="B433" s="1" t="s">
        <v>241</v>
      </c>
      <c r="C433" s="1" t="s">
        <v>242</v>
      </c>
      <c r="D433" s="1" t="s">
        <v>13</v>
      </c>
      <c r="E433" s="5">
        <v>42242</v>
      </c>
      <c r="F433" s="3" t="s">
        <v>61</v>
      </c>
      <c r="G433" s="1" t="s">
        <v>779</v>
      </c>
      <c r="H433" s="1">
        <v>1000</v>
      </c>
      <c r="I433" s="1">
        <v>810</v>
      </c>
      <c r="J433" s="2">
        <v>0.19</v>
      </c>
      <c r="K433">
        <f t="shared" si="18"/>
        <v>153.9</v>
      </c>
      <c r="L433">
        <f t="shared" si="19"/>
        <v>656.1</v>
      </c>
      <c r="M433" t="str">
        <f t="shared" si="20"/>
        <v>Aug-2015</v>
      </c>
    </row>
    <row r="434" spans="1:13" x14ac:dyDescent="0.3">
      <c r="A434" t="s">
        <v>819</v>
      </c>
      <c r="B434" s="1" t="s">
        <v>111</v>
      </c>
      <c r="C434" s="1" t="s">
        <v>82</v>
      </c>
      <c r="D434" s="1" t="s">
        <v>13</v>
      </c>
      <c r="E434" s="5">
        <v>43035</v>
      </c>
      <c r="F434" s="3" t="s">
        <v>115</v>
      </c>
      <c r="G434" s="1" t="s">
        <v>820</v>
      </c>
      <c r="H434" s="1">
        <v>250</v>
      </c>
      <c r="I434" s="1">
        <v>245</v>
      </c>
      <c r="J434" s="2">
        <v>0.02</v>
      </c>
      <c r="K434">
        <f t="shared" si="18"/>
        <v>4.9000000000000004</v>
      </c>
      <c r="L434">
        <f t="shared" si="19"/>
        <v>240.1</v>
      </c>
      <c r="M434" t="str">
        <f t="shared" si="20"/>
        <v>Oct-2017</v>
      </c>
    </row>
    <row r="435" spans="1:13" x14ac:dyDescent="0.3">
      <c r="A435" t="s">
        <v>821</v>
      </c>
      <c r="B435" s="1" t="s">
        <v>53</v>
      </c>
      <c r="C435" s="1" t="s">
        <v>54</v>
      </c>
      <c r="D435" s="1" t="s">
        <v>13</v>
      </c>
      <c r="E435" s="5">
        <v>42929</v>
      </c>
      <c r="F435" s="3" t="s">
        <v>122</v>
      </c>
      <c r="G435" s="1" t="s">
        <v>822</v>
      </c>
      <c r="H435" s="1">
        <v>50</v>
      </c>
      <c r="I435" s="1">
        <v>50</v>
      </c>
      <c r="J435" s="2">
        <v>0</v>
      </c>
      <c r="K435">
        <f t="shared" si="18"/>
        <v>0</v>
      </c>
      <c r="L435">
        <f t="shared" si="19"/>
        <v>50</v>
      </c>
      <c r="M435" t="str">
        <f t="shared" si="20"/>
        <v>Jul-2017</v>
      </c>
    </row>
    <row r="436" spans="1:13" x14ac:dyDescent="0.3">
      <c r="A436" t="s">
        <v>823</v>
      </c>
      <c r="B436" s="1" t="s">
        <v>150</v>
      </c>
      <c r="C436" s="1" t="s">
        <v>151</v>
      </c>
      <c r="D436" s="1" t="s">
        <v>13</v>
      </c>
      <c r="E436" s="5">
        <v>42602</v>
      </c>
      <c r="F436" s="3" t="s">
        <v>115</v>
      </c>
      <c r="G436" s="1" t="s">
        <v>824</v>
      </c>
      <c r="H436" s="1">
        <v>250</v>
      </c>
      <c r="I436" s="1">
        <v>235</v>
      </c>
      <c r="J436" s="2">
        <v>0.06</v>
      </c>
      <c r="K436">
        <f t="shared" si="18"/>
        <v>14.1</v>
      </c>
      <c r="L436">
        <f t="shared" si="19"/>
        <v>220.9</v>
      </c>
      <c r="M436" t="str">
        <f t="shared" si="20"/>
        <v>Aug-2016</v>
      </c>
    </row>
    <row r="437" spans="1:13" x14ac:dyDescent="0.3">
      <c r="A437" t="s">
        <v>825</v>
      </c>
      <c r="B437" s="1" t="s">
        <v>111</v>
      </c>
      <c r="C437" s="1" t="s">
        <v>82</v>
      </c>
      <c r="D437" s="1" t="s">
        <v>13</v>
      </c>
      <c r="E437" s="5">
        <v>43150</v>
      </c>
      <c r="F437" s="3" t="s">
        <v>115</v>
      </c>
      <c r="G437" s="1" t="s">
        <v>826</v>
      </c>
      <c r="H437" s="1">
        <v>250</v>
      </c>
      <c r="I437" s="1">
        <v>240</v>
      </c>
      <c r="J437" s="2">
        <v>0.04</v>
      </c>
      <c r="K437">
        <f t="shared" si="18"/>
        <v>9.6</v>
      </c>
      <c r="L437">
        <f t="shared" si="19"/>
        <v>230.4</v>
      </c>
      <c r="M437" t="str">
        <f t="shared" si="20"/>
        <v>Feb-2018</v>
      </c>
    </row>
    <row r="438" spans="1:13" x14ac:dyDescent="0.3">
      <c r="A438" t="s">
        <v>827</v>
      </c>
      <c r="B438" s="1" t="s">
        <v>434</v>
      </c>
      <c r="C438" s="1" t="s">
        <v>435</v>
      </c>
      <c r="D438" s="1" t="s">
        <v>24</v>
      </c>
      <c r="E438" s="5">
        <v>41933</v>
      </c>
      <c r="F438" s="3" t="s">
        <v>104</v>
      </c>
      <c r="G438" s="1" t="s">
        <v>828</v>
      </c>
      <c r="H438" s="1">
        <v>70</v>
      </c>
      <c r="I438" s="1">
        <v>69</v>
      </c>
      <c r="J438" s="2">
        <v>1.43E-2</v>
      </c>
      <c r="K438">
        <f t="shared" si="18"/>
        <v>0.98670000000000002</v>
      </c>
      <c r="L438">
        <f t="shared" si="19"/>
        <v>68.013300000000001</v>
      </c>
      <c r="M438" t="str">
        <f t="shared" si="20"/>
        <v>Oct-2014</v>
      </c>
    </row>
    <row r="439" spans="1:13" x14ac:dyDescent="0.3">
      <c r="A439" t="s">
        <v>829</v>
      </c>
      <c r="B439" s="1" t="s">
        <v>146</v>
      </c>
      <c r="C439" s="1" t="s">
        <v>147</v>
      </c>
      <c r="D439" s="1" t="s">
        <v>13</v>
      </c>
      <c r="E439" s="5">
        <v>41750</v>
      </c>
      <c r="F439" s="3" t="s">
        <v>104</v>
      </c>
      <c r="G439" s="1" t="s">
        <v>830</v>
      </c>
      <c r="H439" s="1">
        <v>70</v>
      </c>
      <c r="I439" s="1">
        <v>67</v>
      </c>
      <c r="J439" s="2">
        <v>4.2900000000000001E-2</v>
      </c>
      <c r="K439">
        <f t="shared" si="18"/>
        <v>2.8742999999999999</v>
      </c>
      <c r="L439">
        <f t="shared" si="19"/>
        <v>64.125699999999995</v>
      </c>
      <c r="M439" t="str">
        <f t="shared" si="20"/>
        <v>Apr-2014</v>
      </c>
    </row>
    <row r="440" spans="1:13" x14ac:dyDescent="0.3">
      <c r="A440" t="s">
        <v>831</v>
      </c>
      <c r="B440" s="1" t="s">
        <v>264</v>
      </c>
      <c r="C440" s="1" t="s">
        <v>265</v>
      </c>
      <c r="D440" s="1" t="s">
        <v>13</v>
      </c>
      <c r="E440" s="5">
        <v>42939</v>
      </c>
      <c r="F440" s="3" t="s">
        <v>36</v>
      </c>
      <c r="G440" s="1" t="s">
        <v>314</v>
      </c>
      <c r="H440" s="1">
        <v>50</v>
      </c>
      <c r="I440" s="1">
        <v>49</v>
      </c>
      <c r="J440" s="2">
        <v>0.02</v>
      </c>
      <c r="K440">
        <f t="shared" si="18"/>
        <v>0.98</v>
      </c>
      <c r="L440">
        <f t="shared" si="19"/>
        <v>48.02</v>
      </c>
      <c r="M440" t="str">
        <f t="shared" si="20"/>
        <v>Jul-2017</v>
      </c>
    </row>
    <row r="441" spans="1:13" x14ac:dyDescent="0.3">
      <c r="A441" t="s">
        <v>832</v>
      </c>
      <c r="B441" s="1" t="s">
        <v>85</v>
      </c>
      <c r="C441" s="1" t="s">
        <v>86</v>
      </c>
      <c r="D441" s="1" t="s">
        <v>13</v>
      </c>
      <c r="E441" s="5">
        <v>42245</v>
      </c>
      <c r="F441" s="3" t="s">
        <v>30</v>
      </c>
      <c r="G441" s="1" t="s">
        <v>87</v>
      </c>
      <c r="H441" s="1">
        <v>150</v>
      </c>
      <c r="I441" s="1">
        <v>98</v>
      </c>
      <c r="J441" s="2">
        <v>0.34670000000000001</v>
      </c>
      <c r="K441">
        <f t="shared" si="18"/>
        <v>33.976599999999998</v>
      </c>
      <c r="L441">
        <f t="shared" si="19"/>
        <v>64.023400000000009</v>
      </c>
      <c r="M441" t="str">
        <f t="shared" si="20"/>
        <v>Aug-2015</v>
      </c>
    </row>
    <row r="442" spans="1:13" x14ac:dyDescent="0.3">
      <c r="A442" t="s">
        <v>833</v>
      </c>
      <c r="B442" s="1" t="s">
        <v>103</v>
      </c>
      <c r="C442" s="1" t="s">
        <v>71</v>
      </c>
      <c r="D442" s="1" t="s">
        <v>35</v>
      </c>
      <c r="E442" s="5">
        <v>42942</v>
      </c>
      <c r="F442" s="3" t="s">
        <v>36</v>
      </c>
      <c r="G442" s="1" t="s">
        <v>105</v>
      </c>
      <c r="H442" s="1">
        <v>50</v>
      </c>
      <c r="I442" s="1">
        <v>50</v>
      </c>
      <c r="J442" s="2">
        <v>0</v>
      </c>
      <c r="K442">
        <f t="shared" si="18"/>
        <v>0</v>
      </c>
      <c r="L442">
        <f t="shared" si="19"/>
        <v>50</v>
      </c>
      <c r="M442" t="str">
        <f t="shared" si="20"/>
        <v>Jul-2017</v>
      </c>
    </row>
    <row r="443" spans="1:13" x14ac:dyDescent="0.3">
      <c r="A443" t="s">
        <v>834</v>
      </c>
      <c r="B443" s="1" t="s">
        <v>224</v>
      </c>
      <c r="C443" s="1" t="s">
        <v>50</v>
      </c>
      <c r="D443" s="1" t="s">
        <v>24</v>
      </c>
      <c r="E443" s="5">
        <v>41758</v>
      </c>
      <c r="F443" s="3" t="s">
        <v>72</v>
      </c>
      <c r="G443" s="1" t="s">
        <v>734</v>
      </c>
      <c r="H443" s="1">
        <v>500</v>
      </c>
      <c r="I443" s="1">
        <v>495</v>
      </c>
      <c r="J443" s="2">
        <v>0.01</v>
      </c>
      <c r="K443">
        <f t="shared" si="18"/>
        <v>4.95</v>
      </c>
      <c r="L443">
        <f t="shared" si="19"/>
        <v>490.05</v>
      </c>
      <c r="M443" t="str">
        <f t="shared" si="20"/>
        <v>Apr-2014</v>
      </c>
    </row>
    <row r="444" spans="1:13" x14ac:dyDescent="0.3">
      <c r="A444" t="s">
        <v>835</v>
      </c>
      <c r="B444" s="1" t="s">
        <v>227</v>
      </c>
      <c r="C444" s="1" t="s">
        <v>228</v>
      </c>
      <c r="D444" s="1" t="s">
        <v>24</v>
      </c>
      <c r="E444" s="5">
        <v>42297</v>
      </c>
      <c r="F444" s="3" t="s">
        <v>104</v>
      </c>
      <c r="G444" s="1" t="s">
        <v>836</v>
      </c>
      <c r="H444" s="1">
        <v>70</v>
      </c>
      <c r="I444" s="1">
        <v>54</v>
      </c>
      <c r="J444" s="2">
        <v>0.2286</v>
      </c>
      <c r="K444">
        <f t="shared" si="18"/>
        <v>12.3444</v>
      </c>
      <c r="L444">
        <f t="shared" si="19"/>
        <v>41.6556</v>
      </c>
      <c r="M444" t="str">
        <f t="shared" si="20"/>
        <v>Oct-2015</v>
      </c>
    </row>
    <row r="445" spans="1:13" x14ac:dyDescent="0.3">
      <c r="A445" t="s">
        <v>837</v>
      </c>
      <c r="B445" s="1" t="s">
        <v>154</v>
      </c>
      <c r="C445" s="1" t="s">
        <v>108</v>
      </c>
      <c r="D445" s="1" t="s">
        <v>19</v>
      </c>
      <c r="E445" s="5">
        <v>41843</v>
      </c>
      <c r="F445" s="3" t="s">
        <v>46</v>
      </c>
      <c r="G445" s="1" t="s">
        <v>490</v>
      </c>
      <c r="H445" s="1">
        <v>500</v>
      </c>
      <c r="I445" s="1">
        <v>485</v>
      </c>
      <c r="J445" s="2">
        <v>0.03</v>
      </c>
      <c r="K445">
        <f t="shared" si="18"/>
        <v>14.549999999999999</v>
      </c>
      <c r="L445">
        <f t="shared" si="19"/>
        <v>470.45</v>
      </c>
      <c r="M445" t="str">
        <f t="shared" si="20"/>
        <v>Jul-2014</v>
      </c>
    </row>
    <row r="446" spans="1:13" x14ac:dyDescent="0.3">
      <c r="A446" t="s">
        <v>838</v>
      </c>
      <c r="B446" s="1" t="s">
        <v>289</v>
      </c>
      <c r="C446" s="1" t="s">
        <v>108</v>
      </c>
      <c r="D446" s="1" t="s">
        <v>19</v>
      </c>
      <c r="E446" s="5">
        <v>43099</v>
      </c>
      <c r="F446" s="3" t="s">
        <v>14</v>
      </c>
      <c r="G446" s="1" t="s">
        <v>481</v>
      </c>
      <c r="H446" s="1">
        <v>80</v>
      </c>
      <c r="I446" s="1">
        <v>78</v>
      </c>
      <c r="J446" s="2">
        <v>2.5000000000000001E-2</v>
      </c>
      <c r="K446">
        <f t="shared" si="18"/>
        <v>1.9500000000000002</v>
      </c>
      <c r="L446">
        <f t="shared" si="19"/>
        <v>76.05</v>
      </c>
      <c r="M446" t="str">
        <f t="shared" si="20"/>
        <v>Dec-2017</v>
      </c>
    </row>
    <row r="447" spans="1:13" x14ac:dyDescent="0.3">
      <c r="A447" t="s">
        <v>839</v>
      </c>
      <c r="B447" s="1" t="s">
        <v>49</v>
      </c>
      <c r="C447" s="1" t="s">
        <v>50</v>
      </c>
      <c r="D447" s="1" t="s">
        <v>24</v>
      </c>
      <c r="E447" s="5">
        <v>42456</v>
      </c>
      <c r="F447" s="3" t="s">
        <v>55</v>
      </c>
      <c r="G447" s="1" t="s">
        <v>729</v>
      </c>
      <c r="H447" s="1">
        <v>800</v>
      </c>
      <c r="I447" s="1">
        <v>712</v>
      </c>
      <c r="J447" s="2">
        <v>0.11</v>
      </c>
      <c r="K447">
        <f t="shared" si="18"/>
        <v>78.320000000000007</v>
      </c>
      <c r="L447">
        <f t="shared" si="19"/>
        <v>633.67999999999995</v>
      </c>
      <c r="M447" t="str">
        <f t="shared" si="20"/>
        <v>Mar-2016</v>
      </c>
    </row>
    <row r="448" spans="1:13" x14ac:dyDescent="0.3">
      <c r="A448" t="s">
        <v>840</v>
      </c>
      <c r="B448" s="1" t="s">
        <v>59</v>
      </c>
      <c r="C448" s="1" t="s">
        <v>60</v>
      </c>
      <c r="D448" s="1" t="s">
        <v>13</v>
      </c>
      <c r="E448" s="5">
        <v>43157</v>
      </c>
      <c r="F448" s="3" t="s">
        <v>30</v>
      </c>
      <c r="G448" s="1" t="s">
        <v>841</v>
      </c>
      <c r="H448" s="1">
        <v>150</v>
      </c>
      <c r="I448" s="1">
        <v>93</v>
      </c>
      <c r="J448" s="2">
        <v>0.38</v>
      </c>
      <c r="K448">
        <f t="shared" si="18"/>
        <v>35.340000000000003</v>
      </c>
      <c r="L448">
        <f t="shared" si="19"/>
        <v>57.66</v>
      </c>
      <c r="M448" t="str">
        <f t="shared" si="20"/>
        <v>Feb-2018</v>
      </c>
    </row>
    <row r="449" spans="1:13" x14ac:dyDescent="0.3">
      <c r="A449" t="s">
        <v>842</v>
      </c>
      <c r="B449" s="1" t="s">
        <v>221</v>
      </c>
      <c r="C449" s="1" t="s">
        <v>40</v>
      </c>
      <c r="D449" s="1" t="s">
        <v>35</v>
      </c>
      <c r="E449" s="5">
        <v>42303</v>
      </c>
      <c r="F449" s="3" t="s">
        <v>61</v>
      </c>
      <c r="G449" s="1" t="s">
        <v>245</v>
      </c>
      <c r="H449" s="1">
        <v>1000</v>
      </c>
      <c r="I449" s="1">
        <v>710</v>
      </c>
      <c r="J449" s="2">
        <v>0.28999999999999998</v>
      </c>
      <c r="K449">
        <f t="shared" si="18"/>
        <v>205.89999999999998</v>
      </c>
      <c r="L449">
        <f t="shared" si="19"/>
        <v>504.1</v>
      </c>
      <c r="M449" t="str">
        <f t="shared" si="20"/>
        <v>Oct-2015</v>
      </c>
    </row>
    <row r="450" spans="1:13" x14ac:dyDescent="0.3">
      <c r="A450" t="s">
        <v>843</v>
      </c>
      <c r="B450" s="1" t="s">
        <v>39</v>
      </c>
      <c r="C450" s="1" t="s">
        <v>40</v>
      </c>
      <c r="D450" s="1" t="s">
        <v>35</v>
      </c>
      <c r="E450" s="5">
        <v>42271</v>
      </c>
      <c r="F450" s="3" t="s">
        <v>72</v>
      </c>
      <c r="G450" s="1" t="s">
        <v>844</v>
      </c>
      <c r="H450" s="1">
        <v>500</v>
      </c>
      <c r="I450" s="1">
        <v>495</v>
      </c>
      <c r="J450" s="2">
        <v>0.01</v>
      </c>
      <c r="K450">
        <f t="shared" si="18"/>
        <v>4.95</v>
      </c>
      <c r="L450">
        <f t="shared" si="19"/>
        <v>490.05</v>
      </c>
      <c r="M450" t="str">
        <f t="shared" si="20"/>
        <v>Sep-2015</v>
      </c>
    </row>
    <row r="451" spans="1:13" x14ac:dyDescent="0.3">
      <c r="A451" t="s">
        <v>845</v>
      </c>
      <c r="B451" s="1" t="s">
        <v>49</v>
      </c>
      <c r="C451" s="1" t="s">
        <v>50</v>
      </c>
      <c r="D451" s="1" t="s">
        <v>24</v>
      </c>
      <c r="E451" s="5">
        <v>42933</v>
      </c>
      <c r="F451" s="3" t="s">
        <v>72</v>
      </c>
      <c r="G451" s="1" t="s">
        <v>729</v>
      </c>
      <c r="H451" s="1">
        <v>500</v>
      </c>
      <c r="I451" s="1">
        <v>490</v>
      </c>
      <c r="J451" s="2">
        <v>0.02</v>
      </c>
      <c r="K451">
        <f t="shared" si="18"/>
        <v>9.8000000000000007</v>
      </c>
      <c r="L451">
        <f t="shared" si="19"/>
        <v>480.2</v>
      </c>
      <c r="M451" t="str">
        <f t="shared" si="20"/>
        <v>Jul-2017</v>
      </c>
    </row>
    <row r="452" spans="1:13" x14ac:dyDescent="0.3">
      <c r="A452" t="s">
        <v>846</v>
      </c>
      <c r="B452" s="1" t="s">
        <v>118</v>
      </c>
      <c r="C452" s="1" t="s">
        <v>119</v>
      </c>
      <c r="D452" s="1" t="s">
        <v>35</v>
      </c>
      <c r="E452" s="5">
        <v>43238</v>
      </c>
      <c r="F452" s="3" t="s">
        <v>104</v>
      </c>
      <c r="G452" s="1" t="s">
        <v>847</v>
      </c>
      <c r="H452" s="1">
        <v>70</v>
      </c>
      <c r="I452" s="1">
        <v>67</v>
      </c>
      <c r="J452" s="2">
        <v>4.2900000000000001E-2</v>
      </c>
      <c r="K452">
        <f t="shared" ref="K452:K515" si="21">I452*J452</f>
        <v>2.8742999999999999</v>
      </c>
      <c r="L452">
        <f t="shared" ref="L452:L515" si="22">I452-K452</f>
        <v>64.125699999999995</v>
      </c>
      <c r="M452" t="str">
        <f t="shared" ref="M452:M515" si="23">TEXT(E452, "mmm-yyyy")</f>
        <v>May-2018</v>
      </c>
    </row>
    <row r="453" spans="1:13" x14ac:dyDescent="0.3">
      <c r="A453" t="s">
        <v>848</v>
      </c>
      <c r="B453" s="1" t="s">
        <v>134</v>
      </c>
      <c r="C453" s="1" t="s">
        <v>92</v>
      </c>
      <c r="D453" s="1" t="s">
        <v>35</v>
      </c>
      <c r="E453" s="5">
        <v>42506</v>
      </c>
      <c r="F453" s="3" t="s">
        <v>115</v>
      </c>
      <c r="G453" s="1" t="s">
        <v>849</v>
      </c>
      <c r="H453" s="1">
        <v>250</v>
      </c>
      <c r="I453" s="1">
        <v>235</v>
      </c>
      <c r="J453" s="2">
        <v>0.06</v>
      </c>
      <c r="K453">
        <f t="shared" si="21"/>
        <v>14.1</v>
      </c>
      <c r="L453">
        <f t="shared" si="22"/>
        <v>220.9</v>
      </c>
      <c r="M453" t="str">
        <f t="shared" si="23"/>
        <v>May-2016</v>
      </c>
    </row>
    <row r="454" spans="1:13" x14ac:dyDescent="0.3">
      <c r="A454" t="s">
        <v>850</v>
      </c>
      <c r="B454" s="1" t="s">
        <v>49</v>
      </c>
      <c r="C454" s="1" t="s">
        <v>50</v>
      </c>
      <c r="D454" s="1" t="s">
        <v>24</v>
      </c>
      <c r="E454" s="5">
        <v>42702</v>
      </c>
      <c r="F454" s="3" t="s">
        <v>55</v>
      </c>
      <c r="G454" s="1" t="s">
        <v>658</v>
      </c>
      <c r="H454" s="1">
        <v>800</v>
      </c>
      <c r="I454" s="1">
        <v>584</v>
      </c>
      <c r="J454" s="2">
        <v>0.27</v>
      </c>
      <c r="K454">
        <f t="shared" si="21"/>
        <v>157.68</v>
      </c>
      <c r="L454">
        <f t="shared" si="22"/>
        <v>426.32</v>
      </c>
      <c r="M454" t="str">
        <f t="shared" si="23"/>
        <v>Nov-2016</v>
      </c>
    </row>
    <row r="455" spans="1:13" x14ac:dyDescent="0.3">
      <c r="A455" t="s">
        <v>851</v>
      </c>
      <c r="B455" s="1" t="s">
        <v>157</v>
      </c>
      <c r="C455" s="1" t="s">
        <v>108</v>
      </c>
      <c r="D455" s="1" t="s">
        <v>19</v>
      </c>
      <c r="E455" s="5">
        <v>41745</v>
      </c>
      <c r="F455" s="3" t="s">
        <v>14</v>
      </c>
      <c r="G455" s="1" t="s">
        <v>720</v>
      </c>
      <c r="H455" s="1">
        <v>80</v>
      </c>
      <c r="I455" s="1">
        <v>72</v>
      </c>
      <c r="J455" s="2">
        <v>0.1</v>
      </c>
      <c r="K455">
        <f t="shared" si="21"/>
        <v>7.2</v>
      </c>
      <c r="L455">
        <f t="shared" si="22"/>
        <v>64.8</v>
      </c>
      <c r="M455" t="str">
        <f t="shared" si="23"/>
        <v>Apr-2014</v>
      </c>
    </row>
    <row r="456" spans="1:13" x14ac:dyDescent="0.3">
      <c r="A456" t="s">
        <v>852</v>
      </c>
      <c r="B456" s="1" t="s">
        <v>17</v>
      </c>
      <c r="C456" s="1" t="s">
        <v>18</v>
      </c>
      <c r="D456" s="1" t="s">
        <v>19</v>
      </c>
      <c r="E456" s="5">
        <v>43462</v>
      </c>
      <c r="F456" s="3" t="s">
        <v>61</v>
      </c>
      <c r="G456" s="1" t="s">
        <v>853</v>
      </c>
      <c r="H456" s="1">
        <v>1000</v>
      </c>
      <c r="I456" s="1">
        <v>750</v>
      </c>
      <c r="J456" s="2">
        <v>0.25</v>
      </c>
      <c r="K456">
        <f t="shared" si="21"/>
        <v>187.5</v>
      </c>
      <c r="L456">
        <f t="shared" si="22"/>
        <v>562.5</v>
      </c>
      <c r="M456" t="str">
        <f t="shared" si="23"/>
        <v>Dec-2018</v>
      </c>
    </row>
    <row r="457" spans="1:13" x14ac:dyDescent="0.3">
      <c r="A457" t="s">
        <v>854</v>
      </c>
      <c r="B457" s="1" t="s">
        <v>289</v>
      </c>
      <c r="C457" s="1" t="s">
        <v>108</v>
      </c>
      <c r="D457" s="1" t="s">
        <v>19</v>
      </c>
      <c r="E457" s="5">
        <v>42608</v>
      </c>
      <c r="F457" s="3" t="s">
        <v>55</v>
      </c>
      <c r="G457" s="1" t="s">
        <v>346</v>
      </c>
      <c r="H457" s="1">
        <v>800</v>
      </c>
      <c r="I457" s="1">
        <v>696</v>
      </c>
      <c r="J457" s="2">
        <v>0.13</v>
      </c>
      <c r="K457">
        <f t="shared" si="21"/>
        <v>90.48</v>
      </c>
      <c r="L457">
        <f t="shared" si="22"/>
        <v>605.52</v>
      </c>
      <c r="M457" t="str">
        <f t="shared" si="23"/>
        <v>Aug-2016</v>
      </c>
    </row>
    <row r="458" spans="1:13" x14ac:dyDescent="0.3">
      <c r="A458" t="s">
        <v>855</v>
      </c>
      <c r="B458" s="1" t="s">
        <v>400</v>
      </c>
      <c r="C458" s="1" t="s">
        <v>401</v>
      </c>
      <c r="D458" s="1" t="s">
        <v>13</v>
      </c>
      <c r="E458" s="5">
        <v>43121</v>
      </c>
      <c r="F458" s="3" t="s">
        <v>30</v>
      </c>
      <c r="G458" s="1" t="s">
        <v>856</v>
      </c>
      <c r="H458" s="1">
        <v>150</v>
      </c>
      <c r="I458" s="1">
        <v>146</v>
      </c>
      <c r="J458" s="2">
        <v>2.6700000000000002E-2</v>
      </c>
      <c r="K458">
        <f t="shared" si="21"/>
        <v>3.8982000000000001</v>
      </c>
      <c r="L458">
        <f t="shared" si="22"/>
        <v>142.1018</v>
      </c>
      <c r="M458" t="str">
        <f t="shared" si="23"/>
        <v>Jan-2018</v>
      </c>
    </row>
    <row r="459" spans="1:13" x14ac:dyDescent="0.3">
      <c r="A459" t="s">
        <v>857</v>
      </c>
      <c r="B459" s="1" t="s">
        <v>434</v>
      </c>
      <c r="C459" s="1" t="s">
        <v>435</v>
      </c>
      <c r="D459" s="1" t="s">
        <v>24</v>
      </c>
      <c r="E459" s="5">
        <v>42546</v>
      </c>
      <c r="F459" s="3" t="s">
        <v>122</v>
      </c>
      <c r="G459" s="1" t="s">
        <v>858</v>
      </c>
      <c r="H459" s="1">
        <v>50</v>
      </c>
      <c r="I459" s="1">
        <v>41</v>
      </c>
      <c r="J459" s="2">
        <v>0.18</v>
      </c>
      <c r="K459">
        <f t="shared" si="21"/>
        <v>7.38</v>
      </c>
      <c r="L459">
        <f t="shared" si="22"/>
        <v>33.619999999999997</v>
      </c>
      <c r="M459" t="str">
        <f t="shared" si="23"/>
        <v>Jun-2016</v>
      </c>
    </row>
    <row r="460" spans="1:13" x14ac:dyDescent="0.3">
      <c r="A460" t="s">
        <v>859</v>
      </c>
      <c r="B460" s="1" t="s">
        <v>95</v>
      </c>
      <c r="C460" s="1" t="s">
        <v>96</v>
      </c>
      <c r="D460" s="1" t="s">
        <v>13</v>
      </c>
      <c r="E460" s="5">
        <v>43061</v>
      </c>
      <c r="F460" s="3" t="s">
        <v>72</v>
      </c>
      <c r="G460" s="1" t="s">
        <v>645</v>
      </c>
      <c r="H460" s="1">
        <v>500</v>
      </c>
      <c r="I460" s="1">
        <v>495</v>
      </c>
      <c r="J460" s="2">
        <v>0.01</v>
      </c>
      <c r="K460">
        <f t="shared" si="21"/>
        <v>4.95</v>
      </c>
      <c r="L460">
        <f t="shared" si="22"/>
        <v>490.05</v>
      </c>
      <c r="M460" t="str">
        <f t="shared" si="23"/>
        <v>Nov-2017</v>
      </c>
    </row>
    <row r="461" spans="1:13" x14ac:dyDescent="0.3">
      <c r="A461" t="s">
        <v>860</v>
      </c>
      <c r="B461" s="1" t="s">
        <v>81</v>
      </c>
      <c r="C461" s="1" t="s">
        <v>82</v>
      </c>
      <c r="D461" s="1" t="s">
        <v>13</v>
      </c>
      <c r="E461" s="5">
        <v>43238</v>
      </c>
      <c r="F461" s="3" t="s">
        <v>36</v>
      </c>
      <c r="G461" s="1" t="s">
        <v>861</v>
      </c>
      <c r="H461" s="1">
        <v>50</v>
      </c>
      <c r="I461" s="1">
        <v>46</v>
      </c>
      <c r="J461" s="2">
        <v>0.08</v>
      </c>
      <c r="K461">
        <f t="shared" si="21"/>
        <v>3.68</v>
      </c>
      <c r="L461">
        <f t="shared" si="22"/>
        <v>42.32</v>
      </c>
      <c r="M461" t="str">
        <f t="shared" si="23"/>
        <v>May-2018</v>
      </c>
    </row>
    <row r="462" spans="1:13" x14ac:dyDescent="0.3">
      <c r="A462" t="s">
        <v>862</v>
      </c>
      <c r="B462" s="1" t="s">
        <v>124</v>
      </c>
      <c r="C462" s="1" t="s">
        <v>40</v>
      </c>
      <c r="D462" s="1" t="s">
        <v>35</v>
      </c>
      <c r="E462" s="5">
        <v>42274</v>
      </c>
      <c r="F462" s="3" t="s">
        <v>14</v>
      </c>
      <c r="G462" s="1" t="s">
        <v>863</v>
      </c>
      <c r="H462" s="1">
        <v>80</v>
      </c>
      <c r="I462" s="1">
        <v>74</v>
      </c>
      <c r="J462" s="2">
        <v>7.4999999999999997E-2</v>
      </c>
      <c r="K462">
        <f t="shared" si="21"/>
        <v>5.55</v>
      </c>
      <c r="L462">
        <f t="shared" si="22"/>
        <v>68.45</v>
      </c>
      <c r="M462" t="str">
        <f t="shared" si="23"/>
        <v>Sep-2015</v>
      </c>
    </row>
    <row r="463" spans="1:13" x14ac:dyDescent="0.3">
      <c r="A463" t="s">
        <v>864</v>
      </c>
      <c r="B463" s="1" t="s">
        <v>264</v>
      </c>
      <c r="C463" s="1" t="s">
        <v>265</v>
      </c>
      <c r="D463" s="1" t="s">
        <v>13</v>
      </c>
      <c r="E463" s="5">
        <v>43206</v>
      </c>
      <c r="F463" s="3" t="s">
        <v>104</v>
      </c>
      <c r="G463" s="1" t="s">
        <v>314</v>
      </c>
      <c r="H463" s="1">
        <v>70</v>
      </c>
      <c r="I463" s="1">
        <v>59</v>
      </c>
      <c r="J463" s="2">
        <v>0.15709999999999999</v>
      </c>
      <c r="K463">
        <f t="shared" si="21"/>
        <v>9.2688999999999986</v>
      </c>
      <c r="L463">
        <f t="shared" si="22"/>
        <v>49.731099999999998</v>
      </c>
      <c r="M463" t="str">
        <f t="shared" si="23"/>
        <v>Apr-2018</v>
      </c>
    </row>
    <row r="464" spans="1:13" x14ac:dyDescent="0.3">
      <c r="A464" t="s">
        <v>865</v>
      </c>
      <c r="B464" s="1" t="s">
        <v>59</v>
      </c>
      <c r="C464" s="1" t="s">
        <v>60</v>
      </c>
      <c r="D464" s="1" t="s">
        <v>13</v>
      </c>
      <c r="E464" s="5">
        <v>41963</v>
      </c>
      <c r="F464" s="3" t="s">
        <v>104</v>
      </c>
      <c r="G464" s="1" t="s">
        <v>312</v>
      </c>
      <c r="H464" s="1">
        <v>70</v>
      </c>
      <c r="I464" s="1">
        <v>68</v>
      </c>
      <c r="J464" s="2">
        <v>2.86E-2</v>
      </c>
      <c r="K464">
        <f t="shared" si="21"/>
        <v>1.9448000000000001</v>
      </c>
      <c r="L464">
        <f t="shared" si="22"/>
        <v>66.055199999999999</v>
      </c>
      <c r="M464" t="str">
        <f t="shared" si="23"/>
        <v>Nov-2014</v>
      </c>
    </row>
    <row r="465" spans="1:13" x14ac:dyDescent="0.3">
      <c r="A465" t="s">
        <v>866</v>
      </c>
      <c r="B465" s="1" t="s">
        <v>127</v>
      </c>
      <c r="C465" s="1" t="s">
        <v>128</v>
      </c>
      <c r="D465" s="1" t="s">
        <v>13</v>
      </c>
      <c r="E465" s="5">
        <v>42903</v>
      </c>
      <c r="F465" s="3" t="s">
        <v>30</v>
      </c>
      <c r="G465" s="1" t="s">
        <v>867</v>
      </c>
      <c r="H465" s="1">
        <v>150</v>
      </c>
      <c r="I465" s="1">
        <v>146</v>
      </c>
      <c r="J465" s="2">
        <v>2.6700000000000002E-2</v>
      </c>
      <c r="K465">
        <f t="shared" si="21"/>
        <v>3.8982000000000001</v>
      </c>
      <c r="L465">
        <f t="shared" si="22"/>
        <v>142.1018</v>
      </c>
      <c r="M465" t="str">
        <f t="shared" si="23"/>
        <v>Jun-2017</v>
      </c>
    </row>
    <row r="466" spans="1:13" x14ac:dyDescent="0.3">
      <c r="A466" t="s">
        <v>868</v>
      </c>
      <c r="B466" s="1" t="s">
        <v>11</v>
      </c>
      <c r="C466" s="1" t="s">
        <v>12</v>
      </c>
      <c r="D466" s="1" t="s">
        <v>13</v>
      </c>
      <c r="E466" s="5">
        <v>43464</v>
      </c>
      <c r="F466" s="3" t="s">
        <v>61</v>
      </c>
      <c r="G466" s="1" t="s">
        <v>193</v>
      </c>
      <c r="H466" s="1">
        <v>1000</v>
      </c>
      <c r="I466" s="1">
        <v>630</v>
      </c>
      <c r="J466" s="2">
        <v>0.37</v>
      </c>
      <c r="K466">
        <f t="shared" si="21"/>
        <v>233.1</v>
      </c>
      <c r="L466">
        <f t="shared" si="22"/>
        <v>396.9</v>
      </c>
      <c r="M466" t="str">
        <f t="shared" si="23"/>
        <v>Dec-2018</v>
      </c>
    </row>
    <row r="467" spans="1:13" x14ac:dyDescent="0.3">
      <c r="A467" t="s">
        <v>869</v>
      </c>
      <c r="B467" s="1" t="s">
        <v>227</v>
      </c>
      <c r="C467" s="1" t="s">
        <v>228</v>
      </c>
      <c r="D467" s="1" t="s">
        <v>24</v>
      </c>
      <c r="E467" s="5">
        <v>42822</v>
      </c>
      <c r="F467" s="3" t="s">
        <v>36</v>
      </c>
      <c r="G467" s="1" t="s">
        <v>870</v>
      </c>
      <c r="H467" s="1">
        <v>50</v>
      </c>
      <c r="I467" s="1">
        <v>44</v>
      </c>
      <c r="J467" s="2">
        <v>0.12</v>
      </c>
      <c r="K467">
        <f t="shared" si="21"/>
        <v>5.2799999999999994</v>
      </c>
      <c r="L467">
        <f t="shared" si="22"/>
        <v>38.72</v>
      </c>
      <c r="M467" t="str">
        <f t="shared" si="23"/>
        <v>Mar-2017</v>
      </c>
    </row>
    <row r="468" spans="1:13" x14ac:dyDescent="0.3">
      <c r="A468" t="s">
        <v>871</v>
      </c>
      <c r="B468" s="1" t="s">
        <v>64</v>
      </c>
      <c r="C468" s="1" t="s">
        <v>65</v>
      </c>
      <c r="D468" s="1" t="s">
        <v>35</v>
      </c>
      <c r="E468" s="5">
        <v>43175</v>
      </c>
      <c r="F468" s="3" t="s">
        <v>25</v>
      </c>
      <c r="G468" s="1" t="s">
        <v>872</v>
      </c>
      <c r="H468" s="1">
        <v>700</v>
      </c>
      <c r="I468" s="1">
        <v>693</v>
      </c>
      <c r="J468" s="2">
        <v>0.01</v>
      </c>
      <c r="K468">
        <f t="shared" si="21"/>
        <v>6.93</v>
      </c>
      <c r="L468">
        <f t="shared" si="22"/>
        <v>686.07</v>
      </c>
      <c r="M468" t="str">
        <f t="shared" si="23"/>
        <v>Mar-2018</v>
      </c>
    </row>
    <row r="469" spans="1:13" x14ac:dyDescent="0.3">
      <c r="A469" t="s">
        <v>873</v>
      </c>
      <c r="B469" s="1" t="s">
        <v>187</v>
      </c>
      <c r="C469" s="1" t="s">
        <v>188</v>
      </c>
      <c r="D469" s="1" t="s">
        <v>13</v>
      </c>
      <c r="E469" s="5">
        <v>43431</v>
      </c>
      <c r="F469" s="3" t="s">
        <v>25</v>
      </c>
      <c r="G469" s="1" t="s">
        <v>791</v>
      </c>
      <c r="H469" s="1">
        <v>700</v>
      </c>
      <c r="I469" s="1">
        <v>637</v>
      </c>
      <c r="J469" s="2">
        <v>0.09</v>
      </c>
      <c r="K469">
        <f t="shared" si="21"/>
        <v>57.33</v>
      </c>
      <c r="L469">
        <f t="shared" si="22"/>
        <v>579.66999999999996</v>
      </c>
      <c r="M469" t="str">
        <f t="shared" si="23"/>
        <v>Nov-2018</v>
      </c>
    </row>
    <row r="470" spans="1:13" x14ac:dyDescent="0.3">
      <c r="A470" t="s">
        <v>874</v>
      </c>
      <c r="B470" s="1" t="s">
        <v>44</v>
      </c>
      <c r="C470" s="1" t="s">
        <v>45</v>
      </c>
      <c r="D470" s="1" t="s">
        <v>24</v>
      </c>
      <c r="E470" s="5">
        <v>42363</v>
      </c>
      <c r="F470" s="3" t="s">
        <v>14</v>
      </c>
      <c r="G470" s="1" t="s">
        <v>301</v>
      </c>
      <c r="H470" s="1">
        <v>80</v>
      </c>
      <c r="I470" s="1">
        <v>68</v>
      </c>
      <c r="J470" s="2">
        <v>0.15</v>
      </c>
      <c r="K470">
        <f t="shared" si="21"/>
        <v>10.199999999999999</v>
      </c>
      <c r="L470">
        <f t="shared" si="22"/>
        <v>57.8</v>
      </c>
      <c r="M470" t="str">
        <f t="shared" si="23"/>
        <v>Dec-2015</v>
      </c>
    </row>
    <row r="471" spans="1:13" x14ac:dyDescent="0.3">
      <c r="A471" t="s">
        <v>875</v>
      </c>
      <c r="B471" s="1" t="s">
        <v>77</v>
      </c>
      <c r="C471" s="1" t="s">
        <v>78</v>
      </c>
      <c r="D471" s="1" t="s">
        <v>35</v>
      </c>
      <c r="E471" s="5">
        <v>41804</v>
      </c>
      <c r="F471" s="3" t="s">
        <v>41</v>
      </c>
      <c r="G471" s="1" t="s">
        <v>162</v>
      </c>
      <c r="H471" s="1">
        <v>30</v>
      </c>
      <c r="I471" s="1">
        <v>26</v>
      </c>
      <c r="J471" s="2">
        <v>0.1333</v>
      </c>
      <c r="K471">
        <f t="shared" si="21"/>
        <v>3.4658000000000002</v>
      </c>
      <c r="L471">
        <f t="shared" si="22"/>
        <v>22.534199999999998</v>
      </c>
      <c r="M471" t="str">
        <f t="shared" si="23"/>
        <v>Jun-2014</v>
      </c>
    </row>
    <row r="472" spans="1:13" x14ac:dyDescent="0.3">
      <c r="A472" t="s">
        <v>876</v>
      </c>
      <c r="B472" s="1" t="s">
        <v>289</v>
      </c>
      <c r="C472" s="1" t="s">
        <v>108</v>
      </c>
      <c r="D472" s="1" t="s">
        <v>19</v>
      </c>
      <c r="E472" s="5">
        <v>43052</v>
      </c>
      <c r="F472" s="3" t="s">
        <v>115</v>
      </c>
      <c r="G472" s="1" t="s">
        <v>877</v>
      </c>
      <c r="H472" s="1">
        <v>250</v>
      </c>
      <c r="I472" s="1">
        <v>240</v>
      </c>
      <c r="J472" s="2">
        <v>0.04</v>
      </c>
      <c r="K472">
        <f t="shared" si="21"/>
        <v>9.6</v>
      </c>
      <c r="L472">
        <f t="shared" si="22"/>
        <v>230.4</v>
      </c>
      <c r="M472" t="str">
        <f t="shared" si="23"/>
        <v>Nov-2017</v>
      </c>
    </row>
    <row r="473" spans="1:13" x14ac:dyDescent="0.3">
      <c r="A473" t="s">
        <v>878</v>
      </c>
      <c r="B473" s="1" t="s">
        <v>103</v>
      </c>
      <c r="C473" s="1" t="s">
        <v>71</v>
      </c>
      <c r="D473" s="1" t="s">
        <v>35</v>
      </c>
      <c r="E473" s="5">
        <v>41881</v>
      </c>
      <c r="F473" s="3" t="s">
        <v>30</v>
      </c>
      <c r="G473" s="1" t="s">
        <v>105</v>
      </c>
      <c r="H473" s="1">
        <v>150</v>
      </c>
      <c r="I473" s="1">
        <v>131</v>
      </c>
      <c r="J473" s="2">
        <v>0.12670000000000001</v>
      </c>
      <c r="K473">
        <f t="shared" si="21"/>
        <v>16.5977</v>
      </c>
      <c r="L473">
        <f t="shared" si="22"/>
        <v>114.4023</v>
      </c>
      <c r="M473" t="str">
        <f t="shared" si="23"/>
        <v>Aug-2014</v>
      </c>
    </row>
    <row r="474" spans="1:13" x14ac:dyDescent="0.3">
      <c r="A474" t="s">
        <v>879</v>
      </c>
      <c r="B474" s="1" t="s">
        <v>146</v>
      </c>
      <c r="C474" s="1" t="s">
        <v>147</v>
      </c>
      <c r="D474" s="1" t="s">
        <v>13</v>
      </c>
      <c r="E474" s="5">
        <v>43152</v>
      </c>
      <c r="F474" s="3" t="s">
        <v>61</v>
      </c>
      <c r="G474" s="1" t="s">
        <v>725</v>
      </c>
      <c r="H474" s="1">
        <v>1000</v>
      </c>
      <c r="I474" s="1">
        <v>820</v>
      </c>
      <c r="J474" s="2">
        <v>0.18</v>
      </c>
      <c r="K474">
        <f t="shared" si="21"/>
        <v>147.6</v>
      </c>
      <c r="L474">
        <f t="shared" si="22"/>
        <v>672.4</v>
      </c>
      <c r="M474" t="str">
        <f t="shared" si="23"/>
        <v>Feb-2018</v>
      </c>
    </row>
    <row r="475" spans="1:13" x14ac:dyDescent="0.3">
      <c r="A475" t="s">
        <v>880</v>
      </c>
      <c r="B475" s="1" t="s">
        <v>434</v>
      </c>
      <c r="C475" s="1" t="s">
        <v>435</v>
      </c>
      <c r="D475" s="1" t="s">
        <v>24</v>
      </c>
      <c r="E475" s="5">
        <v>43465</v>
      </c>
      <c r="F475" s="3" t="s">
        <v>55</v>
      </c>
      <c r="G475" s="1" t="s">
        <v>764</v>
      </c>
      <c r="H475" s="1">
        <v>800</v>
      </c>
      <c r="I475" s="1">
        <v>528</v>
      </c>
      <c r="J475" s="2">
        <v>0.34</v>
      </c>
      <c r="K475">
        <f t="shared" si="21"/>
        <v>179.52</v>
      </c>
      <c r="L475">
        <f t="shared" si="22"/>
        <v>348.48</v>
      </c>
      <c r="M475" t="str">
        <f t="shared" si="23"/>
        <v>Dec-2018</v>
      </c>
    </row>
    <row r="476" spans="1:13" x14ac:dyDescent="0.3">
      <c r="A476" t="s">
        <v>881</v>
      </c>
      <c r="B476" s="1" t="s">
        <v>324</v>
      </c>
      <c r="C476" s="1" t="s">
        <v>325</v>
      </c>
      <c r="D476" s="1" t="s">
        <v>13</v>
      </c>
      <c r="E476" s="5">
        <v>41905</v>
      </c>
      <c r="F476" s="3" t="s">
        <v>104</v>
      </c>
      <c r="G476" s="1" t="s">
        <v>453</v>
      </c>
      <c r="H476" s="1">
        <v>70</v>
      </c>
      <c r="I476" s="1">
        <v>69</v>
      </c>
      <c r="J476" s="2">
        <v>1.43E-2</v>
      </c>
      <c r="K476">
        <f t="shared" si="21"/>
        <v>0.98670000000000002</v>
      </c>
      <c r="L476">
        <f t="shared" si="22"/>
        <v>68.013300000000001</v>
      </c>
      <c r="M476" t="str">
        <f t="shared" si="23"/>
        <v>Sep-2014</v>
      </c>
    </row>
    <row r="477" spans="1:13" x14ac:dyDescent="0.3">
      <c r="A477" t="s">
        <v>882</v>
      </c>
      <c r="B477" s="1" t="s">
        <v>324</v>
      </c>
      <c r="C477" s="1" t="s">
        <v>325</v>
      </c>
      <c r="D477" s="1" t="s">
        <v>13</v>
      </c>
      <c r="E477" s="5">
        <v>42172</v>
      </c>
      <c r="F477" s="3" t="s">
        <v>46</v>
      </c>
      <c r="G477" s="1" t="s">
        <v>883</v>
      </c>
      <c r="H477" s="1">
        <v>500</v>
      </c>
      <c r="I477" s="1">
        <v>485</v>
      </c>
      <c r="J477" s="2">
        <v>0.03</v>
      </c>
      <c r="K477">
        <f t="shared" si="21"/>
        <v>14.549999999999999</v>
      </c>
      <c r="L477">
        <f t="shared" si="22"/>
        <v>470.45</v>
      </c>
      <c r="M477" t="str">
        <f t="shared" si="23"/>
        <v>Jun-2015</v>
      </c>
    </row>
    <row r="478" spans="1:13" x14ac:dyDescent="0.3">
      <c r="A478" t="s">
        <v>884</v>
      </c>
      <c r="B478" s="1" t="s">
        <v>114</v>
      </c>
      <c r="C478" s="1" t="s">
        <v>54</v>
      </c>
      <c r="D478" s="1" t="s">
        <v>13</v>
      </c>
      <c r="E478" s="5">
        <v>42424</v>
      </c>
      <c r="F478" s="3" t="s">
        <v>122</v>
      </c>
      <c r="G478" s="1" t="s">
        <v>885</v>
      </c>
      <c r="H478" s="1">
        <v>50</v>
      </c>
      <c r="I478" s="1">
        <v>39</v>
      </c>
      <c r="J478" s="2">
        <v>0.22</v>
      </c>
      <c r="K478">
        <f t="shared" si="21"/>
        <v>8.58</v>
      </c>
      <c r="L478">
        <f t="shared" si="22"/>
        <v>30.42</v>
      </c>
      <c r="M478" t="str">
        <f t="shared" si="23"/>
        <v>Feb-2016</v>
      </c>
    </row>
    <row r="479" spans="1:13" x14ac:dyDescent="0.3">
      <c r="A479" t="s">
        <v>886</v>
      </c>
      <c r="B479" s="1" t="s">
        <v>114</v>
      </c>
      <c r="C479" s="1" t="s">
        <v>54</v>
      </c>
      <c r="D479" s="1" t="s">
        <v>13</v>
      </c>
      <c r="E479" s="5">
        <v>43088</v>
      </c>
      <c r="F479" s="3" t="s">
        <v>61</v>
      </c>
      <c r="G479" s="1" t="s">
        <v>887</v>
      </c>
      <c r="H479" s="1">
        <v>1000</v>
      </c>
      <c r="I479" s="1">
        <v>830</v>
      </c>
      <c r="J479" s="2">
        <v>0.17</v>
      </c>
      <c r="K479">
        <f t="shared" si="21"/>
        <v>141.10000000000002</v>
      </c>
      <c r="L479">
        <f t="shared" si="22"/>
        <v>688.9</v>
      </c>
      <c r="M479" t="str">
        <f t="shared" si="23"/>
        <v>Dec-2017</v>
      </c>
    </row>
    <row r="480" spans="1:13" x14ac:dyDescent="0.3">
      <c r="A480" t="s">
        <v>888</v>
      </c>
      <c r="B480" s="1" t="s">
        <v>157</v>
      </c>
      <c r="C480" s="1" t="s">
        <v>108</v>
      </c>
      <c r="D480" s="1" t="s">
        <v>19</v>
      </c>
      <c r="E480" s="5">
        <v>42974</v>
      </c>
      <c r="F480" s="3" t="s">
        <v>36</v>
      </c>
      <c r="G480" s="1" t="s">
        <v>464</v>
      </c>
      <c r="H480" s="1">
        <v>50</v>
      </c>
      <c r="I480" s="1">
        <v>44</v>
      </c>
      <c r="J480" s="2">
        <v>0.12</v>
      </c>
      <c r="K480">
        <f t="shared" si="21"/>
        <v>5.2799999999999994</v>
      </c>
      <c r="L480">
        <f t="shared" si="22"/>
        <v>38.72</v>
      </c>
      <c r="M480" t="str">
        <f t="shared" si="23"/>
        <v>Aug-2017</v>
      </c>
    </row>
    <row r="481" spans="1:13" x14ac:dyDescent="0.3">
      <c r="A481" t="s">
        <v>889</v>
      </c>
      <c r="B481" s="1" t="s">
        <v>53</v>
      </c>
      <c r="C481" s="1" t="s">
        <v>54</v>
      </c>
      <c r="D481" s="1" t="s">
        <v>13</v>
      </c>
      <c r="E481" s="5">
        <v>43025</v>
      </c>
      <c r="F481" s="3" t="s">
        <v>72</v>
      </c>
      <c r="G481" s="1" t="s">
        <v>404</v>
      </c>
      <c r="H481" s="1">
        <v>500</v>
      </c>
      <c r="I481" s="1">
        <v>500</v>
      </c>
      <c r="J481" s="2">
        <v>0</v>
      </c>
      <c r="K481">
        <f t="shared" si="21"/>
        <v>0</v>
      </c>
      <c r="L481">
        <f t="shared" si="22"/>
        <v>500</v>
      </c>
      <c r="M481" t="str">
        <f t="shared" si="23"/>
        <v>Oct-2017</v>
      </c>
    </row>
    <row r="482" spans="1:13" x14ac:dyDescent="0.3">
      <c r="A482" t="s">
        <v>890</v>
      </c>
      <c r="B482" s="1" t="s">
        <v>17</v>
      </c>
      <c r="C482" s="1" t="s">
        <v>18</v>
      </c>
      <c r="D482" s="1" t="s">
        <v>19</v>
      </c>
      <c r="E482" s="5">
        <v>41755</v>
      </c>
      <c r="F482" s="3" t="s">
        <v>36</v>
      </c>
      <c r="G482" s="1" t="s">
        <v>493</v>
      </c>
      <c r="H482" s="1">
        <v>50</v>
      </c>
      <c r="I482" s="1">
        <v>37</v>
      </c>
      <c r="J482" s="2">
        <v>0.26</v>
      </c>
      <c r="K482">
        <f t="shared" si="21"/>
        <v>9.620000000000001</v>
      </c>
      <c r="L482">
        <f t="shared" si="22"/>
        <v>27.38</v>
      </c>
      <c r="M482" t="str">
        <f t="shared" si="23"/>
        <v>Apr-2014</v>
      </c>
    </row>
    <row r="483" spans="1:13" x14ac:dyDescent="0.3">
      <c r="A483" t="s">
        <v>891</v>
      </c>
      <c r="B483" s="1" t="s">
        <v>182</v>
      </c>
      <c r="C483" s="1" t="s">
        <v>108</v>
      </c>
      <c r="D483" s="1" t="s">
        <v>19</v>
      </c>
      <c r="E483" s="5">
        <v>43002</v>
      </c>
      <c r="F483" s="3" t="s">
        <v>14</v>
      </c>
      <c r="G483" s="1" t="s">
        <v>505</v>
      </c>
      <c r="H483" s="1">
        <v>80</v>
      </c>
      <c r="I483" s="1">
        <v>78</v>
      </c>
      <c r="J483" s="2">
        <v>2.5000000000000001E-2</v>
      </c>
      <c r="K483">
        <f t="shared" si="21"/>
        <v>1.9500000000000002</v>
      </c>
      <c r="L483">
        <f t="shared" si="22"/>
        <v>76.05</v>
      </c>
      <c r="M483" t="str">
        <f t="shared" si="23"/>
        <v>Sep-2017</v>
      </c>
    </row>
    <row r="484" spans="1:13" x14ac:dyDescent="0.3">
      <c r="A484" t="s">
        <v>892</v>
      </c>
      <c r="B484" s="1" t="s">
        <v>270</v>
      </c>
      <c r="C484" s="1" t="s">
        <v>271</v>
      </c>
      <c r="D484" s="1" t="s">
        <v>35</v>
      </c>
      <c r="E484" s="5">
        <v>43310</v>
      </c>
      <c r="F484" s="3" t="s">
        <v>104</v>
      </c>
      <c r="G484" s="1" t="s">
        <v>337</v>
      </c>
      <c r="H484" s="1">
        <v>70</v>
      </c>
      <c r="I484" s="1">
        <v>65</v>
      </c>
      <c r="J484" s="2">
        <v>7.1400000000000005E-2</v>
      </c>
      <c r="K484">
        <f t="shared" si="21"/>
        <v>4.641</v>
      </c>
      <c r="L484">
        <f t="shared" si="22"/>
        <v>60.359000000000002</v>
      </c>
      <c r="M484" t="str">
        <f t="shared" si="23"/>
        <v>Jul-2018</v>
      </c>
    </row>
    <row r="485" spans="1:13" x14ac:dyDescent="0.3">
      <c r="A485" t="s">
        <v>893</v>
      </c>
      <c r="B485" s="1" t="s">
        <v>107</v>
      </c>
      <c r="C485" s="1" t="s">
        <v>108</v>
      </c>
      <c r="D485" s="1" t="s">
        <v>19</v>
      </c>
      <c r="E485" s="5">
        <v>41850</v>
      </c>
      <c r="F485" s="3" t="s">
        <v>115</v>
      </c>
      <c r="G485" s="1" t="s">
        <v>894</v>
      </c>
      <c r="H485" s="1">
        <v>250</v>
      </c>
      <c r="I485" s="1">
        <v>228</v>
      </c>
      <c r="J485" s="2">
        <v>8.7999999999999995E-2</v>
      </c>
      <c r="K485">
        <f t="shared" si="21"/>
        <v>20.064</v>
      </c>
      <c r="L485">
        <f t="shared" si="22"/>
        <v>207.93600000000001</v>
      </c>
      <c r="M485" t="str">
        <f t="shared" si="23"/>
        <v>Jul-2014</v>
      </c>
    </row>
    <row r="486" spans="1:13" x14ac:dyDescent="0.3">
      <c r="A486" t="s">
        <v>895</v>
      </c>
      <c r="B486" s="1" t="s">
        <v>118</v>
      </c>
      <c r="C486" s="1" t="s">
        <v>119</v>
      </c>
      <c r="D486" s="1" t="s">
        <v>35</v>
      </c>
      <c r="E486" s="5">
        <v>42290</v>
      </c>
      <c r="F486" s="3" t="s">
        <v>115</v>
      </c>
      <c r="G486" s="1" t="s">
        <v>896</v>
      </c>
      <c r="H486" s="1">
        <v>250</v>
      </c>
      <c r="I486" s="1">
        <v>250</v>
      </c>
      <c r="J486" s="2">
        <v>0</v>
      </c>
      <c r="K486">
        <f t="shared" si="21"/>
        <v>0</v>
      </c>
      <c r="L486">
        <f t="shared" si="22"/>
        <v>250</v>
      </c>
      <c r="M486" t="str">
        <f t="shared" si="23"/>
        <v>Oct-2015</v>
      </c>
    </row>
    <row r="487" spans="1:13" x14ac:dyDescent="0.3">
      <c r="A487" t="s">
        <v>897</v>
      </c>
      <c r="B487" s="1" t="s">
        <v>324</v>
      </c>
      <c r="C487" s="1" t="s">
        <v>325</v>
      </c>
      <c r="D487" s="1" t="s">
        <v>13</v>
      </c>
      <c r="E487" s="5">
        <v>41817</v>
      </c>
      <c r="F487" s="3" t="s">
        <v>41</v>
      </c>
      <c r="G487" s="1" t="s">
        <v>365</v>
      </c>
      <c r="H487" s="1">
        <v>30</v>
      </c>
      <c r="I487" s="1">
        <v>29</v>
      </c>
      <c r="J487" s="2">
        <v>3.3300000000000003E-2</v>
      </c>
      <c r="K487">
        <f t="shared" si="21"/>
        <v>0.96570000000000011</v>
      </c>
      <c r="L487">
        <f t="shared" si="22"/>
        <v>28.034299999999998</v>
      </c>
      <c r="M487" t="str">
        <f t="shared" si="23"/>
        <v>Jun-2014</v>
      </c>
    </row>
    <row r="488" spans="1:13" x14ac:dyDescent="0.3">
      <c r="A488" t="s">
        <v>898</v>
      </c>
      <c r="B488" s="1" t="s">
        <v>205</v>
      </c>
      <c r="C488" s="1" t="s">
        <v>206</v>
      </c>
      <c r="D488" s="1" t="s">
        <v>24</v>
      </c>
      <c r="E488" s="5">
        <v>42813</v>
      </c>
      <c r="F488" s="3" t="s">
        <v>122</v>
      </c>
      <c r="G488" s="1" t="s">
        <v>361</v>
      </c>
      <c r="H488" s="1">
        <v>50</v>
      </c>
      <c r="I488" s="1">
        <v>32</v>
      </c>
      <c r="J488" s="2">
        <v>0.36</v>
      </c>
      <c r="K488">
        <f t="shared" si="21"/>
        <v>11.52</v>
      </c>
      <c r="L488">
        <f t="shared" si="22"/>
        <v>20.48</v>
      </c>
      <c r="M488" t="str">
        <f t="shared" si="23"/>
        <v>Mar-2017</v>
      </c>
    </row>
    <row r="489" spans="1:13" x14ac:dyDescent="0.3">
      <c r="A489" t="s">
        <v>899</v>
      </c>
      <c r="B489" s="1" t="s">
        <v>91</v>
      </c>
      <c r="C489" s="1" t="s">
        <v>92</v>
      </c>
      <c r="D489" s="1" t="s">
        <v>35</v>
      </c>
      <c r="E489" s="5">
        <v>42302</v>
      </c>
      <c r="F489" s="3" t="s">
        <v>25</v>
      </c>
      <c r="G489" s="1" t="s">
        <v>900</v>
      </c>
      <c r="H489" s="1">
        <v>700</v>
      </c>
      <c r="I489" s="1">
        <v>686</v>
      </c>
      <c r="J489" s="2">
        <v>0.02</v>
      </c>
      <c r="K489">
        <f t="shared" si="21"/>
        <v>13.72</v>
      </c>
      <c r="L489">
        <f t="shared" si="22"/>
        <v>672.28</v>
      </c>
      <c r="M489" t="str">
        <f t="shared" si="23"/>
        <v>Oct-2015</v>
      </c>
    </row>
    <row r="490" spans="1:13" x14ac:dyDescent="0.3">
      <c r="A490" t="s">
        <v>901</v>
      </c>
      <c r="B490" s="1" t="s">
        <v>434</v>
      </c>
      <c r="C490" s="1" t="s">
        <v>435</v>
      </c>
      <c r="D490" s="1" t="s">
        <v>24</v>
      </c>
      <c r="E490" s="5">
        <v>42852</v>
      </c>
      <c r="F490" s="3" t="s">
        <v>30</v>
      </c>
      <c r="G490" s="1" t="s">
        <v>550</v>
      </c>
      <c r="H490" s="1">
        <v>150</v>
      </c>
      <c r="I490" s="1">
        <v>131</v>
      </c>
      <c r="J490" s="2">
        <v>0.12670000000000001</v>
      </c>
      <c r="K490">
        <f t="shared" si="21"/>
        <v>16.5977</v>
      </c>
      <c r="L490">
        <f t="shared" si="22"/>
        <v>114.4023</v>
      </c>
      <c r="M490" t="str">
        <f t="shared" si="23"/>
        <v>Apr-2017</v>
      </c>
    </row>
    <row r="491" spans="1:13" x14ac:dyDescent="0.3">
      <c r="A491" t="s">
        <v>902</v>
      </c>
      <c r="B491" s="1" t="s">
        <v>289</v>
      </c>
      <c r="C491" s="1" t="s">
        <v>108</v>
      </c>
      <c r="D491" s="1" t="s">
        <v>19</v>
      </c>
      <c r="E491" s="5">
        <v>43327</v>
      </c>
      <c r="F491" s="3" t="s">
        <v>61</v>
      </c>
      <c r="G491" s="1" t="s">
        <v>903</v>
      </c>
      <c r="H491" s="1">
        <v>1000</v>
      </c>
      <c r="I491" s="1">
        <v>940</v>
      </c>
      <c r="J491" s="2">
        <v>0.06</v>
      </c>
      <c r="K491">
        <f t="shared" si="21"/>
        <v>56.4</v>
      </c>
      <c r="L491">
        <f t="shared" si="22"/>
        <v>883.6</v>
      </c>
      <c r="M491" t="str">
        <f t="shared" si="23"/>
        <v>Aug-2018</v>
      </c>
    </row>
    <row r="492" spans="1:13" x14ac:dyDescent="0.3">
      <c r="A492" t="s">
        <v>904</v>
      </c>
      <c r="B492" s="1" t="s">
        <v>99</v>
      </c>
      <c r="C492" s="1" t="s">
        <v>100</v>
      </c>
      <c r="D492" s="1" t="s">
        <v>13</v>
      </c>
      <c r="E492" s="5">
        <v>41903</v>
      </c>
      <c r="F492" s="3" t="s">
        <v>30</v>
      </c>
      <c r="G492" s="1" t="s">
        <v>752</v>
      </c>
      <c r="H492" s="1">
        <v>150</v>
      </c>
      <c r="I492" s="1">
        <v>138</v>
      </c>
      <c r="J492" s="2">
        <v>0.08</v>
      </c>
      <c r="K492">
        <f t="shared" si="21"/>
        <v>11.040000000000001</v>
      </c>
      <c r="L492">
        <f t="shared" si="22"/>
        <v>126.96</v>
      </c>
      <c r="M492" t="str">
        <f t="shared" si="23"/>
        <v>Sep-2014</v>
      </c>
    </row>
    <row r="493" spans="1:13" x14ac:dyDescent="0.3">
      <c r="A493" t="s">
        <v>905</v>
      </c>
      <c r="B493" s="1" t="s">
        <v>224</v>
      </c>
      <c r="C493" s="1" t="s">
        <v>50</v>
      </c>
      <c r="D493" s="1" t="s">
        <v>24</v>
      </c>
      <c r="E493" s="5">
        <v>42810</v>
      </c>
      <c r="F493" s="3" t="s">
        <v>122</v>
      </c>
      <c r="G493" s="1" t="s">
        <v>906</v>
      </c>
      <c r="H493" s="1">
        <v>50</v>
      </c>
      <c r="I493" s="1">
        <v>44</v>
      </c>
      <c r="J493" s="2">
        <v>0.12</v>
      </c>
      <c r="K493">
        <f t="shared" si="21"/>
        <v>5.2799999999999994</v>
      </c>
      <c r="L493">
        <f t="shared" si="22"/>
        <v>38.72</v>
      </c>
      <c r="M493" t="str">
        <f t="shared" si="23"/>
        <v>Mar-2017</v>
      </c>
    </row>
    <row r="494" spans="1:13" x14ac:dyDescent="0.3">
      <c r="A494" t="s">
        <v>907</v>
      </c>
      <c r="B494" s="1" t="s">
        <v>264</v>
      </c>
      <c r="C494" s="1" t="s">
        <v>265</v>
      </c>
      <c r="D494" s="1" t="s">
        <v>13</v>
      </c>
      <c r="E494" s="5">
        <v>42697</v>
      </c>
      <c r="F494" s="3" t="s">
        <v>115</v>
      </c>
      <c r="G494" s="1" t="s">
        <v>802</v>
      </c>
      <c r="H494" s="1">
        <v>250</v>
      </c>
      <c r="I494" s="1">
        <v>218</v>
      </c>
      <c r="J494" s="2">
        <v>0.128</v>
      </c>
      <c r="K494">
        <f t="shared" si="21"/>
        <v>27.904</v>
      </c>
      <c r="L494">
        <f t="shared" si="22"/>
        <v>190.096</v>
      </c>
      <c r="M494" t="str">
        <f t="shared" si="23"/>
        <v>Nov-2016</v>
      </c>
    </row>
    <row r="495" spans="1:13" x14ac:dyDescent="0.3">
      <c r="A495" t="s">
        <v>908</v>
      </c>
      <c r="B495" s="1" t="s">
        <v>118</v>
      </c>
      <c r="C495" s="1" t="s">
        <v>119</v>
      </c>
      <c r="D495" s="1" t="s">
        <v>35</v>
      </c>
      <c r="E495" s="5">
        <v>43389</v>
      </c>
      <c r="F495" s="3" t="s">
        <v>30</v>
      </c>
      <c r="G495" s="1" t="s">
        <v>909</v>
      </c>
      <c r="H495" s="1">
        <v>150</v>
      </c>
      <c r="I495" s="1">
        <v>144</v>
      </c>
      <c r="J495" s="2">
        <v>0.04</v>
      </c>
      <c r="K495">
        <f t="shared" si="21"/>
        <v>5.76</v>
      </c>
      <c r="L495">
        <f t="shared" si="22"/>
        <v>138.24</v>
      </c>
      <c r="M495" t="str">
        <f t="shared" si="23"/>
        <v>Oct-2018</v>
      </c>
    </row>
    <row r="496" spans="1:13" x14ac:dyDescent="0.3">
      <c r="A496" t="s">
        <v>910</v>
      </c>
      <c r="B496" s="1" t="s">
        <v>99</v>
      </c>
      <c r="C496" s="1" t="s">
        <v>100</v>
      </c>
      <c r="D496" s="1" t="s">
        <v>13</v>
      </c>
      <c r="E496" s="5">
        <v>42019</v>
      </c>
      <c r="F496" s="3" t="s">
        <v>61</v>
      </c>
      <c r="G496" s="1" t="s">
        <v>911</v>
      </c>
      <c r="H496" s="1">
        <v>1000</v>
      </c>
      <c r="I496" s="1">
        <v>890</v>
      </c>
      <c r="J496" s="2">
        <v>0.11</v>
      </c>
      <c r="K496">
        <f t="shared" si="21"/>
        <v>97.9</v>
      </c>
      <c r="L496">
        <f t="shared" si="22"/>
        <v>792.1</v>
      </c>
      <c r="M496" t="str">
        <f t="shared" si="23"/>
        <v>Jan-2015</v>
      </c>
    </row>
    <row r="497" spans="1:13" x14ac:dyDescent="0.3">
      <c r="A497" t="s">
        <v>912</v>
      </c>
      <c r="B497" s="1" t="s">
        <v>17</v>
      </c>
      <c r="C497" s="1" t="s">
        <v>18</v>
      </c>
      <c r="D497" s="1" t="s">
        <v>19</v>
      </c>
      <c r="E497" s="5">
        <v>42399</v>
      </c>
      <c r="F497" s="3" t="s">
        <v>30</v>
      </c>
      <c r="G497" s="1" t="s">
        <v>913</v>
      </c>
      <c r="H497" s="1">
        <v>150</v>
      </c>
      <c r="I497" s="1">
        <v>150</v>
      </c>
      <c r="J497" s="2">
        <v>0</v>
      </c>
      <c r="K497">
        <f t="shared" si="21"/>
        <v>0</v>
      </c>
      <c r="L497">
        <f t="shared" si="22"/>
        <v>150</v>
      </c>
      <c r="M497" t="str">
        <f t="shared" si="23"/>
        <v>Jan-2016</v>
      </c>
    </row>
    <row r="498" spans="1:13" x14ac:dyDescent="0.3">
      <c r="A498" t="s">
        <v>914</v>
      </c>
      <c r="B498" s="1" t="s">
        <v>289</v>
      </c>
      <c r="C498" s="1" t="s">
        <v>108</v>
      </c>
      <c r="D498" s="1" t="s">
        <v>19</v>
      </c>
      <c r="E498" s="5">
        <v>42059</v>
      </c>
      <c r="F498" s="3" t="s">
        <v>115</v>
      </c>
      <c r="G498" s="1" t="s">
        <v>500</v>
      </c>
      <c r="H498" s="1">
        <v>250</v>
      </c>
      <c r="I498" s="1">
        <v>238</v>
      </c>
      <c r="J498" s="2">
        <v>4.8000000000000001E-2</v>
      </c>
      <c r="K498">
        <f t="shared" si="21"/>
        <v>11.423999999999999</v>
      </c>
      <c r="L498">
        <f t="shared" si="22"/>
        <v>226.57599999999999</v>
      </c>
      <c r="M498" t="str">
        <f t="shared" si="23"/>
        <v>Feb-2015</v>
      </c>
    </row>
    <row r="499" spans="1:13" x14ac:dyDescent="0.3">
      <c r="A499" t="s">
        <v>915</v>
      </c>
      <c r="B499" s="1" t="s">
        <v>124</v>
      </c>
      <c r="C499" s="1" t="s">
        <v>40</v>
      </c>
      <c r="D499" s="1" t="s">
        <v>35</v>
      </c>
      <c r="E499" s="5">
        <v>43422</v>
      </c>
      <c r="F499" s="3" t="s">
        <v>122</v>
      </c>
      <c r="G499" s="1" t="s">
        <v>916</v>
      </c>
      <c r="H499" s="1">
        <v>50</v>
      </c>
      <c r="I499" s="1">
        <v>49</v>
      </c>
      <c r="J499" s="2">
        <v>0.02</v>
      </c>
      <c r="K499">
        <f t="shared" si="21"/>
        <v>0.98</v>
      </c>
      <c r="L499">
        <f t="shared" si="22"/>
        <v>48.02</v>
      </c>
      <c r="M499" t="str">
        <f t="shared" si="23"/>
        <v>Nov-2018</v>
      </c>
    </row>
    <row r="500" spans="1:13" x14ac:dyDescent="0.3">
      <c r="A500" t="s">
        <v>917</v>
      </c>
      <c r="B500" s="1" t="s">
        <v>49</v>
      </c>
      <c r="C500" s="1" t="s">
        <v>50</v>
      </c>
      <c r="D500" s="1" t="s">
        <v>24</v>
      </c>
      <c r="E500" s="5">
        <v>42930</v>
      </c>
      <c r="F500" s="3" t="s">
        <v>25</v>
      </c>
      <c r="G500" s="1" t="s">
        <v>918</v>
      </c>
      <c r="H500" s="1">
        <v>700</v>
      </c>
      <c r="I500" s="1">
        <v>630</v>
      </c>
      <c r="J500" s="2">
        <v>0.1</v>
      </c>
      <c r="K500">
        <f t="shared" si="21"/>
        <v>63</v>
      </c>
      <c r="L500">
        <f t="shared" si="22"/>
        <v>567</v>
      </c>
      <c r="M500" t="str">
        <f t="shared" si="23"/>
        <v>Jul-2017</v>
      </c>
    </row>
    <row r="501" spans="1:13" x14ac:dyDescent="0.3">
      <c r="A501" t="s">
        <v>919</v>
      </c>
      <c r="B501" s="1" t="s">
        <v>127</v>
      </c>
      <c r="C501" s="1" t="s">
        <v>128</v>
      </c>
      <c r="D501" s="1" t="s">
        <v>13</v>
      </c>
      <c r="E501" s="5">
        <v>42809</v>
      </c>
      <c r="F501" s="3" t="s">
        <v>36</v>
      </c>
      <c r="G501" s="1" t="s">
        <v>920</v>
      </c>
      <c r="H501" s="1">
        <v>50</v>
      </c>
      <c r="I501" s="1">
        <v>48</v>
      </c>
      <c r="J501" s="2">
        <v>0.04</v>
      </c>
      <c r="K501">
        <f t="shared" si="21"/>
        <v>1.92</v>
      </c>
      <c r="L501">
        <f t="shared" si="22"/>
        <v>46.08</v>
      </c>
      <c r="M501" t="str">
        <f t="shared" si="23"/>
        <v>Mar-2017</v>
      </c>
    </row>
    <row r="502" spans="1:13" x14ac:dyDescent="0.3">
      <c r="A502" t="s">
        <v>921</v>
      </c>
      <c r="B502" s="1" t="s">
        <v>324</v>
      </c>
      <c r="C502" s="1" t="s">
        <v>325</v>
      </c>
      <c r="D502" s="1" t="s">
        <v>13</v>
      </c>
      <c r="E502" s="5">
        <v>42331</v>
      </c>
      <c r="F502" s="3" t="s">
        <v>46</v>
      </c>
      <c r="G502" s="1" t="s">
        <v>922</v>
      </c>
      <c r="H502" s="1">
        <v>500</v>
      </c>
      <c r="I502" s="1">
        <v>500</v>
      </c>
      <c r="J502" s="2">
        <v>0</v>
      </c>
      <c r="K502">
        <f t="shared" si="21"/>
        <v>0</v>
      </c>
      <c r="L502">
        <f t="shared" si="22"/>
        <v>500</v>
      </c>
      <c r="M502" t="str">
        <f t="shared" si="23"/>
        <v>Nov-2015</v>
      </c>
    </row>
    <row r="503" spans="1:13" x14ac:dyDescent="0.3">
      <c r="A503" t="s">
        <v>923</v>
      </c>
      <c r="B503" s="1" t="s">
        <v>241</v>
      </c>
      <c r="C503" s="1" t="s">
        <v>242</v>
      </c>
      <c r="D503" s="1" t="s">
        <v>13</v>
      </c>
      <c r="E503" s="5">
        <v>42783</v>
      </c>
      <c r="F503" s="3" t="s">
        <v>41</v>
      </c>
      <c r="G503" s="1" t="s">
        <v>287</v>
      </c>
      <c r="H503" s="1">
        <v>30</v>
      </c>
      <c r="I503" s="1">
        <v>29</v>
      </c>
      <c r="J503" s="2">
        <v>3.3300000000000003E-2</v>
      </c>
      <c r="K503">
        <f t="shared" si="21"/>
        <v>0.96570000000000011</v>
      </c>
      <c r="L503">
        <f t="shared" si="22"/>
        <v>28.034299999999998</v>
      </c>
      <c r="M503" t="str">
        <f t="shared" si="23"/>
        <v>Feb-2017</v>
      </c>
    </row>
    <row r="504" spans="1:13" x14ac:dyDescent="0.3">
      <c r="A504" t="s">
        <v>924</v>
      </c>
      <c r="B504" s="1" t="s">
        <v>157</v>
      </c>
      <c r="C504" s="1" t="s">
        <v>108</v>
      </c>
      <c r="D504" s="1" t="s">
        <v>19</v>
      </c>
      <c r="E504" s="5">
        <v>42789</v>
      </c>
      <c r="F504" s="3" t="s">
        <v>72</v>
      </c>
      <c r="G504" s="1" t="s">
        <v>925</v>
      </c>
      <c r="H504" s="1">
        <v>500</v>
      </c>
      <c r="I504" s="1">
        <v>495</v>
      </c>
      <c r="J504" s="2">
        <v>0.01</v>
      </c>
      <c r="K504">
        <f t="shared" si="21"/>
        <v>4.95</v>
      </c>
      <c r="L504">
        <f t="shared" si="22"/>
        <v>490.05</v>
      </c>
      <c r="M504" t="str">
        <f t="shared" si="23"/>
        <v>Feb-2017</v>
      </c>
    </row>
    <row r="505" spans="1:13" x14ac:dyDescent="0.3">
      <c r="A505" t="s">
        <v>926</v>
      </c>
      <c r="B505" s="1" t="s">
        <v>289</v>
      </c>
      <c r="C505" s="1" t="s">
        <v>108</v>
      </c>
      <c r="D505" s="1" t="s">
        <v>19</v>
      </c>
      <c r="E505" s="5">
        <v>43456</v>
      </c>
      <c r="F505" s="3" t="s">
        <v>30</v>
      </c>
      <c r="G505" s="1" t="s">
        <v>346</v>
      </c>
      <c r="H505" s="1">
        <v>150</v>
      </c>
      <c r="I505" s="1">
        <v>149</v>
      </c>
      <c r="J505" s="2">
        <v>6.7000000000000002E-3</v>
      </c>
      <c r="K505">
        <f t="shared" si="21"/>
        <v>0.99830000000000008</v>
      </c>
      <c r="L505">
        <f t="shared" si="22"/>
        <v>148.0017</v>
      </c>
      <c r="M505" t="str">
        <f t="shared" si="23"/>
        <v>Dec-2018</v>
      </c>
    </row>
    <row r="506" spans="1:13" x14ac:dyDescent="0.3">
      <c r="A506" t="s">
        <v>927</v>
      </c>
      <c r="B506" s="1" t="s">
        <v>107</v>
      </c>
      <c r="C506" s="1" t="s">
        <v>108</v>
      </c>
      <c r="D506" s="1" t="s">
        <v>19</v>
      </c>
      <c r="E506" s="5">
        <v>42504</v>
      </c>
      <c r="F506" s="3" t="s">
        <v>104</v>
      </c>
      <c r="G506" s="1" t="s">
        <v>109</v>
      </c>
      <c r="H506" s="1">
        <v>70</v>
      </c>
      <c r="I506" s="1">
        <v>54</v>
      </c>
      <c r="J506" s="2">
        <v>0.2286</v>
      </c>
      <c r="K506">
        <f t="shared" si="21"/>
        <v>12.3444</v>
      </c>
      <c r="L506">
        <f t="shared" si="22"/>
        <v>41.6556</v>
      </c>
      <c r="M506" t="str">
        <f t="shared" si="23"/>
        <v>May-2016</v>
      </c>
    </row>
    <row r="507" spans="1:13" x14ac:dyDescent="0.3">
      <c r="A507" t="s">
        <v>928</v>
      </c>
      <c r="B507" s="1" t="s">
        <v>64</v>
      </c>
      <c r="C507" s="1" t="s">
        <v>65</v>
      </c>
      <c r="D507" s="1" t="s">
        <v>35</v>
      </c>
      <c r="E507" s="5">
        <v>42700</v>
      </c>
      <c r="F507" s="3" t="s">
        <v>72</v>
      </c>
      <c r="G507" s="1" t="s">
        <v>66</v>
      </c>
      <c r="H507" s="1">
        <v>500</v>
      </c>
      <c r="I507" s="1">
        <v>490</v>
      </c>
      <c r="J507" s="2">
        <v>0.02</v>
      </c>
      <c r="K507">
        <f t="shared" si="21"/>
        <v>9.8000000000000007</v>
      </c>
      <c r="L507">
        <f t="shared" si="22"/>
        <v>480.2</v>
      </c>
      <c r="M507" t="str">
        <f t="shared" si="23"/>
        <v>Nov-2016</v>
      </c>
    </row>
    <row r="508" spans="1:13" x14ac:dyDescent="0.3">
      <c r="A508" t="s">
        <v>929</v>
      </c>
      <c r="B508" s="1" t="s">
        <v>434</v>
      </c>
      <c r="C508" s="1" t="s">
        <v>435</v>
      </c>
      <c r="D508" s="1" t="s">
        <v>24</v>
      </c>
      <c r="E508" s="5">
        <v>42084</v>
      </c>
      <c r="F508" s="3" t="s">
        <v>122</v>
      </c>
      <c r="G508" s="1" t="s">
        <v>764</v>
      </c>
      <c r="H508" s="1">
        <v>50</v>
      </c>
      <c r="I508" s="1">
        <v>46</v>
      </c>
      <c r="J508" s="2">
        <v>0.08</v>
      </c>
      <c r="K508">
        <f t="shared" si="21"/>
        <v>3.68</v>
      </c>
      <c r="L508">
        <f t="shared" si="22"/>
        <v>42.32</v>
      </c>
      <c r="M508" t="str">
        <f t="shared" si="23"/>
        <v>Mar-2015</v>
      </c>
    </row>
    <row r="509" spans="1:13" x14ac:dyDescent="0.3">
      <c r="A509" t="s">
        <v>930</v>
      </c>
      <c r="B509" s="1" t="s">
        <v>44</v>
      </c>
      <c r="C509" s="1" t="s">
        <v>45</v>
      </c>
      <c r="D509" s="1" t="s">
        <v>24</v>
      </c>
      <c r="E509" s="5">
        <v>42568</v>
      </c>
      <c r="F509" s="3" t="s">
        <v>55</v>
      </c>
      <c r="G509" s="1" t="s">
        <v>253</v>
      </c>
      <c r="H509" s="1">
        <v>800</v>
      </c>
      <c r="I509" s="1">
        <v>600</v>
      </c>
      <c r="J509" s="2">
        <v>0.25</v>
      </c>
      <c r="K509">
        <f t="shared" si="21"/>
        <v>150</v>
      </c>
      <c r="L509">
        <f t="shared" si="22"/>
        <v>450</v>
      </c>
      <c r="M509" t="str">
        <f t="shared" si="23"/>
        <v>Jul-2016</v>
      </c>
    </row>
    <row r="510" spans="1:13" x14ac:dyDescent="0.3">
      <c r="A510" t="s">
        <v>931</v>
      </c>
      <c r="B510" s="1" t="s">
        <v>53</v>
      </c>
      <c r="C510" s="1" t="s">
        <v>54</v>
      </c>
      <c r="D510" s="1" t="s">
        <v>13</v>
      </c>
      <c r="E510" s="5">
        <v>42751</v>
      </c>
      <c r="F510" s="3" t="s">
        <v>25</v>
      </c>
      <c r="G510" s="1" t="s">
        <v>56</v>
      </c>
      <c r="H510" s="1">
        <v>700</v>
      </c>
      <c r="I510" s="1">
        <v>665</v>
      </c>
      <c r="J510" s="2">
        <v>0.05</v>
      </c>
      <c r="K510">
        <f t="shared" si="21"/>
        <v>33.25</v>
      </c>
      <c r="L510">
        <f t="shared" si="22"/>
        <v>631.75</v>
      </c>
      <c r="M510" t="str">
        <f t="shared" si="23"/>
        <v>Jan-2017</v>
      </c>
    </row>
    <row r="511" spans="1:13" x14ac:dyDescent="0.3">
      <c r="A511" t="s">
        <v>932</v>
      </c>
      <c r="B511" s="1" t="s">
        <v>241</v>
      </c>
      <c r="C511" s="1" t="s">
        <v>242</v>
      </c>
      <c r="D511" s="1" t="s">
        <v>13</v>
      </c>
      <c r="E511" s="5">
        <v>42960</v>
      </c>
      <c r="F511" s="3" t="s">
        <v>46</v>
      </c>
      <c r="G511" s="1" t="s">
        <v>426</v>
      </c>
      <c r="H511" s="1">
        <v>500</v>
      </c>
      <c r="I511" s="1">
        <v>480</v>
      </c>
      <c r="J511" s="2">
        <v>0.04</v>
      </c>
      <c r="K511">
        <f t="shared" si="21"/>
        <v>19.2</v>
      </c>
      <c r="L511">
        <f t="shared" si="22"/>
        <v>460.8</v>
      </c>
      <c r="M511" t="str">
        <f t="shared" si="23"/>
        <v>Aug-2017</v>
      </c>
    </row>
    <row r="512" spans="1:13" x14ac:dyDescent="0.3">
      <c r="A512" t="s">
        <v>933</v>
      </c>
      <c r="B512" s="1" t="s">
        <v>77</v>
      </c>
      <c r="C512" s="1" t="s">
        <v>78</v>
      </c>
      <c r="D512" s="1" t="s">
        <v>35</v>
      </c>
      <c r="E512" s="5">
        <v>43064</v>
      </c>
      <c r="F512" s="3" t="s">
        <v>55</v>
      </c>
      <c r="G512" s="1" t="s">
        <v>317</v>
      </c>
      <c r="H512" s="1">
        <v>800</v>
      </c>
      <c r="I512" s="1">
        <v>528</v>
      </c>
      <c r="J512" s="2">
        <v>0.34</v>
      </c>
      <c r="K512">
        <f t="shared" si="21"/>
        <v>179.52</v>
      </c>
      <c r="L512">
        <f t="shared" si="22"/>
        <v>348.48</v>
      </c>
      <c r="M512" t="str">
        <f t="shared" si="23"/>
        <v>Nov-2017</v>
      </c>
    </row>
    <row r="513" spans="1:13" x14ac:dyDescent="0.3">
      <c r="A513" t="s">
        <v>934</v>
      </c>
      <c r="B513" s="1" t="s">
        <v>124</v>
      </c>
      <c r="C513" s="1" t="s">
        <v>40</v>
      </c>
      <c r="D513" s="1" t="s">
        <v>35</v>
      </c>
      <c r="E513" s="5">
        <v>42994</v>
      </c>
      <c r="F513" s="3" t="s">
        <v>115</v>
      </c>
      <c r="G513" s="1" t="s">
        <v>575</v>
      </c>
      <c r="H513" s="1">
        <v>250</v>
      </c>
      <c r="I513" s="1">
        <v>225</v>
      </c>
      <c r="J513" s="2">
        <v>0.1</v>
      </c>
      <c r="K513">
        <f t="shared" si="21"/>
        <v>22.5</v>
      </c>
      <c r="L513">
        <f t="shared" si="22"/>
        <v>202.5</v>
      </c>
      <c r="M513" t="str">
        <f t="shared" si="23"/>
        <v>Sep-2017</v>
      </c>
    </row>
    <row r="514" spans="1:13" x14ac:dyDescent="0.3">
      <c r="A514" t="s">
        <v>935</v>
      </c>
      <c r="B514" s="1" t="s">
        <v>182</v>
      </c>
      <c r="C514" s="1" t="s">
        <v>108</v>
      </c>
      <c r="D514" s="1" t="s">
        <v>19</v>
      </c>
      <c r="E514" s="5">
        <v>42749</v>
      </c>
      <c r="F514" s="3" t="s">
        <v>30</v>
      </c>
      <c r="G514" s="1" t="s">
        <v>502</v>
      </c>
      <c r="H514" s="1">
        <v>150</v>
      </c>
      <c r="I514" s="1">
        <v>113</v>
      </c>
      <c r="J514" s="2">
        <v>0.2467</v>
      </c>
      <c r="K514">
        <f t="shared" si="21"/>
        <v>27.877099999999999</v>
      </c>
      <c r="L514">
        <f t="shared" si="22"/>
        <v>85.122900000000001</v>
      </c>
      <c r="M514" t="str">
        <f t="shared" si="23"/>
        <v>Jan-2017</v>
      </c>
    </row>
    <row r="515" spans="1:13" x14ac:dyDescent="0.3">
      <c r="A515" t="s">
        <v>936</v>
      </c>
      <c r="B515" s="1" t="s">
        <v>227</v>
      </c>
      <c r="C515" s="1" t="s">
        <v>228</v>
      </c>
      <c r="D515" s="1" t="s">
        <v>24</v>
      </c>
      <c r="E515" s="5">
        <v>43451</v>
      </c>
      <c r="F515" s="3" t="s">
        <v>46</v>
      </c>
      <c r="G515" s="1" t="s">
        <v>937</v>
      </c>
      <c r="H515" s="1">
        <v>500</v>
      </c>
      <c r="I515" s="1">
        <v>440</v>
      </c>
      <c r="J515" s="2">
        <v>0.12</v>
      </c>
      <c r="K515">
        <f t="shared" si="21"/>
        <v>52.8</v>
      </c>
      <c r="L515">
        <f t="shared" si="22"/>
        <v>387.2</v>
      </c>
      <c r="M515" t="str">
        <f t="shared" si="23"/>
        <v>Dec-2018</v>
      </c>
    </row>
    <row r="516" spans="1:13" x14ac:dyDescent="0.3">
      <c r="A516" t="s">
        <v>938</v>
      </c>
      <c r="B516" s="1" t="s">
        <v>91</v>
      </c>
      <c r="C516" s="1" t="s">
        <v>92</v>
      </c>
      <c r="D516" s="1" t="s">
        <v>35</v>
      </c>
      <c r="E516" s="5">
        <v>42731</v>
      </c>
      <c r="F516" s="3" t="s">
        <v>104</v>
      </c>
      <c r="G516" s="1" t="s">
        <v>939</v>
      </c>
      <c r="H516" s="1">
        <v>70</v>
      </c>
      <c r="I516" s="1">
        <v>44</v>
      </c>
      <c r="J516" s="2">
        <v>0.37140000000000001</v>
      </c>
      <c r="K516">
        <f t="shared" ref="K516:K579" si="24">I516*J516</f>
        <v>16.3416</v>
      </c>
      <c r="L516">
        <f t="shared" ref="L516:L579" si="25">I516-K516</f>
        <v>27.6584</v>
      </c>
      <c r="M516" t="str">
        <f t="shared" ref="M516:M579" si="26">TEXT(E516, "mmm-yyyy")</f>
        <v>Dec-2016</v>
      </c>
    </row>
    <row r="517" spans="1:13" x14ac:dyDescent="0.3">
      <c r="A517" t="s">
        <v>940</v>
      </c>
      <c r="B517" s="1" t="s">
        <v>170</v>
      </c>
      <c r="C517" s="1" t="s">
        <v>171</v>
      </c>
      <c r="D517" s="1" t="s">
        <v>13</v>
      </c>
      <c r="E517" s="5">
        <v>42694</v>
      </c>
      <c r="F517" s="3" t="s">
        <v>115</v>
      </c>
      <c r="G517" s="1" t="s">
        <v>941</v>
      </c>
      <c r="H517" s="1">
        <v>250</v>
      </c>
      <c r="I517" s="1">
        <v>73</v>
      </c>
      <c r="J517" s="2">
        <v>0.70799999999999996</v>
      </c>
      <c r="K517">
        <f t="shared" si="24"/>
        <v>51.683999999999997</v>
      </c>
      <c r="L517">
        <f t="shared" si="25"/>
        <v>21.316000000000003</v>
      </c>
      <c r="M517" t="str">
        <f t="shared" si="26"/>
        <v>Nov-2016</v>
      </c>
    </row>
    <row r="518" spans="1:13" x14ac:dyDescent="0.3">
      <c r="A518" t="s">
        <v>942</v>
      </c>
      <c r="B518" s="1" t="s">
        <v>124</v>
      </c>
      <c r="C518" s="1" t="s">
        <v>40</v>
      </c>
      <c r="D518" s="1" t="s">
        <v>35</v>
      </c>
      <c r="E518" s="5">
        <v>43128</v>
      </c>
      <c r="F518" s="3" t="s">
        <v>36</v>
      </c>
      <c r="G518" s="1" t="s">
        <v>916</v>
      </c>
      <c r="H518" s="1">
        <v>50</v>
      </c>
      <c r="I518" s="1">
        <v>34</v>
      </c>
      <c r="J518" s="2">
        <v>0.32</v>
      </c>
      <c r="K518">
        <f t="shared" si="24"/>
        <v>10.88</v>
      </c>
      <c r="L518">
        <f t="shared" si="25"/>
        <v>23.119999999999997</v>
      </c>
      <c r="M518" t="str">
        <f t="shared" si="26"/>
        <v>Jan-2018</v>
      </c>
    </row>
    <row r="519" spans="1:13" x14ac:dyDescent="0.3">
      <c r="A519" t="s">
        <v>943</v>
      </c>
      <c r="B519" s="1" t="s">
        <v>400</v>
      </c>
      <c r="C519" s="1" t="s">
        <v>401</v>
      </c>
      <c r="D519" s="1" t="s">
        <v>13</v>
      </c>
      <c r="E519" s="5">
        <v>43207</v>
      </c>
      <c r="F519" s="3" t="s">
        <v>14</v>
      </c>
      <c r="G519" s="1" t="s">
        <v>618</v>
      </c>
      <c r="H519" s="1">
        <v>80</v>
      </c>
      <c r="I519" s="1">
        <v>78</v>
      </c>
      <c r="J519" s="2">
        <v>2.5000000000000001E-2</v>
      </c>
      <c r="K519">
        <f t="shared" si="24"/>
        <v>1.9500000000000002</v>
      </c>
      <c r="L519">
        <f t="shared" si="25"/>
        <v>76.05</v>
      </c>
      <c r="M519" t="str">
        <f t="shared" si="26"/>
        <v>Apr-2018</v>
      </c>
    </row>
    <row r="520" spans="1:13" x14ac:dyDescent="0.3">
      <c r="A520" t="s">
        <v>944</v>
      </c>
      <c r="B520" s="1" t="s">
        <v>64</v>
      </c>
      <c r="C520" s="1" t="s">
        <v>65</v>
      </c>
      <c r="D520" s="1" t="s">
        <v>35</v>
      </c>
      <c r="E520" s="5">
        <v>43449</v>
      </c>
      <c r="F520" s="3" t="s">
        <v>30</v>
      </c>
      <c r="G520" s="1" t="s">
        <v>299</v>
      </c>
      <c r="H520" s="1">
        <v>150</v>
      </c>
      <c r="I520" s="1">
        <v>149</v>
      </c>
      <c r="J520" s="2">
        <v>6.7000000000000002E-3</v>
      </c>
      <c r="K520">
        <f t="shared" si="24"/>
        <v>0.99830000000000008</v>
      </c>
      <c r="L520">
        <f t="shared" si="25"/>
        <v>148.0017</v>
      </c>
      <c r="M520" t="str">
        <f t="shared" si="26"/>
        <v>Dec-2018</v>
      </c>
    </row>
    <row r="521" spans="1:13" x14ac:dyDescent="0.3">
      <c r="A521" t="s">
        <v>945</v>
      </c>
      <c r="B521" s="1" t="s">
        <v>107</v>
      </c>
      <c r="C521" s="1" t="s">
        <v>108</v>
      </c>
      <c r="D521" s="1" t="s">
        <v>19</v>
      </c>
      <c r="E521" s="5">
        <v>43300</v>
      </c>
      <c r="F521" s="3" t="s">
        <v>115</v>
      </c>
      <c r="G521" s="1" t="s">
        <v>946</v>
      </c>
      <c r="H521" s="1">
        <v>250</v>
      </c>
      <c r="I521" s="1">
        <v>250</v>
      </c>
      <c r="J521" s="2">
        <v>0</v>
      </c>
      <c r="K521">
        <f t="shared" si="24"/>
        <v>0</v>
      </c>
      <c r="L521">
        <f t="shared" si="25"/>
        <v>250</v>
      </c>
      <c r="M521" t="str">
        <f t="shared" si="26"/>
        <v>Jul-2018</v>
      </c>
    </row>
    <row r="522" spans="1:13" x14ac:dyDescent="0.3">
      <c r="A522" t="s">
        <v>947</v>
      </c>
      <c r="B522" s="1" t="s">
        <v>99</v>
      </c>
      <c r="C522" s="1" t="s">
        <v>100</v>
      </c>
      <c r="D522" s="1" t="s">
        <v>13</v>
      </c>
      <c r="E522" s="5">
        <v>42035</v>
      </c>
      <c r="F522" s="3" t="s">
        <v>25</v>
      </c>
      <c r="G522" s="1" t="s">
        <v>948</v>
      </c>
      <c r="H522" s="1">
        <v>700</v>
      </c>
      <c r="I522" s="1">
        <v>665</v>
      </c>
      <c r="J522" s="2">
        <v>0.05</v>
      </c>
      <c r="K522">
        <f t="shared" si="24"/>
        <v>33.25</v>
      </c>
      <c r="L522">
        <f t="shared" si="25"/>
        <v>631.75</v>
      </c>
      <c r="M522" t="str">
        <f t="shared" si="26"/>
        <v>Jan-2015</v>
      </c>
    </row>
    <row r="523" spans="1:13" x14ac:dyDescent="0.3">
      <c r="A523" t="s">
        <v>949</v>
      </c>
      <c r="B523" s="1" t="s">
        <v>205</v>
      </c>
      <c r="C523" s="1" t="s">
        <v>206</v>
      </c>
      <c r="D523" s="1" t="s">
        <v>24</v>
      </c>
      <c r="E523" s="5">
        <v>42540</v>
      </c>
      <c r="F523" s="3" t="s">
        <v>30</v>
      </c>
      <c r="G523" s="1" t="s">
        <v>759</v>
      </c>
      <c r="H523" s="1">
        <v>150</v>
      </c>
      <c r="I523" s="1">
        <v>140</v>
      </c>
      <c r="J523" s="2">
        <v>6.6699999999999995E-2</v>
      </c>
      <c r="K523">
        <f t="shared" si="24"/>
        <v>9.3379999999999992</v>
      </c>
      <c r="L523">
        <f t="shared" si="25"/>
        <v>130.66200000000001</v>
      </c>
      <c r="M523" t="str">
        <f t="shared" si="26"/>
        <v>Jun-2016</v>
      </c>
    </row>
    <row r="524" spans="1:13" x14ac:dyDescent="0.3">
      <c r="A524" t="s">
        <v>950</v>
      </c>
      <c r="B524" s="1" t="s">
        <v>241</v>
      </c>
      <c r="C524" s="1" t="s">
        <v>242</v>
      </c>
      <c r="D524" s="1" t="s">
        <v>13</v>
      </c>
      <c r="E524" s="5">
        <v>42965</v>
      </c>
      <c r="F524" s="3" t="s">
        <v>55</v>
      </c>
      <c r="G524" s="1" t="s">
        <v>779</v>
      </c>
      <c r="H524" s="1">
        <v>800</v>
      </c>
      <c r="I524" s="1">
        <v>792</v>
      </c>
      <c r="J524" s="2">
        <v>0.01</v>
      </c>
      <c r="K524">
        <f t="shared" si="24"/>
        <v>7.92</v>
      </c>
      <c r="L524">
        <f t="shared" si="25"/>
        <v>784.08</v>
      </c>
      <c r="M524" t="str">
        <f t="shared" si="26"/>
        <v>Aug-2017</v>
      </c>
    </row>
    <row r="525" spans="1:13" x14ac:dyDescent="0.3">
      <c r="A525" t="s">
        <v>951</v>
      </c>
      <c r="B525" s="1" t="s">
        <v>91</v>
      </c>
      <c r="C525" s="1" t="s">
        <v>92</v>
      </c>
      <c r="D525" s="1" t="s">
        <v>35</v>
      </c>
      <c r="E525" s="5">
        <v>42413</v>
      </c>
      <c r="F525" s="3" t="s">
        <v>30</v>
      </c>
      <c r="G525" s="1" t="s">
        <v>900</v>
      </c>
      <c r="H525" s="1">
        <v>150</v>
      </c>
      <c r="I525" s="1">
        <v>138</v>
      </c>
      <c r="J525" s="2">
        <v>0.08</v>
      </c>
      <c r="K525">
        <f t="shared" si="24"/>
        <v>11.040000000000001</v>
      </c>
      <c r="L525">
        <f t="shared" si="25"/>
        <v>126.96</v>
      </c>
      <c r="M525" t="str">
        <f t="shared" si="26"/>
        <v>Feb-2016</v>
      </c>
    </row>
    <row r="526" spans="1:13" x14ac:dyDescent="0.3">
      <c r="A526" t="s">
        <v>952</v>
      </c>
      <c r="B526" s="1" t="s">
        <v>81</v>
      </c>
      <c r="C526" s="1" t="s">
        <v>82</v>
      </c>
      <c r="D526" s="1" t="s">
        <v>13</v>
      </c>
      <c r="E526" s="5">
        <v>42719</v>
      </c>
      <c r="F526" s="3" t="s">
        <v>41</v>
      </c>
      <c r="G526" s="1" t="s">
        <v>953</v>
      </c>
      <c r="H526" s="1">
        <v>30</v>
      </c>
      <c r="I526" s="1">
        <v>23</v>
      </c>
      <c r="J526" s="2">
        <v>0.23330000000000001</v>
      </c>
      <c r="K526">
        <f t="shared" si="24"/>
        <v>5.3658999999999999</v>
      </c>
      <c r="L526">
        <f t="shared" si="25"/>
        <v>17.6341</v>
      </c>
      <c r="M526" t="str">
        <f t="shared" si="26"/>
        <v>Dec-2016</v>
      </c>
    </row>
    <row r="527" spans="1:13" x14ac:dyDescent="0.3">
      <c r="A527" t="s">
        <v>954</v>
      </c>
      <c r="B527" s="1" t="s">
        <v>49</v>
      </c>
      <c r="C527" s="1" t="s">
        <v>50</v>
      </c>
      <c r="D527" s="1" t="s">
        <v>24</v>
      </c>
      <c r="E527" s="5">
        <v>43064</v>
      </c>
      <c r="F527" s="3" t="s">
        <v>14</v>
      </c>
      <c r="G527" s="1" t="s">
        <v>729</v>
      </c>
      <c r="H527" s="1">
        <v>80</v>
      </c>
      <c r="I527" s="1">
        <v>78</v>
      </c>
      <c r="J527" s="2">
        <v>2.5000000000000001E-2</v>
      </c>
      <c r="K527">
        <f t="shared" si="24"/>
        <v>1.9500000000000002</v>
      </c>
      <c r="L527">
        <f t="shared" si="25"/>
        <v>76.05</v>
      </c>
      <c r="M527" t="str">
        <f t="shared" si="26"/>
        <v>Nov-2017</v>
      </c>
    </row>
    <row r="528" spans="1:13" x14ac:dyDescent="0.3">
      <c r="A528" t="s">
        <v>955</v>
      </c>
      <c r="B528" s="1" t="s">
        <v>17</v>
      </c>
      <c r="C528" s="1" t="s">
        <v>18</v>
      </c>
      <c r="D528" s="1" t="s">
        <v>19</v>
      </c>
      <c r="E528" s="5">
        <v>43115</v>
      </c>
      <c r="F528" s="3" t="s">
        <v>36</v>
      </c>
      <c r="G528" s="1" t="s">
        <v>853</v>
      </c>
      <c r="H528" s="1">
        <v>50</v>
      </c>
      <c r="I528" s="1">
        <v>49</v>
      </c>
      <c r="J528" s="2">
        <v>0.02</v>
      </c>
      <c r="K528">
        <f t="shared" si="24"/>
        <v>0.98</v>
      </c>
      <c r="L528">
        <f t="shared" si="25"/>
        <v>48.02</v>
      </c>
      <c r="M528" t="str">
        <f t="shared" si="26"/>
        <v>Jan-2018</v>
      </c>
    </row>
    <row r="529" spans="1:13" x14ac:dyDescent="0.3">
      <c r="A529" t="s">
        <v>956</v>
      </c>
      <c r="B529" s="1" t="s">
        <v>187</v>
      </c>
      <c r="C529" s="1" t="s">
        <v>188</v>
      </c>
      <c r="D529" s="1" t="s">
        <v>13</v>
      </c>
      <c r="E529" s="5">
        <v>43297</v>
      </c>
      <c r="F529" s="3" t="s">
        <v>115</v>
      </c>
      <c r="G529" s="1" t="s">
        <v>791</v>
      </c>
      <c r="H529" s="1">
        <v>250</v>
      </c>
      <c r="I529" s="1">
        <v>235</v>
      </c>
      <c r="J529" s="2">
        <v>0.06</v>
      </c>
      <c r="K529">
        <f t="shared" si="24"/>
        <v>14.1</v>
      </c>
      <c r="L529">
        <f t="shared" si="25"/>
        <v>220.9</v>
      </c>
      <c r="M529" t="str">
        <f t="shared" si="26"/>
        <v>Jul-2018</v>
      </c>
    </row>
    <row r="530" spans="1:13" x14ac:dyDescent="0.3">
      <c r="A530" t="s">
        <v>957</v>
      </c>
      <c r="B530" s="1" t="s">
        <v>182</v>
      </c>
      <c r="C530" s="1" t="s">
        <v>108</v>
      </c>
      <c r="D530" s="1" t="s">
        <v>19</v>
      </c>
      <c r="E530" s="5">
        <v>42550</v>
      </c>
      <c r="F530" s="3" t="s">
        <v>72</v>
      </c>
      <c r="G530" s="1" t="s">
        <v>958</v>
      </c>
      <c r="H530" s="1">
        <v>500</v>
      </c>
      <c r="I530" s="1">
        <v>490</v>
      </c>
      <c r="J530" s="2">
        <v>0.02</v>
      </c>
      <c r="K530">
        <f t="shared" si="24"/>
        <v>9.8000000000000007</v>
      </c>
      <c r="L530">
        <f t="shared" si="25"/>
        <v>480.2</v>
      </c>
      <c r="M530" t="str">
        <f t="shared" si="26"/>
        <v>Jun-2016</v>
      </c>
    </row>
    <row r="531" spans="1:13" x14ac:dyDescent="0.3">
      <c r="A531" t="s">
        <v>959</v>
      </c>
      <c r="B531" s="1" t="s">
        <v>400</v>
      </c>
      <c r="C531" s="1" t="s">
        <v>401</v>
      </c>
      <c r="D531" s="1" t="s">
        <v>13</v>
      </c>
      <c r="E531" s="5">
        <v>42550</v>
      </c>
      <c r="F531" s="3" t="s">
        <v>25</v>
      </c>
      <c r="G531" s="1" t="s">
        <v>711</v>
      </c>
      <c r="H531" s="1">
        <v>700</v>
      </c>
      <c r="I531" s="1">
        <v>525</v>
      </c>
      <c r="J531" s="2">
        <v>0.25</v>
      </c>
      <c r="K531">
        <f t="shared" si="24"/>
        <v>131.25</v>
      </c>
      <c r="L531">
        <f t="shared" si="25"/>
        <v>393.75</v>
      </c>
      <c r="M531" t="str">
        <f t="shared" si="26"/>
        <v>Jun-2016</v>
      </c>
    </row>
    <row r="532" spans="1:13" x14ac:dyDescent="0.3">
      <c r="A532" t="s">
        <v>960</v>
      </c>
      <c r="B532" s="1" t="s">
        <v>241</v>
      </c>
      <c r="C532" s="1" t="s">
        <v>242</v>
      </c>
      <c r="D532" s="1" t="s">
        <v>13</v>
      </c>
      <c r="E532" s="5">
        <v>42825</v>
      </c>
      <c r="F532" s="3" t="s">
        <v>14</v>
      </c>
      <c r="G532" s="1" t="s">
        <v>287</v>
      </c>
      <c r="H532" s="1">
        <v>80</v>
      </c>
      <c r="I532" s="1">
        <v>74</v>
      </c>
      <c r="J532" s="2">
        <v>7.4999999999999997E-2</v>
      </c>
      <c r="K532">
        <f t="shared" si="24"/>
        <v>5.55</v>
      </c>
      <c r="L532">
        <f t="shared" si="25"/>
        <v>68.45</v>
      </c>
      <c r="M532" t="str">
        <f t="shared" si="26"/>
        <v>Mar-2017</v>
      </c>
    </row>
    <row r="533" spans="1:13" x14ac:dyDescent="0.3">
      <c r="A533" t="s">
        <v>961</v>
      </c>
      <c r="B533" s="1" t="s">
        <v>70</v>
      </c>
      <c r="C533" s="1" t="s">
        <v>71</v>
      </c>
      <c r="D533" s="1" t="s">
        <v>35</v>
      </c>
      <c r="E533" s="5">
        <v>42944</v>
      </c>
      <c r="F533" s="3" t="s">
        <v>55</v>
      </c>
      <c r="G533" s="1" t="s">
        <v>962</v>
      </c>
      <c r="H533" s="1">
        <v>800</v>
      </c>
      <c r="I533" s="1">
        <v>696</v>
      </c>
      <c r="J533" s="2">
        <v>0.13</v>
      </c>
      <c r="K533">
        <f t="shared" si="24"/>
        <v>90.48</v>
      </c>
      <c r="L533">
        <f t="shared" si="25"/>
        <v>605.52</v>
      </c>
      <c r="M533" t="str">
        <f t="shared" si="26"/>
        <v>Jul-2017</v>
      </c>
    </row>
    <row r="534" spans="1:13" x14ac:dyDescent="0.3">
      <c r="A534" t="s">
        <v>963</v>
      </c>
      <c r="B534" s="1" t="s">
        <v>324</v>
      </c>
      <c r="C534" s="1" t="s">
        <v>325</v>
      </c>
      <c r="D534" s="1" t="s">
        <v>13</v>
      </c>
      <c r="E534" s="5">
        <v>43203</v>
      </c>
      <c r="F534" s="3" t="s">
        <v>122</v>
      </c>
      <c r="G534" s="1" t="s">
        <v>326</v>
      </c>
      <c r="H534" s="1">
        <v>50</v>
      </c>
      <c r="I534" s="1">
        <v>50</v>
      </c>
      <c r="J534" s="2">
        <v>0</v>
      </c>
      <c r="K534">
        <f t="shared" si="24"/>
        <v>0</v>
      </c>
      <c r="L534">
        <f t="shared" si="25"/>
        <v>50</v>
      </c>
      <c r="M534" t="str">
        <f t="shared" si="26"/>
        <v>Apr-2018</v>
      </c>
    </row>
    <row r="535" spans="1:13" x14ac:dyDescent="0.3">
      <c r="A535" t="s">
        <v>964</v>
      </c>
      <c r="B535" s="1" t="s">
        <v>264</v>
      </c>
      <c r="C535" s="1" t="s">
        <v>265</v>
      </c>
      <c r="D535" s="1" t="s">
        <v>13</v>
      </c>
      <c r="E535" s="5">
        <v>42353</v>
      </c>
      <c r="F535" s="3" t="s">
        <v>36</v>
      </c>
      <c r="G535" s="1" t="s">
        <v>599</v>
      </c>
      <c r="H535" s="1">
        <v>50</v>
      </c>
      <c r="I535" s="1">
        <v>50</v>
      </c>
      <c r="J535" s="2">
        <v>0</v>
      </c>
      <c r="K535">
        <f t="shared" si="24"/>
        <v>0</v>
      </c>
      <c r="L535">
        <f t="shared" si="25"/>
        <v>50</v>
      </c>
      <c r="M535" t="str">
        <f t="shared" si="26"/>
        <v>Dec-2015</v>
      </c>
    </row>
    <row r="536" spans="1:13" x14ac:dyDescent="0.3">
      <c r="A536" t="s">
        <v>965</v>
      </c>
      <c r="B536" s="1" t="s">
        <v>127</v>
      </c>
      <c r="C536" s="1" t="s">
        <v>128</v>
      </c>
      <c r="D536" s="1" t="s">
        <v>13</v>
      </c>
      <c r="E536" s="5">
        <v>43069</v>
      </c>
      <c r="F536" s="3" t="s">
        <v>115</v>
      </c>
      <c r="G536" s="1" t="s">
        <v>233</v>
      </c>
      <c r="H536" s="1">
        <v>250</v>
      </c>
      <c r="I536" s="1">
        <v>225</v>
      </c>
      <c r="J536" s="2">
        <v>0.1</v>
      </c>
      <c r="K536">
        <f t="shared" si="24"/>
        <v>22.5</v>
      </c>
      <c r="L536">
        <f t="shared" si="25"/>
        <v>202.5</v>
      </c>
      <c r="M536" t="str">
        <f t="shared" si="26"/>
        <v>Nov-2017</v>
      </c>
    </row>
    <row r="537" spans="1:13" x14ac:dyDescent="0.3">
      <c r="A537" t="s">
        <v>966</v>
      </c>
      <c r="B537" s="1" t="s">
        <v>95</v>
      </c>
      <c r="C537" s="1" t="s">
        <v>96</v>
      </c>
      <c r="D537" s="1" t="s">
        <v>13</v>
      </c>
      <c r="E537" s="5">
        <v>42873</v>
      </c>
      <c r="F537" s="3" t="s">
        <v>55</v>
      </c>
      <c r="G537" s="1" t="s">
        <v>216</v>
      </c>
      <c r="H537" s="1">
        <v>800</v>
      </c>
      <c r="I537" s="1">
        <v>760</v>
      </c>
      <c r="J537" s="2">
        <v>0.05</v>
      </c>
      <c r="K537">
        <f t="shared" si="24"/>
        <v>38</v>
      </c>
      <c r="L537">
        <f t="shared" si="25"/>
        <v>722</v>
      </c>
      <c r="M537" t="str">
        <f t="shared" si="26"/>
        <v>May-2017</v>
      </c>
    </row>
    <row r="538" spans="1:13" x14ac:dyDescent="0.3">
      <c r="A538" t="s">
        <v>967</v>
      </c>
      <c r="B538" s="1" t="s">
        <v>91</v>
      </c>
      <c r="C538" s="1" t="s">
        <v>92</v>
      </c>
      <c r="D538" s="1" t="s">
        <v>35</v>
      </c>
      <c r="E538" s="5">
        <v>41899</v>
      </c>
      <c r="F538" s="3" t="s">
        <v>122</v>
      </c>
      <c r="G538" s="1" t="s">
        <v>495</v>
      </c>
      <c r="H538" s="1">
        <v>50</v>
      </c>
      <c r="I538" s="1">
        <v>49</v>
      </c>
      <c r="J538" s="2">
        <v>0.02</v>
      </c>
      <c r="K538">
        <f t="shared" si="24"/>
        <v>0.98</v>
      </c>
      <c r="L538">
        <f t="shared" si="25"/>
        <v>48.02</v>
      </c>
      <c r="M538" t="str">
        <f t="shared" si="26"/>
        <v>Sep-2014</v>
      </c>
    </row>
    <row r="539" spans="1:13" x14ac:dyDescent="0.3">
      <c r="A539" t="s">
        <v>968</v>
      </c>
      <c r="B539" s="1" t="s">
        <v>146</v>
      </c>
      <c r="C539" s="1" t="s">
        <v>147</v>
      </c>
      <c r="D539" s="1" t="s">
        <v>13</v>
      </c>
      <c r="E539" s="5">
        <v>41658</v>
      </c>
      <c r="F539" s="3" t="s">
        <v>72</v>
      </c>
      <c r="G539" s="1" t="s">
        <v>725</v>
      </c>
      <c r="H539" s="1">
        <v>500</v>
      </c>
      <c r="I539" s="1">
        <v>495</v>
      </c>
      <c r="J539" s="2">
        <v>0.01</v>
      </c>
      <c r="K539">
        <f t="shared" si="24"/>
        <v>4.95</v>
      </c>
      <c r="L539">
        <f t="shared" si="25"/>
        <v>490.05</v>
      </c>
      <c r="M539" t="str">
        <f t="shared" si="26"/>
        <v>Jan-2014</v>
      </c>
    </row>
    <row r="540" spans="1:13" x14ac:dyDescent="0.3">
      <c r="A540" t="s">
        <v>969</v>
      </c>
      <c r="B540" s="1" t="s">
        <v>124</v>
      </c>
      <c r="C540" s="1" t="s">
        <v>40</v>
      </c>
      <c r="D540" s="1" t="s">
        <v>35</v>
      </c>
      <c r="E540" s="5">
        <v>42945</v>
      </c>
      <c r="F540" s="3" t="s">
        <v>115</v>
      </c>
      <c r="G540" s="1" t="s">
        <v>970</v>
      </c>
      <c r="H540" s="1">
        <v>250</v>
      </c>
      <c r="I540" s="1">
        <v>213</v>
      </c>
      <c r="J540" s="2">
        <v>0.14799999999999999</v>
      </c>
      <c r="K540">
        <f t="shared" si="24"/>
        <v>31.523999999999997</v>
      </c>
      <c r="L540">
        <f t="shared" si="25"/>
        <v>181.476</v>
      </c>
      <c r="M540" t="str">
        <f t="shared" si="26"/>
        <v>Jul-2017</v>
      </c>
    </row>
    <row r="541" spans="1:13" x14ac:dyDescent="0.3">
      <c r="A541" t="s">
        <v>971</v>
      </c>
      <c r="B541" s="1" t="s">
        <v>289</v>
      </c>
      <c r="C541" s="1" t="s">
        <v>108</v>
      </c>
      <c r="D541" s="1" t="s">
        <v>19</v>
      </c>
      <c r="E541" s="5">
        <v>43087</v>
      </c>
      <c r="F541" s="3" t="s">
        <v>25</v>
      </c>
      <c r="G541" s="1" t="s">
        <v>972</v>
      </c>
      <c r="H541" s="1">
        <v>700</v>
      </c>
      <c r="I541" s="1">
        <v>693</v>
      </c>
      <c r="J541" s="2">
        <v>0.01</v>
      </c>
      <c r="K541">
        <f t="shared" si="24"/>
        <v>6.93</v>
      </c>
      <c r="L541">
        <f t="shared" si="25"/>
        <v>686.07</v>
      </c>
      <c r="M541" t="str">
        <f t="shared" si="26"/>
        <v>Dec-2017</v>
      </c>
    </row>
    <row r="542" spans="1:13" x14ac:dyDescent="0.3">
      <c r="A542" t="s">
        <v>973</v>
      </c>
      <c r="B542" s="1" t="s">
        <v>81</v>
      </c>
      <c r="C542" s="1" t="s">
        <v>82</v>
      </c>
      <c r="D542" s="1" t="s">
        <v>13</v>
      </c>
      <c r="E542" s="5">
        <v>42792</v>
      </c>
      <c r="F542" s="3" t="s">
        <v>41</v>
      </c>
      <c r="G542" s="1" t="s">
        <v>83</v>
      </c>
      <c r="H542" s="1">
        <v>30</v>
      </c>
      <c r="I542" s="1">
        <v>28</v>
      </c>
      <c r="J542" s="2">
        <v>6.6699999999999995E-2</v>
      </c>
      <c r="K542">
        <f t="shared" si="24"/>
        <v>1.8675999999999999</v>
      </c>
      <c r="L542">
        <f t="shared" si="25"/>
        <v>26.132400000000001</v>
      </c>
      <c r="M542" t="str">
        <f t="shared" si="26"/>
        <v>Feb-2017</v>
      </c>
    </row>
    <row r="543" spans="1:13" x14ac:dyDescent="0.3">
      <c r="A543" t="s">
        <v>974</v>
      </c>
      <c r="B543" s="1" t="s">
        <v>255</v>
      </c>
      <c r="C543" s="1" t="s">
        <v>256</v>
      </c>
      <c r="D543" s="1" t="s">
        <v>13</v>
      </c>
      <c r="E543" s="5">
        <v>43024</v>
      </c>
      <c r="F543" s="3" t="s">
        <v>25</v>
      </c>
      <c r="G543" s="1" t="s">
        <v>257</v>
      </c>
      <c r="H543" s="1">
        <v>700</v>
      </c>
      <c r="I543" s="1">
        <v>518</v>
      </c>
      <c r="J543" s="2">
        <v>0.26</v>
      </c>
      <c r="K543">
        <f t="shared" si="24"/>
        <v>134.68</v>
      </c>
      <c r="L543">
        <f t="shared" si="25"/>
        <v>383.32</v>
      </c>
      <c r="M543" t="str">
        <f t="shared" si="26"/>
        <v>Oct-2017</v>
      </c>
    </row>
    <row r="544" spans="1:13" x14ac:dyDescent="0.3">
      <c r="A544" t="s">
        <v>975</v>
      </c>
      <c r="B544" s="1" t="s">
        <v>44</v>
      </c>
      <c r="C544" s="1" t="s">
        <v>45</v>
      </c>
      <c r="D544" s="1" t="s">
        <v>24</v>
      </c>
      <c r="E544" s="5">
        <v>42240</v>
      </c>
      <c r="F544" s="3" t="s">
        <v>72</v>
      </c>
      <c r="G544" s="1" t="s">
        <v>431</v>
      </c>
      <c r="H544" s="1">
        <v>500</v>
      </c>
      <c r="I544" s="1">
        <v>495</v>
      </c>
      <c r="J544" s="2">
        <v>0.01</v>
      </c>
      <c r="K544">
        <f t="shared" si="24"/>
        <v>4.95</v>
      </c>
      <c r="L544">
        <f t="shared" si="25"/>
        <v>490.05</v>
      </c>
      <c r="M544" t="str">
        <f t="shared" si="26"/>
        <v>Aug-2015</v>
      </c>
    </row>
    <row r="545" spans="1:13" x14ac:dyDescent="0.3">
      <c r="A545" t="s">
        <v>976</v>
      </c>
      <c r="B545" s="1" t="s">
        <v>224</v>
      </c>
      <c r="C545" s="1" t="s">
        <v>50</v>
      </c>
      <c r="D545" s="1" t="s">
        <v>24</v>
      </c>
      <c r="E545" s="5">
        <v>42393</v>
      </c>
      <c r="F545" s="3" t="s">
        <v>41</v>
      </c>
      <c r="G545" s="1" t="s">
        <v>225</v>
      </c>
      <c r="H545" s="1">
        <v>30</v>
      </c>
      <c r="I545" s="1">
        <v>21</v>
      </c>
      <c r="J545" s="2">
        <v>0.3</v>
      </c>
      <c r="K545">
        <f t="shared" si="24"/>
        <v>6.3</v>
      </c>
      <c r="L545">
        <f t="shared" si="25"/>
        <v>14.7</v>
      </c>
      <c r="M545" t="str">
        <f t="shared" si="26"/>
        <v>Jan-2016</v>
      </c>
    </row>
    <row r="546" spans="1:13" x14ac:dyDescent="0.3">
      <c r="A546" t="s">
        <v>977</v>
      </c>
      <c r="B546" s="1" t="s">
        <v>131</v>
      </c>
      <c r="C546" s="1" t="s">
        <v>108</v>
      </c>
      <c r="D546" s="1" t="s">
        <v>19</v>
      </c>
      <c r="E546" s="5">
        <v>41967</v>
      </c>
      <c r="F546" s="3" t="s">
        <v>61</v>
      </c>
      <c r="G546" s="1" t="s">
        <v>132</v>
      </c>
      <c r="H546" s="1">
        <v>1000</v>
      </c>
      <c r="I546" s="1">
        <v>700</v>
      </c>
      <c r="J546" s="2">
        <v>0.3</v>
      </c>
      <c r="K546">
        <f t="shared" si="24"/>
        <v>210</v>
      </c>
      <c r="L546">
        <f t="shared" si="25"/>
        <v>490</v>
      </c>
      <c r="M546" t="str">
        <f t="shared" si="26"/>
        <v>Nov-2014</v>
      </c>
    </row>
    <row r="547" spans="1:13" x14ac:dyDescent="0.3">
      <c r="A547" t="s">
        <v>978</v>
      </c>
      <c r="B547" s="1" t="s">
        <v>270</v>
      </c>
      <c r="C547" s="1" t="s">
        <v>271</v>
      </c>
      <c r="D547" s="1" t="s">
        <v>35</v>
      </c>
      <c r="E547" s="5">
        <v>41652</v>
      </c>
      <c r="F547" s="3" t="s">
        <v>36</v>
      </c>
      <c r="G547" s="1" t="s">
        <v>566</v>
      </c>
      <c r="H547" s="1">
        <v>50</v>
      </c>
      <c r="I547" s="1">
        <v>32</v>
      </c>
      <c r="J547" s="2">
        <v>0.36</v>
      </c>
      <c r="K547">
        <f t="shared" si="24"/>
        <v>11.52</v>
      </c>
      <c r="L547">
        <f t="shared" si="25"/>
        <v>20.48</v>
      </c>
      <c r="M547" t="str">
        <f t="shared" si="26"/>
        <v>Jan-2014</v>
      </c>
    </row>
    <row r="548" spans="1:13" x14ac:dyDescent="0.3">
      <c r="A548" t="s">
        <v>979</v>
      </c>
      <c r="B548" s="1" t="s">
        <v>85</v>
      </c>
      <c r="C548" s="1" t="s">
        <v>86</v>
      </c>
      <c r="D548" s="1" t="s">
        <v>13</v>
      </c>
      <c r="E548" s="5">
        <v>42688</v>
      </c>
      <c r="F548" s="3" t="s">
        <v>55</v>
      </c>
      <c r="G548" s="1" t="s">
        <v>516</v>
      </c>
      <c r="H548" s="1">
        <v>800</v>
      </c>
      <c r="I548" s="1">
        <v>632</v>
      </c>
      <c r="J548" s="2">
        <v>0.21</v>
      </c>
      <c r="K548">
        <f t="shared" si="24"/>
        <v>132.72</v>
      </c>
      <c r="L548">
        <f t="shared" si="25"/>
        <v>499.28</v>
      </c>
      <c r="M548" t="str">
        <f t="shared" si="26"/>
        <v>Nov-2016</v>
      </c>
    </row>
    <row r="549" spans="1:13" x14ac:dyDescent="0.3">
      <c r="A549" t="s">
        <v>980</v>
      </c>
      <c r="B549" s="1" t="s">
        <v>157</v>
      </c>
      <c r="C549" s="1" t="s">
        <v>108</v>
      </c>
      <c r="D549" s="1" t="s">
        <v>19</v>
      </c>
      <c r="E549" s="5">
        <v>43023</v>
      </c>
      <c r="F549" s="3" t="s">
        <v>46</v>
      </c>
      <c r="G549" s="1" t="s">
        <v>981</v>
      </c>
      <c r="H549" s="1">
        <v>500</v>
      </c>
      <c r="I549" s="1">
        <v>450</v>
      </c>
      <c r="J549" s="2">
        <v>0.1</v>
      </c>
      <c r="K549">
        <f t="shared" si="24"/>
        <v>45</v>
      </c>
      <c r="L549">
        <f t="shared" si="25"/>
        <v>405</v>
      </c>
      <c r="M549" t="str">
        <f t="shared" si="26"/>
        <v>Oct-2017</v>
      </c>
    </row>
    <row r="550" spans="1:13" x14ac:dyDescent="0.3">
      <c r="A550" t="s">
        <v>982</v>
      </c>
      <c r="B550" s="1" t="s">
        <v>22</v>
      </c>
      <c r="C550" s="1" t="s">
        <v>23</v>
      </c>
      <c r="D550" s="1" t="s">
        <v>24</v>
      </c>
      <c r="E550" s="5">
        <v>42825</v>
      </c>
      <c r="F550" s="3" t="s">
        <v>36</v>
      </c>
      <c r="G550" s="1" t="s">
        <v>483</v>
      </c>
      <c r="H550" s="1">
        <v>50</v>
      </c>
      <c r="I550" s="1">
        <v>49</v>
      </c>
      <c r="J550" s="2">
        <v>0.02</v>
      </c>
      <c r="K550">
        <f t="shared" si="24"/>
        <v>0.98</v>
      </c>
      <c r="L550">
        <f t="shared" si="25"/>
        <v>48.02</v>
      </c>
      <c r="M550" t="str">
        <f t="shared" si="26"/>
        <v>Mar-2017</v>
      </c>
    </row>
    <row r="551" spans="1:13" x14ac:dyDescent="0.3">
      <c r="A551" t="s">
        <v>983</v>
      </c>
      <c r="B551" s="1" t="s">
        <v>227</v>
      </c>
      <c r="C551" s="1" t="s">
        <v>228</v>
      </c>
      <c r="D551" s="1" t="s">
        <v>24</v>
      </c>
      <c r="E551" s="5">
        <v>41873</v>
      </c>
      <c r="F551" s="3" t="s">
        <v>55</v>
      </c>
      <c r="G551" s="1" t="s">
        <v>984</v>
      </c>
      <c r="H551" s="1">
        <v>800</v>
      </c>
      <c r="I551" s="1">
        <v>456</v>
      </c>
      <c r="J551" s="2">
        <v>0.43</v>
      </c>
      <c r="K551">
        <f t="shared" si="24"/>
        <v>196.07999999999998</v>
      </c>
      <c r="L551">
        <f t="shared" si="25"/>
        <v>259.92</v>
      </c>
      <c r="M551" t="str">
        <f t="shared" si="26"/>
        <v>Aug-2014</v>
      </c>
    </row>
    <row r="552" spans="1:13" x14ac:dyDescent="0.3">
      <c r="A552" t="s">
        <v>985</v>
      </c>
      <c r="B552" s="1" t="s">
        <v>264</v>
      </c>
      <c r="C552" s="1" t="s">
        <v>265</v>
      </c>
      <c r="D552" s="1" t="s">
        <v>13</v>
      </c>
      <c r="E552" s="5">
        <v>42628</v>
      </c>
      <c r="F552" s="3" t="s">
        <v>122</v>
      </c>
      <c r="G552" s="1" t="s">
        <v>314</v>
      </c>
      <c r="H552" s="1">
        <v>50</v>
      </c>
      <c r="I552" s="1">
        <v>31</v>
      </c>
      <c r="J552" s="2">
        <v>0.38</v>
      </c>
      <c r="K552">
        <f t="shared" si="24"/>
        <v>11.78</v>
      </c>
      <c r="L552">
        <f t="shared" si="25"/>
        <v>19.22</v>
      </c>
      <c r="M552" t="str">
        <f t="shared" si="26"/>
        <v>Sep-2016</v>
      </c>
    </row>
    <row r="553" spans="1:13" x14ac:dyDescent="0.3">
      <c r="A553" t="s">
        <v>986</v>
      </c>
      <c r="B553" s="1" t="s">
        <v>107</v>
      </c>
      <c r="C553" s="1" t="s">
        <v>108</v>
      </c>
      <c r="D553" s="1" t="s">
        <v>19</v>
      </c>
      <c r="E553" s="5">
        <v>43423</v>
      </c>
      <c r="F553" s="3" t="s">
        <v>14</v>
      </c>
      <c r="G553" s="1" t="s">
        <v>109</v>
      </c>
      <c r="H553" s="1">
        <v>80</v>
      </c>
      <c r="I553" s="1">
        <v>69</v>
      </c>
      <c r="J553" s="2">
        <v>0.13750000000000001</v>
      </c>
      <c r="K553">
        <f t="shared" si="24"/>
        <v>9.4875000000000007</v>
      </c>
      <c r="L553">
        <f t="shared" si="25"/>
        <v>59.512500000000003</v>
      </c>
      <c r="M553" t="str">
        <f t="shared" si="26"/>
        <v>Nov-2018</v>
      </c>
    </row>
    <row r="554" spans="1:13" x14ac:dyDescent="0.3">
      <c r="A554" t="s">
        <v>987</v>
      </c>
      <c r="B554" s="1" t="s">
        <v>174</v>
      </c>
      <c r="C554" s="1" t="s">
        <v>175</v>
      </c>
      <c r="D554" s="1" t="s">
        <v>13</v>
      </c>
      <c r="E554" s="5">
        <v>42855</v>
      </c>
      <c r="F554" s="3" t="s">
        <v>14</v>
      </c>
      <c r="G554" s="1" t="s">
        <v>219</v>
      </c>
      <c r="H554" s="1">
        <v>80</v>
      </c>
      <c r="I554" s="1">
        <v>70</v>
      </c>
      <c r="J554" s="2">
        <v>0.125</v>
      </c>
      <c r="K554">
        <f t="shared" si="24"/>
        <v>8.75</v>
      </c>
      <c r="L554">
        <f t="shared" si="25"/>
        <v>61.25</v>
      </c>
      <c r="M554" t="str">
        <f t="shared" si="26"/>
        <v>Apr-2017</v>
      </c>
    </row>
    <row r="555" spans="1:13" x14ac:dyDescent="0.3">
      <c r="A555" t="s">
        <v>988</v>
      </c>
      <c r="B555" s="1" t="s">
        <v>28</v>
      </c>
      <c r="C555" s="1" t="s">
        <v>29</v>
      </c>
      <c r="D555" s="1" t="s">
        <v>13</v>
      </c>
      <c r="E555" s="5">
        <v>41780</v>
      </c>
      <c r="F555" s="3" t="s">
        <v>115</v>
      </c>
      <c r="G555" s="1" t="s">
        <v>445</v>
      </c>
      <c r="H555" s="1">
        <v>250</v>
      </c>
      <c r="I555" s="1">
        <v>240</v>
      </c>
      <c r="J555" s="2">
        <v>0.04</v>
      </c>
      <c r="K555">
        <f t="shared" si="24"/>
        <v>9.6</v>
      </c>
      <c r="L555">
        <f t="shared" si="25"/>
        <v>230.4</v>
      </c>
      <c r="M555" t="str">
        <f t="shared" si="26"/>
        <v>May-2014</v>
      </c>
    </row>
    <row r="556" spans="1:13" x14ac:dyDescent="0.3">
      <c r="A556" t="s">
        <v>989</v>
      </c>
      <c r="B556" s="1" t="s">
        <v>107</v>
      </c>
      <c r="C556" s="1" t="s">
        <v>108</v>
      </c>
      <c r="D556" s="1" t="s">
        <v>19</v>
      </c>
      <c r="E556" s="5">
        <v>42445</v>
      </c>
      <c r="F556" s="3" t="s">
        <v>30</v>
      </c>
      <c r="G556" s="1" t="s">
        <v>946</v>
      </c>
      <c r="H556" s="1">
        <v>150</v>
      </c>
      <c r="I556" s="1">
        <v>132</v>
      </c>
      <c r="J556" s="2">
        <v>0.12</v>
      </c>
      <c r="K556">
        <f t="shared" si="24"/>
        <v>15.84</v>
      </c>
      <c r="L556">
        <f t="shared" si="25"/>
        <v>116.16</v>
      </c>
      <c r="M556" t="str">
        <f t="shared" si="26"/>
        <v>Mar-2016</v>
      </c>
    </row>
    <row r="557" spans="1:13" x14ac:dyDescent="0.3">
      <c r="A557" t="s">
        <v>990</v>
      </c>
      <c r="B557" s="1" t="s">
        <v>99</v>
      </c>
      <c r="C557" s="1" t="s">
        <v>100</v>
      </c>
      <c r="D557" s="1" t="s">
        <v>13</v>
      </c>
      <c r="E557" s="5">
        <v>43150</v>
      </c>
      <c r="F557" s="3" t="s">
        <v>41</v>
      </c>
      <c r="G557" s="1" t="s">
        <v>101</v>
      </c>
      <c r="H557" s="1">
        <v>30</v>
      </c>
      <c r="I557" s="1">
        <v>27</v>
      </c>
      <c r="J557" s="2">
        <v>0.1</v>
      </c>
      <c r="K557">
        <f t="shared" si="24"/>
        <v>2.7</v>
      </c>
      <c r="L557">
        <f t="shared" si="25"/>
        <v>24.3</v>
      </c>
      <c r="M557" t="str">
        <f t="shared" si="26"/>
        <v>Feb-2018</v>
      </c>
    </row>
    <row r="558" spans="1:13" x14ac:dyDescent="0.3">
      <c r="A558" t="s">
        <v>991</v>
      </c>
      <c r="B558" s="1" t="s">
        <v>187</v>
      </c>
      <c r="C558" s="1" t="s">
        <v>188</v>
      </c>
      <c r="D558" s="1" t="s">
        <v>13</v>
      </c>
      <c r="E558" s="5">
        <v>43114</v>
      </c>
      <c r="F558" s="3" t="s">
        <v>55</v>
      </c>
      <c r="G558" s="1" t="s">
        <v>741</v>
      </c>
      <c r="H558" s="1">
        <v>800</v>
      </c>
      <c r="I558" s="1">
        <v>624</v>
      </c>
      <c r="J558" s="2">
        <v>0.22</v>
      </c>
      <c r="K558">
        <f t="shared" si="24"/>
        <v>137.28</v>
      </c>
      <c r="L558">
        <f t="shared" si="25"/>
        <v>486.72</v>
      </c>
      <c r="M558" t="str">
        <f t="shared" si="26"/>
        <v>Jan-2018</v>
      </c>
    </row>
    <row r="559" spans="1:13" x14ac:dyDescent="0.3">
      <c r="A559" t="s">
        <v>992</v>
      </c>
      <c r="B559" s="1" t="s">
        <v>154</v>
      </c>
      <c r="C559" s="1" t="s">
        <v>108</v>
      </c>
      <c r="D559" s="1" t="s">
        <v>19</v>
      </c>
      <c r="E559" s="5">
        <v>42636</v>
      </c>
      <c r="F559" s="3" t="s">
        <v>104</v>
      </c>
      <c r="G559" s="1" t="s">
        <v>993</v>
      </c>
      <c r="H559" s="1">
        <v>70</v>
      </c>
      <c r="I559" s="1">
        <v>52</v>
      </c>
      <c r="J559" s="2">
        <v>0.2571</v>
      </c>
      <c r="K559">
        <f t="shared" si="24"/>
        <v>13.369199999999999</v>
      </c>
      <c r="L559">
        <f t="shared" si="25"/>
        <v>38.630800000000001</v>
      </c>
      <c r="M559" t="str">
        <f t="shared" si="26"/>
        <v>Sep-2016</v>
      </c>
    </row>
    <row r="560" spans="1:13" x14ac:dyDescent="0.3">
      <c r="A560" t="s">
        <v>994</v>
      </c>
      <c r="B560" s="1" t="s">
        <v>118</v>
      </c>
      <c r="C560" s="1" t="s">
        <v>119</v>
      </c>
      <c r="D560" s="1" t="s">
        <v>35</v>
      </c>
      <c r="E560" s="5">
        <v>42721</v>
      </c>
      <c r="F560" s="3" t="s">
        <v>14</v>
      </c>
      <c r="G560" s="1" t="s">
        <v>120</v>
      </c>
      <c r="H560" s="1">
        <v>80</v>
      </c>
      <c r="I560" s="1">
        <v>77</v>
      </c>
      <c r="J560" s="2">
        <v>3.7499999999999999E-2</v>
      </c>
      <c r="K560">
        <f t="shared" si="24"/>
        <v>2.8874999999999997</v>
      </c>
      <c r="L560">
        <f t="shared" si="25"/>
        <v>74.112499999999997</v>
      </c>
      <c r="M560" t="str">
        <f t="shared" si="26"/>
        <v>Dec-2016</v>
      </c>
    </row>
    <row r="561" spans="1:13" x14ac:dyDescent="0.3">
      <c r="A561" t="s">
        <v>995</v>
      </c>
      <c r="B561" s="1" t="s">
        <v>44</v>
      </c>
      <c r="C561" s="1" t="s">
        <v>45</v>
      </c>
      <c r="D561" s="1" t="s">
        <v>24</v>
      </c>
      <c r="E561" s="5">
        <v>41905</v>
      </c>
      <c r="F561" s="3" t="s">
        <v>41</v>
      </c>
      <c r="G561" s="1" t="s">
        <v>253</v>
      </c>
      <c r="H561" s="1">
        <v>30</v>
      </c>
      <c r="I561" s="1">
        <v>27</v>
      </c>
      <c r="J561" s="2">
        <v>0.1</v>
      </c>
      <c r="K561">
        <f t="shared" si="24"/>
        <v>2.7</v>
      </c>
      <c r="L561">
        <f t="shared" si="25"/>
        <v>24.3</v>
      </c>
      <c r="M561" t="str">
        <f t="shared" si="26"/>
        <v>Sep-2014</v>
      </c>
    </row>
    <row r="562" spans="1:13" x14ac:dyDescent="0.3">
      <c r="A562" t="s">
        <v>996</v>
      </c>
      <c r="B562" s="1" t="s">
        <v>150</v>
      </c>
      <c r="C562" s="1" t="s">
        <v>151</v>
      </c>
      <c r="D562" s="1" t="s">
        <v>13</v>
      </c>
      <c r="E562" s="5">
        <v>42413</v>
      </c>
      <c r="F562" s="3" t="s">
        <v>36</v>
      </c>
      <c r="G562" s="1" t="s">
        <v>771</v>
      </c>
      <c r="H562" s="1">
        <v>50</v>
      </c>
      <c r="I562" s="1">
        <v>47</v>
      </c>
      <c r="J562" s="2">
        <v>0.06</v>
      </c>
      <c r="K562">
        <f t="shared" si="24"/>
        <v>2.82</v>
      </c>
      <c r="L562">
        <f t="shared" si="25"/>
        <v>44.18</v>
      </c>
      <c r="M562" t="str">
        <f t="shared" si="26"/>
        <v>Feb-2016</v>
      </c>
    </row>
    <row r="563" spans="1:13" x14ac:dyDescent="0.3">
      <c r="A563" t="s">
        <v>997</v>
      </c>
      <c r="B563" s="1" t="s">
        <v>400</v>
      </c>
      <c r="C563" s="1" t="s">
        <v>401</v>
      </c>
      <c r="D563" s="1" t="s">
        <v>13</v>
      </c>
      <c r="E563" s="5">
        <v>43303</v>
      </c>
      <c r="F563" s="3" t="s">
        <v>46</v>
      </c>
      <c r="G563" s="1" t="s">
        <v>402</v>
      </c>
      <c r="H563" s="1">
        <v>500</v>
      </c>
      <c r="I563" s="1">
        <v>265</v>
      </c>
      <c r="J563" s="2">
        <v>0.47</v>
      </c>
      <c r="K563">
        <f t="shared" si="24"/>
        <v>124.55</v>
      </c>
      <c r="L563">
        <f t="shared" si="25"/>
        <v>140.44999999999999</v>
      </c>
      <c r="M563" t="str">
        <f t="shared" si="26"/>
        <v>Jul-2018</v>
      </c>
    </row>
    <row r="564" spans="1:13" x14ac:dyDescent="0.3">
      <c r="A564" t="s">
        <v>998</v>
      </c>
      <c r="B564" s="1" t="s">
        <v>270</v>
      </c>
      <c r="C564" s="1" t="s">
        <v>271</v>
      </c>
      <c r="D564" s="1" t="s">
        <v>35</v>
      </c>
      <c r="E564" s="5">
        <v>41959</v>
      </c>
      <c r="F564" s="3" t="s">
        <v>41</v>
      </c>
      <c r="G564" s="1" t="s">
        <v>713</v>
      </c>
      <c r="H564" s="1">
        <v>30</v>
      </c>
      <c r="I564" s="1">
        <v>28</v>
      </c>
      <c r="J564" s="2">
        <v>6.6699999999999995E-2</v>
      </c>
      <c r="K564">
        <f t="shared" si="24"/>
        <v>1.8675999999999999</v>
      </c>
      <c r="L564">
        <f t="shared" si="25"/>
        <v>26.132400000000001</v>
      </c>
      <c r="M564" t="str">
        <f t="shared" si="26"/>
        <v>Nov-2014</v>
      </c>
    </row>
    <row r="565" spans="1:13" x14ac:dyDescent="0.3">
      <c r="A565" t="s">
        <v>999</v>
      </c>
      <c r="B565" s="1" t="s">
        <v>49</v>
      </c>
      <c r="C565" s="1" t="s">
        <v>50</v>
      </c>
      <c r="D565" s="1" t="s">
        <v>24</v>
      </c>
      <c r="E565" s="5">
        <v>42877</v>
      </c>
      <c r="F565" s="3" t="s">
        <v>115</v>
      </c>
      <c r="G565" s="1" t="s">
        <v>1000</v>
      </c>
      <c r="H565" s="1">
        <v>250</v>
      </c>
      <c r="I565" s="1">
        <v>240</v>
      </c>
      <c r="J565" s="2">
        <v>0.04</v>
      </c>
      <c r="K565">
        <f t="shared" si="24"/>
        <v>9.6</v>
      </c>
      <c r="L565">
        <f t="shared" si="25"/>
        <v>230.4</v>
      </c>
      <c r="M565" t="str">
        <f t="shared" si="26"/>
        <v>May-2017</v>
      </c>
    </row>
    <row r="566" spans="1:13" x14ac:dyDescent="0.3">
      <c r="A566" t="s">
        <v>1001</v>
      </c>
      <c r="B566" s="1" t="s">
        <v>227</v>
      </c>
      <c r="C566" s="1" t="s">
        <v>228</v>
      </c>
      <c r="D566" s="1" t="s">
        <v>24</v>
      </c>
      <c r="E566" s="5">
        <v>42786</v>
      </c>
      <c r="F566" s="3" t="s">
        <v>36</v>
      </c>
      <c r="G566" s="1" t="s">
        <v>836</v>
      </c>
      <c r="H566" s="1">
        <v>50</v>
      </c>
      <c r="I566" s="1">
        <v>45</v>
      </c>
      <c r="J566" s="2">
        <v>0.1</v>
      </c>
      <c r="K566">
        <f t="shared" si="24"/>
        <v>4.5</v>
      </c>
      <c r="L566">
        <f t="shared" si="25"/>
        <v>40.5</v>
      </c>
      <c r="M566" t="str">
        <f t="shared" si="26"/>
        <v>Feb-2017</v>
      </c>
    </row>
    <row r="567" spans="1:13" x14ac:dyDescent="0.3">
      <c r="A567" t="s">
        <v>1002</v>
      </c>
      <c r="B567" s="1" t="s">
        <v>49</v>
      </c>
      <c r="C567" s="1" t="s">
        <v>50</v>
      </c>
      <c r="D567" s="1" t="s">
        <v>24</v>
      </c>
      <c r="E567" s="5">
        <v>43123</v>
      </c>
      <c r="F567" s="3" t="s">
        <v>72</v>
      </c>
      <c r="G567" s="1" t="s">
        <v>1000</v>
      </c>
      <c r="H567" s="1">
        <v>500</v>
      </c>
      <c r="I567" s="1">
        <v>490</v>
      </c>
      <c r="J567" s="2">
        <v>0.02</v>
      </c>
      <c r="K567">
        <f t="shared" si="24"/>
        <v>9.8000000000000007</v>
      </c>
      <c r="L567">
        <f t="shared" si="25"/>
        <v>480.2</v>
      </c>
      <c r="M567" t="str">
        <f t="shared" si="26"/>
        <v>Jan-2018</v>
      </c>
    </row>
    <row r="568" spans="1:13" x14ac:dyDescent="0.3">
      <c r="A568" t="s">
        <v>1003</v>
      </c>
      <c r="B568" s="1" t="s">
        <v>154</v>
      </c>
      <c r="C568" s="1" t="s">
        <v>108</v>
      </c>
      <c r="D568" s="1" t="s">
        <v>19</v>
      </c>
      <c r="E568" s="5">
        <v>41754</v>
      </c>
      <c r="F568" s="3" t="s">
        <v>41</v>
      </c>
      <c r="G568" s="1" t="s">
        <v>1004</v>
      </c>
      <c r="H568" s="1">
        <v>30</v>
      </c>
      <c r="I568" s="1">
        <v>29</v>
      </c>
      <c r="J568" s="2">
        <v>3.3300000000000003E-2</v>
      </c>
      <c r="K568">
        <f t="shared" si="24"/>
        <v>0.96570000000000011</v>
      </c>
      <c r="L568">
        <f t="shared" si="25"/>
        <v>28.034299999999998</v>
      </c>
      <c r="M568" t="str">
        <f t="shared" si="26"/>
        <v>Apr-2014</v>
      </c>
    </row>
    <row r="569" spans="1:13" x14ac:dyDescent="0.3">
      <c r="A569" t="s">
        <v>1005</v>
      </c>
      <c r="B569" s="1" t="s">
        <v>146</v>
      </c>
      <c r="C569" s="1" t="s">
        <v>147</v>
      </c>
      <c r="D569" s="1" t="s">
        <v>13</v>
      </c>
      <c r="E569" s="5">
        <v>42640</v>
      </c>
      <c r="F569" s="3" t="s">
        <v>122</v>
      </c>
      <c r="G569" s="1" t="s">
        <v>1006</v>
      </c>
      <c r="H569" s="1">
        <v>50</v>
      </c>
      <c r="I569" s="1">
        <v>49</v>
      </c>
      <c r="J569" s="2">
        <v>0.02</v>
      </c>
      <c r="K569">
        <f t="shared" si="24"/>
        <v>0.98</v>
      </c>
      <c r="L569">
        <f t="shared" si="25"/>
        <v>48.02</v>
      </c>
      <c r="M569" t="str">
        <f t="shared" si="26"/>
        <v>Sep-2016</v>
      </c>
    </row>
    <row r="570" spans="1:13" x14ac:dyDescent="0.3">
      <c r="A570" t="s">
        <v>1007</v>
      </c>
      <c r="B570" s="1" t="s">
        <v>11</v>
      </c>
      <c r="C570" s="1" t="s">
        <v>12</v>
      </c>
      <c r="D570" s="1" t="s">
        <v>13</v>
      </c>
      <c r="E570" s="5">
        <v>41758</v>
      </c>
      <c r="F570" s="3" t="s">
        <v>25</v>
      </c>
      <c r="G570" s="1" t="s">
        <v>293</v>
      </c>
      <c r="H570" s="1">
        <v>700</v>
      </c>
      <c r="I570" s="1">
        <v>665</v>
      </c>
      <c r="J570" s="2">
        <v>0.05</v>
      </c>
      <c r="K570">
        <f t="shared" si="24"/>
        <v>33.25</v>
      </c>
      <c r="L570">
        <f t="shared" si="25"/>
        <v>631.75</v>
      </c>
      <c r="M570" t="str">
        <f t="shared" si="26"/>
        <v>Apr-2014</v>
      </c>
    </row>
    <row r="571" spans="1:13" x14ac:dyDescent="0.3">
      <c r="A571" t="s">
        <v>1008</v>
      </c>
      <c r="B571" s="1" t="s">
        <v>324</v>
      </c>
      <c r="C571" s="1" t="s">
        <v>325</v>
      </c>
      <c r="D571" s="1" t="s">
        <v>13</v>
      </c>
      <c r="E571" s="5">
        <v>42124</v>
      </c>
      <c r="F571" s="3" t="s">
        <v>55</v>
      </c>
      <c r="G571" s="1" t="s">
        <v>1009</v>
      </c>
      <c r="H571" s="1">
        <v>800</v>
      </c>
      <c r="I571" s="1">
        <v>720</v>
      </c>
      <c r="J571" s="2">
        <v>0.1</v>
      </c>
      <c r="K571">
        <f t="shared" si="24"/>
        <v>72</v>
      </c>
      <c r="L571">
        <f t="shared" si="25"/>
        <v>648</v>
      </c>
      <c r="M571" t="str">
        <f t="shared" si="26"/>
        <v>Apr-2015</v>
      </c>
    </row>
    <row r="572" spans="1:13" x14ac:dyDescent="0.3">
      <c r="A572" t="s">
        <v>1010</v>
      </c>
      <c r="B572" s="1" t="s">
        <v>241</v>
      </c>
      <c r="C572" s="1" t="s">
        <v>242</v>
      </c>
      <c r="D572" s="1" t="s">
        <v>13</v>
      </c>
      <c r="E572" s="5">
        <v>42033</v>
      </c>
      <c r="F572" s="3" t="s">
        <v>72</v>
      </c>
      <c r="G572" s="1" t="s">
        <v>243</v>
      </c>
      <c r="H572" s="1">
        <v>500</v>
      </c>
      <c r="I572" s="1">
        <v>500</v>
      </c>
      <c r="J572" s="2">
        <v>0</v>
      </c>
      <c r="K572">
        <f t="shared" si="24"/>
        <v>0</v>
      </c>
      <c r="L572">
        <f t="shared" si="25"/>
        <v>500</v>
      </c>
      <c r="M572" t="str">
        <f t="shared" si="26"/>
        <v>Jan-2015</v>
      </c>
    </row>
    <row r="573" spans="1:13" x14ac:dyDescent="0.3">
      <c r="A573" t="s">
        <v>1011</v>
      </c>
      <c r="B573" s="1" t="s">
        <v>107</v>
      </c>
      <c r="C573" s="1" t="s">
        <v>108</v>
      </c>
      <c r="D573" s="1" t="s">
        <v>19</v>
      </c>
      <c r="E573" s="5">
        <v>42368</v>
      </c>
      <c r="F573" s="3" t="s">
        <v>55</v>
      </c>
      <c r="G573" s="1" t="s">
        <v>531</v>
      </c>
      <c r="H573" s="1">
        <v>800</v>
      </c>
      <c r="I573" s="1">
        <v>680</v>
      </c>
      <c r="J573" s="2">
        <v>0.15</v>
      </c>
      <c r="K573">
        <f t="shared" si="24"/>
        <v>102</v>
      </c>
      <c r="L573">
        <f t="shared" si="25"/>
        <v>578</v>
      </c>
      <c r="M573" t="str">
        <f t="shared" si="26"/>
        <v>Dec-2015</v>
      </c>
    </row>
    <row r="574" spans="1:13" x14ac:dyDescent="0.3">
      <c r="A574" t="s">
        <v>1012</v>
      </c>
      <c r="B574" s="1" t="s">
        <v>103</v>
      </c>
      <c r="C574" s="1" t="s">
        <v>71</v>
      </c>
      <c r="D574" s="1" t="s">
        <v>35</v>
      </c>
      <c r="E574" s="5">
        <v>42967</v>
      </c>
      <c r="F574" s="3" t="s">
        <v>55</v>
      </c>
      <c r="G574" s="1" t="s">
        <v>105</v>
      </c>
      <c r="H574" s="1">
        <v>800</v>
      </c>
      <c r="I574" s="1">
        <v>480</v>
      </c>
      <c r="J574" s="2">
        <v>0.4</v>
      </c>
      <c r="K574">
        <f t="shared" si="24"/>
        <v>192</v>
      </c>
      <c r="L574">
        <f t="shared" si="25"/>
        <v>288</v>
      </c>
      <c r="M574" t="str">
        <f t="shared" si="26"/>
        <v>Aug-2017</v>
      </c>
    </row>
    <row r="575" spans="1:13" x14ac:dyDescent="0.3">
      <c r="A575" t="s">
        <v>1013</v>
      </c>
      <c r="B575" s="1" t="s">
        <v>59</v>
      </c>
      <c r="C575" s="1" t="s">
        <v>60</v>
      </c>
      <c r="D575" s="1" t="s">
        <v>13</v>
      </c>
      <c r="E575" s="5">
        <v>42264</v>
      </c>
      <c r="F575" s="3" t="s">
        <v>25</v>
      </c>
      <c r="G575" s="1" t="s">
        <v>1014</v>
      </c>
      <c r="H575" s="1">
        <v>700</v>
      </c>
      <c r="I575" s="1">
        <v>602</v>
      </c>
      <c r="J575" s="2">
        <v>0.14000000000000001</v>
      </c>
      <c r="K575">
        <f t="shared" si="24"/>
        <v>84.28</v>
      </c>
      <c r="L575">
        <f t="shared" si="25"/>
        <v>517.72</v>
      </c>
      <c r="M575" t="str">
        <f t="shared" si="26"/>
        <v>Sep-2015</v>
      </c>
    </row>
    <row r="576" spans="1:13" x14ac:dyDescent="0.3">
      <c r="A576" t="s">
        <v>1015</v>
      </c>
      <c r="B576" s="1" t="s">
        <v>150</v>
      </c>
      <c r="C576" s="1" t="s">
        <v>151</v>
      </c>
      <c r="D576" s="1" t="s">
        <v>13</v>
      </c>
      <c r="E576" s="5">
        <v>42324</v>
      </c>
      <c r="F576" s="3" t="s">
        <v>115</v>
      </c>
      <c r="G576" s="1" t="s">
        <v>409</v>
      </c>
      <c r="H576" s="1">
        <v>250</v>
      </c>
      <c r="I576" s="1">
        <v>220</v>
      </c>
      <c r="J576" s="2">
        <v>0.12</v>
      </c>
      <c r="K576">
        <f t="shared" si="24"/>
        <v>26.4</v>
      </c>
      <c r="L576">
        <f t="shared" si="25"/>
        <v>193.6</v>
      </c>
      <c r="M576" t="str">
        <f t="shared" si="26"/>
        <v>Nov-2015</v>
      </c>
    </row>
    <row r="577" spans="1:13" x14ac:dyDescent="0.3">
      <c r="A577" t="s">
        <v>1016</v>
      </c>
      <c r="B577" s="1" t="s">
        <v>124</v>
      </c>
      <c r="C577" s="1" t="s">
        <v>40</v>
      </c>
      <c r="D577" s="1" t="s">
        <v>35</v>
      </c>
      <c r="E577" s="5">
        <v>43265</v>
      </c>
      <c r="F577" s="3" t="s">
        <v>72</v>
      </c>
      <c r="G577" s="1" t="s">
        <v>1017</v>
      </c>
      <c r="H577" s="1">
        <v>500</v>
      </c>
      <c r="I577" s="1">
        <v>495</v>
      </c>
      <c r="J577" s="2">
        <v>0.01</v>
      </c>
      <c r="K577">
        <f t="shared" si="24"/>
        <v>4.95</v>
      </c>
      <c r="L577">
        <f t="shared" si="25"/>
        <v>490.05</v>
      </c>
      <c r="M577" t="str">
        <f t="shared" si="26"/>
        <v>Jun-2018</v>
      </c>
    </row>
    <row r="578" spans="1:13" x14ac:dyDescent="0.3">
      <c r="A578" t="s">
        <v>1018</v>
      </c>
      <c r="B578" s="1" t="s">
        <v>134</v>
      </c>
      <c r="C578" s="1" t="s">
        <v>92</v>
      </c>
      <c r="D578" s="1" t="s">
        <v>35</v>
      </c>
      <c r="E578" s="5">
        <v>41941</v>
      </c>
      <c r="F578" s="3" t="s">
        <v>14</v>
      </c>
      <c r="G578" s="1" t="s">
        <v>1019</v>
      </c>
      <c r="H578" s="1">
        <v>80</v>
      </c>
      <c r="I578" s="1">
        <v>71</v>
      </c>
      <c r="J578" s="2">
        <v>0.1125</v>
      </c>
      <c r="K578">
        <f t="shared" si="24"/>
        <v>7.9874999999999998</v>
      </c>
      <c r="L578">
        <f t="shared" si="25"/>
        <v>63.012500000000003</v>
      </c>
      <c r="M578" t="str">
        <f t="shared" si="26"/>
        <v>Oct-2014</v>
      </c>
    </row>
    <row r="579" spans="1:13" x14ac:dyDescent="0.3">
      <c r="A579" t="s">
        <v>1020</v>
      </c>
      <c r="B579" s="1" t="s">
        <v>118</v>
      </c>
      <c r="C579" s="1" t="s">
        <v>119</v>
      </c>
      <c r="D579" s="1" t="s">
        <v>35</v>
      </c>
      <c r="E579" s="5">
        <v>43093</v>
      </c>
      <c r="F579" s="3" t="s">
        <v>61</v>
      </c>
      <c r="G579" s="1" t="s">
        <v>540</v>
      </c>
      <c r="H579" s="1">
        <v>1000</v>
      </c>
      <c r="I579" s="1">
        <v>530</v>
      </c>
      <c r="J579" s="2">
        <v>0.47</v>
      </c>
      <c r="K579">
        <f t="shared" si="24"/>
        <v>249.1</v>
      </c>
      <c r="L579">
        <f t="shared" si="25"/>
        <v>280.89999999999998</v>
      </c>
      <c r="M579" t="str">
        <f t="shared" si="26"/>
        <v>Dec-2017</v>
      </c>
    </row>
    <row r="580" spans="1:13" x14ac:dyDescent="0.3">
      <c r="A580" t="s">
        <v>1021</v>
      </c>
      <c r="B580" s="1" t="s">
        <v>157</v>
      </c>
      <c r="C580" s="1" t="s">
        <v>108</v>
      </c>
      <c r="D580" s="1" t="s">
        <v>19</v>
      </c>
      <c r="E580" s="5">
        <v>42549</v>
      </c>
      <c r="F580" s="3" t="s">
        <v>104</v>
      </c>
      <c r="G580" s="1" t="s">
        <v>1022</v>
      </c>
      <c r="H580" s="1">
        <v>70</v>
      </c>
      <c r="I580" s="1">
        <v>65</v>
      </c>
      <c r="J580" s="2">
        <v>7.1400000000000005E-2</v>
      </c>
      <c r="K580">
        <f t="shared" ref="K580:K643" si="27">I580*J580</f>
        <v>4.641</v>
      </c>
      <c r="L580">
        <f t="shared" ref="L580:L643" si="28">I580-K580</f>
        <v>60.359000000000002</v>
      </c>
      <c r="M580" t="str">
        <f t="shared" ref="M580:M643" si="29">TEXT(E580, "mmm-yyyy")</f>
        <v>Jun-2016</v>
      </c>
    </row>
    <row r="581" spans="1:13" x14ac:dyDescent="0.3">
      <c r="A581" t="s">
        <v>1023</v>
      </c>
      <c r="B581" s="1" t="s">
        <v>227</v>
      </c>
      <c r="C581" s="1" t="s">
        <v>228</v>
      </c>
      <c r="D581" s="1" t="s">
        <v>24</v>
      </c>
      <c r="E581" s="5">
        <v>42748</v>
      </c>
      <c r="F581" s="3" t="s">
        <v>36</v>
      </c>
      <c r="G581" s="1" t="s">
        <v>1024</v>
      </c>
      <c r="H581" s="1">
        <v>50</v>
      </c>
      <c r="I581" s="1">
        <v>49</v>
      </c>
      <c r="J581" s="2">
        <v>0.02</v>
      </c>
      <c r="K581">
        <f t="shared" si="27"/>
        <v>0.98</v>
      </c>
      <c r="L581">
        <f t="shared" si="28"/>
        <v>48.02</v>
      </c>
      <c r="M581" t="str">
        <f t="shared" si="29"/>
        <v>Jan-2017</v>
      </c>
    </row>
    <row r="582" spans="1:13" x14ac:dyDescent="0.3">
      <c r="A582" t="s">
        <v>1025</v>
      </c>
      <c r="B582" s="1" t="s">
        <v>53</v>
      </c>
      <c r="C582" s="1" t="s">
        <v>54</v>
      </c>
      <c r="D582" s="1" t="s">
        <v>13</v>
      </c>
      <c r="E582" s="5">
        <v>42873</v>
      </c>
      <c r="F582" s="3" t="s">
        <v>41</v>
      </c>
      <c r="G582" s="1" t="s">
        <v>795</v>
      </c>
      <c r="H582" s="1">
        <v>30</v>
      </c>
      <c r="I582" s="1">
        <v>30</v>
      </c>
      <c r="J582" s="2">
        <v>0</v>
      </c>
      <c r="K582">
        <f t="shared" si="27"/>
        <v>0</v>
      </c>
      <c r="L582">
        <f t="shared" si="28"/>
        <v>30</v>
      </c>
      <c r="M582" t="str">
        <f t="shared" si="29"/>
        <v>May-2017</v>
      </c>
    </row>
    <row r="583" spans="1:13" x14ac:dyDescent="0.3">
      <c r="A583" t="s">
        <v>1026</v>
      </c>
      <c r="B583" s="1" t="s">
        <v>99</v>
      </c>
      <c r="C583" s="1" t="s">
        <v>100</v>
      </c>
      <c r="D583" s="1" t="s">
        <v>13</v>
      </c>
      <c r="E583" s="5">
        <v>42913</v>
      </c>
      <c r="F583" s="3" t="s">
        <v>14</v>
      </c>
      <c r="G583" s="1" t="s">
        <v>911</v>
      </c>
      <c r="H583" s="1">
        <v>80</v>
      </c>
      <c r="I583" s="1">
        <v>69</v>
      </c>
      <c r="J583" s="2">
        <v>0.13750000000000001</v>
      </c>
      <c r="K583">
        <f t="shared" si="27"/>
        <v>9.4875000000000007</v>
      </c>
      <c r="L583">
        <f t="shared" si="28"/>
        <v>59.512500000000003</v>
      </c>
      <c r="M583" t="str">
        <f t="shared" si="29"/>
        <v>Jun-2017</v>
      </c>
    </row>
    <row r="584" spans="1:13" x14ac:dyDescent="0.3">
      <c r="A584" t="s">
        <v>1027</v>
      </c>
      <c r="B584" s="1" t="s">
        <v>64</v>
      </c>
      <c r="C584" s="1" t="s">
        <v>65</v>
      </c>
      <c r="D584" s="1" t="s">
        <v>35</v>
      </c>
      <c r="E584" s="5">
        <v>42783</v>
      </c>
      <c r="F584" s="3" t="s">
        <v>41</v>
      </c>
      <c r="G584" s="1" t="s">
        <v>140</v>
      </c>
      <c r="H584" s="1">
        <v>30</v>
      </c>
      <c r="I584" s="1">
        <v>29</v>
      </c>
      <c r="J584" s="2">
        <v>3.3300000000000003E-2</v>
      </c>
      <c r="K584">
        <f t="shared" si="27"/>
        <v>0.96570000000000011</v>
      </c>
      <c r="L584">
        <f t="shared" si="28"/>
        <v>28.034299999999998</v>
      </c>
      <c r="M584" t="str">
        <f t="shared" si="29"/>
        <v>Feb-2017</v>
      </c>
    </row>
    <row r="585" spans="1:13" x14ac:dyDescent="0.3">
      <c r="A585" t="s">
        <v>1028</v>
      </c>
      <c r="B585" s="1" t="s">
        <v>107</v>
      </c>
      <c r="C585" s="1" t="s">
        <v>108</v>
      </c>
      <c r="D585" s="1" t="s">
        <v>19</v>
      </c>
      <c r="E585" s="5">
        <v>41910</v>
      </c>
      <c r="F585" s="3" t="s">
        <v>122</v>
      </c>
      <c r="G585" s="1" t="s">
        <v>1029</v>
      </c>
      <c r="H585" s="1">
        <v>50</v>
      </c>
      <c r="I585" s="1">
        <v>43</v>
      </c>
      <c r="J585" s="2">
        <v>0.14000000000000001</v>
      </c>
      <c r="K585">
        <f t="shared" si="27"/>
        <v>6.0200000000000005</v>
      </c>
      <c r="L585">
        <f t="shared" si="28"/>
        <v>36.979999999999997</v>
      </c>
      <c r="M585" t="str">
        <f t="shared" si="29"/>
        <v>Sep-2014</v>
      </c>
    </row>
    <row r="586" spans="1:13" x14ac:dyDescent="0.3">
      <c r="A586" t="s">
        <v>1030</v>
      </c>
      <c r="B586" s="1" t="s">
        <v>187</v>
      </c>
      <c r="C586" s="1" t="s">
        <v>188</v>
      </c>
      <c r="D586" s="1" t="s">
        <v>13</v>
      </c>
      <c r="E586" s="5">
        <v>43180</v>
      </c>
      <c r="F586" s="3" t="s">
        <v>30</v>
      </c>
      <c r="G586" s="1" t="s">
        <v>797</v>
      </c>
      <c r="H586" s="1">
        <v>150</v>
      </c>
      <c r="I586" s="1">
        <v>149</v>
      </c>
      <c r="J586" s="2">
        <v>6.7000000000000002E-3</v>
      </c>
      <c r="K586">
        <f t="shared" si="27"/>
        <v>0.99830000000000008</v>
      </c>
      <c r="L586">
        <f t="shared" si="28"/>
        <v>148.0017</v>
      </c>
      <c r="M586" t="str">
        <f t="shared" si="29"/>
        <v>Mar-2018</v>
      </c>
    </row>
    <row r="587" spans="1:13" x14ac:dyDescent="0.3">
      <c r="A587" t="s">
        <v>1031</v>
      </c>
      <c r="B587" s="1" t="s">
        <v>224</v>
      </c>
      <c r="C587" s="1" t="s">
        <v>50</v>
      </c>
      <c r="D587" s="1" t="s">
        <v>24</v>
      </c>
      <c r="E587" s="5">
        <v>43404</v>
      </c>
      <c r="F587" s="3" t="s">
        <v>25</v>
      </c>
      <c r="G587" s="1" t="s">
        <v>509</v>
      </c>
      <c r="H587" s="1">
        <v>700</v>
      </c>
      <c r="I587" s="1">
        <v>574</v>
      </c>
      <c r="J587" s="2">
        <v>0.18</v>
      </c>
      <c r="K587">
        <f t="shared" si="27"/>
        <v>103.32</v>
      </c>
      <c r="L587">
        <f t="shared" si="28"/>
        <v>470.68</v>
      </c>
      <c r="M587" t="str">
        <f t="shared" si="29"/>
        <v>Oct-2018</v>
      </c>
    </row>
    <row r="588" spans="1:13" x14ac:dyDescent="0.3">
      <c r="A588" t="s">
        <v>1032</v>
      </c>
      <c r="B588" s="1" t="s">
        <v>146</v>
      </c>
      <c r="C588" s="1" t="s">
        <v>147</v>
      </c>
      <c r="D588" s="1" t="s">
        <v>13</v>
      </c>
      <c r="E588" s="5">
        <v>42384</v>
      </c>
      <c r="F588" s="3" t="s">
        <v>25</v>
      </c>
      <c r="G588" s="1" t="s">
        <v>1033</v>
      </c>
      <c r="H588" s="1">
        <v>700</v>
      </c>
      <c r="I588" s="1">
        <v>581</v>
      </c>
      <c r="J588" s="2">
        <v>0.17</v>
      </c>
      <c r="K588">
        <f t="shared" si="27"/>
        <v>98.77000000000001</v>
      </c>
      <c r="L588">
        <f t="shared" si="28"/>
        <v>482.23</v>
      </c>
      <c r="M588" t="str">
        <f t="shared" si="29"/>
        <v>Jan-2016</v>
      </c>
    </row>
    <row r="589" spans="1:13" x14ac:dyDescent="0.3">
      <c r="A589" t="s">
        <v>1034</v>
      </c>
      <c r="B589" s="1" t="s">
        <v>44</v>
      </c>
      <c r="C589" s="1" t="s">
        <v>45</v>
      </c>
      <c r="D589" s="1" t="s">
        <v>24</v>
      </c>
      <c r="E589" s="5">
        <v>42303</v>
      </c>
      <c r="F589" s="3" t="s">
        <v>36</v>
      </c>
      <c r="G589" s="1" t="s">
        <v>1035</v>
      </c>
      <c r="H589" s="1">
        <v>50</v>
      </c>
      <c r="I589" s="1">
        <v>46</v>
      </c>
      <c r="J589" s="2">
        <v>0.08</v>
      </c>
      <c r="K589">
        <f t="shared" si="27"/>
        <v>3.68</v>
      </c>
      <c r="L589">
        <f t="shared" si="28"/>
        <v>42.32</v>
      </c>
      <c r="M589" t="str">
        <f t="shared" si="29"/>
        <v>Oct-2015</v>
      </c>
    </row>
    <row r="590" spans="1:13" x14ac:dyDescent="0.3">
      <c r="A590" t="s">
        <v>1036</v>
      </c>
      <c r="B590" s="1" t="s">
        <v>170</v>
      </c>
      <c r="C590" s="1" t="s">
        <v>171</v>
      </c>
      <c r="D590" s="1" t="s">
        <v>13</v>
      </c>
      <c r="E590" s="5">
        <v>43235</v>
      </c>
      <c r="F590" s="3" t="s">
        <v>61</v>
      </c>
      <c r="G590" s="1" t="s">
        <v>941</v>
      </c>
      <c r="H590" s="1">
        <v>1000</v>
      </c>
      <c r="I590" s="1">
        <v>610</v>
      </c>
      <c r="J590" s="2">
        <v>0.39</v>
      </c>
      <c r="K590">
        <f t="shared" si="27"/>
        <v>237.9</v>
      </c>
      <c r="L590">
        <f t="shared" si="28"/>
        <v>372.1</v>
      </c>
      <c r="M590" t="str">
        <f t="shared" si="29"/>
        <v>May-2018</v>
      </c>
    </row>
    <row r="591" spans="1:13" x14ac:dyDescent="0.3">
      <c r="A591" t="s">
        <v>1037</v>
      </c>
      <c r="B591" s="1" t="s">
        <v>224</v>
      </c>
      <c r="C591" s="1" t="s">
        <v>50</v>
      </c>
      <c r="D591" s="1" t="s">
        <v>24</v>
      </c>
      <c r="E591" s="5">
        <v>42661</v>
      </c>
      <c r="F591" s="3" t="s">
        <v>30</v>
      </c>
      <c r="G591" s="1" t="s">
        <v>1038</v>
      </c>
      <c r="H591" s="1">
        <v>150</v>
      </c>
      <c r="I591" s="1">
        <v>147</v>
      </c>
      <c r="J591" s="2">
        <v>0.02</v>
      </c>
      <c r="K591">
        <f t="shared" si="27"/>
        <v>2.94</v>
      </c>
      <c r="L591">
        <f t="shared" si="28"/>
        <v>144.06</v>
      </c>
      <c r="M591" t="str">
        <f t="shared" si="29"/>
        <v>Oct-2016</v>
      </c>
    </row>
    <row r="592" spans="1:13" x14ac:dyDescent="0.3">
      <c r="A592" t="s">
        <v>1039</v>
      </c>
      <c r="B592" s="1" t="s">
        <v>205</v>
      </c>
      <c r="C592" s="1" t="s">
        <v>206</v>
      </c>
      <c r="D592" s="1" t="s">
        <v>24</v>
      </c>
      <c r="E592" s="5">
        <v>41685</v>
      </c>
      <c r="F592" s="3" t="s">
        <v>25</v>
      </c>
      <c r="G592" s="1" t="s">
        <v>681</v>
      </c>
      <c r="H592" s="1">
        <v>700</v>
      </c>
      <c r="I592" s="1">
        <v>602</v>
      </c>
      <c r="J592" s="2">
        <v>0.14000000000000001</v>
      </c>
      <c r="K592">
        <f t="shared" si="27"/>
        <v>84.28</v>
      </c>
      <c r="L592">
        <f t="shared" si="28"/>
        <v>517.72</v>
      </c>
      <c r="M592" t="str">
        <f t="shared" si="29"/>
        <v>Feb-2014</v>
      </c>
    </row>
    <row r="593" spans="1:13" x14ac:dyDescent="0.3">
      <c r="A593" t="s">
        <v>1040</v>
      </c>
      <c r="B593" s="1" t="s">
        <v>289</v>
      </c>
      <c r="C593" s="1" t="s">
        <v>108</v>
      </c>
      <c r="D593" s="1" t="s">
        <v>19</v>
      </c>
      <c r="E593" s="5">
        <v>42544</v>
      </c>
      <c r="F593" s="3" t="s">
        <v>46</v>
      </c>
      <c r="G593" s="1" t="s">
        <v>1041</v>
      </c>
      <c r="H593" s="1">
        <v>500</v>
      </c>
      <c r="I593" s="1">
        <v>495</v>
      </c>
      <c r="J593" s="2">
        <v>0.01</v>
      </c>
      <c r="K593">
        <f t="shared" si="27"/>
        <v>4.95</v>
      </c>
      <c r="L593">
        <f t="shared" si="28"/>
        <v>490.05</v>
      </c>
      <c r="M593" t="str">
        <f t="shared" si="29"/>
        <v>Jun-2016</v>
      </c>
    </row>
    <row r="594" spans="1:13" x14ac:dyDescent="0.3">
      <c r="A594" t="s">
        <v>1042</v>
      </c>
      <c r="B594" s="1" t="s">
        <v>182</v>
      </c>
      <c r="C594" s="1" t="s">
        <v>108</v>
      </c>
      <c r="D594" s="1" t="s">
        <v>19</v>
      </c>
      <c r="E594" s="5">
        <v>42907</v>
      </c>
      <c r="F594" s="3" t="s">
        <v>25</v>
      </c>
      <c r="G594" s="1" t="s">
        <v>1043</v>
      </c>
      <c r="H594" s="1">
        <v>700</v>
      </c>
      <c r="I594" s="1">
        <v>665</v>
      </c>
      <c r="J594" s="2">
        <v>0.05</v>
      </c>
      <c r="K594">
        <f t="shared" si="27"/>
        <v>33.25</v>
      </c>
      <c r="L594">
        <f t="shared" si="28"/>
        <v>631.75</v>
      </c>
      <c r="M594" t="str">
        <f t="shared" si="29"/>
        <v>Jun-2017</v>
      </c>
    </row>
    <row r="595" spans="1:13" x14ac:dyDescent="0.3">
      <c r="A595" t="s">
        <v>1044</v>
      </c>
      <c r="B595" s="1" t="s">
        <v>174</v>
      </c>
      <c r="C595" s="1" t="s">
        <v>175</v>
      </c>
      <c r="D595" s="1" t="s">
        <v>13</v>
      </c>
      <c r="E595" s="5">
        <v>42868</v>
      </c>
      <c r="F595" s="3" t="s">
        <v>46</v>
      </c>
      <c r="G595" s="1" t="s">
        <v>219</v>
      </c>
      <c r="H595" s="1">
        <v>500</v>
      </c>
      <c r="I595" s="1">
        <v>485</v>
      </c>
      <c r="J595" s="2">
        <v>0.03</v>
      </c>
      <c r="K595">
        <f t="shared" si="27"/>
        <v>14.549999999999999</v>
      </c>
      <c r="L595">
        <f t="shared" si="28"/>
        <v>470.45</v>
      </c>
      <c r="M595" t="str">
        <f t="shared" si="29"/>
        <v>May-2017</v>
      </c>
    </row>
    <row r="596" spans="1:13" x14ac:dyDescent="0.3">
      <c r="A596" t="s">
        <v>1045</v>
      </c>
      <c r="B596" s="1" t="s">
        <v>11</v>
      </c>
      <c r="C596" s="1" t="s">
        <v>12</v>
      </c>
      <c r="D596" s="1" t="s">
        <v>13</v>
      </c>
      <c r="E596" s="5">
        <v>41988</v>
      </c>
      <c r="F596" s="3" t="s">
        <v>14</v>
      </c>
      <c r="G596" s="1" t="s">
        <v>348</v>
      </c>
      <c r="H596" s="1">
        <v>80</v>
      </c>
      <c r="I596" s="1">
        <v>79</v>
      </c>
      <c r="J596" s="2">
        <v>1.2500000000000001E-2</v>
      </c>
      <c r="K596">
        <f t="shared" si="27"/>
        <v>0.98750000000000004</v>
      </c>
      <c r="L596">
        <f t="shared" si="28"/>
        <v>78.012500000000003</v>
      </c>
      <c r="M596" t="str">
        <f t="shared" si="29"/>
        <v>Dec-2014</v>
      </c>
    </row>
    <row r="597" spans="1:13" x14ac:dyDescent="0.3">
      <c r="A597" t="s">
        <v>1046</v>
      </c>
      <c r="B597" s="1" t="s">
        <v>81</v>
      </c>
      <c r="C597" s="1" t="s">
        <v>82</v>
      </c>
      <c r="D597" s="1" t="s">
        <v>13</v>
      </c>
      <c r="E597" s="5">
        <v>41813</v>
      </c>
      <c r="F597" s="3" t="s">
        <v>61</v>
      </c>
      <c r="G597" s="1" t="s">
        <v>1047</v>
      </c>
      <c r="H597" s="1">
        <v>1000</v>
      </c>
      <c r="I597" s="1">
        <v>540</v>
      </c>
      <c r="J597" s="2">
        <v>0.46</v>
      </c>
      <c r="K597">
        <f t="shared" si="27"/>
        <v>248.4</v>
      </c>
      <c r="L597">
        <f t="shared" si="28"/>
        <v>291.60000000000002</v>
      </c>
      <c r="M597" t="str">
        <f t="shared" si="29"/>
        <v>Jun-2014</v>
      </c>
    </row>
    <row r="598" spans="1:13" x14ac:dyDescent="0.3">
      <c r="A598" t="s">
        <v>1048</v>
      </c>
      <c r="B598" s="1" t="s">
        <v>81</v>
      </c>
      <c r="C598" s="1" t="s">
        <v>82</v>
      </c>
      <c r="D598" s="1" t="s">
        <v>13</v>
      </c>
      <c r="E598" s="5">
        <v>41807</v>
      </c>
      <c r="F598" s="3" t="s">
        <v>14</v>
      </c>
      <c r="G598" s="1" t="s">
        <v>861</v>
      </c>
      <c r="H598" s="1">
        <v>80</v>
      </c>
      <c r="I598" s="1">
        <v>70</v>
      </c>
      <c r="J598" s="2">
        <v>0.125</v>
      </c>
      <c r="K598">
        <f t="shared" si="27"/>
        <v>8.75</v>
      </c>
      <c r="L598">
        <f t="shared" si="28"/>
        <v>61.25</v>
      </c>
      <c r="M598" t="str">
        <f t="shared" si="29"/>
        <v>Jun-2014</v>
      </c>
    </row>
    <row r="599" spans="1:13" x14ac:dyDescent="0.3">
      <c r="A599" t="s">
        <v>1049</v>
      </c>
      <c r="B599" s="1" t="s">
        <v>118</v>
      </c>
      <c r="C599" s="1" t="s">
        <v>119</v>
      </c>
      <c r="D599" s="1" t="s">
        <v>35</v>
      </c>
      <c r="E599" s="5">
        <v>42326</v>
      </c>
      <c r="F599" s="3" t="s">
        <v>122</v>
      </c>
      <c r="G599" s="1" t="s">
        <v>847</v>
      </c>
      <c r="H599" s="1">
        <v>50</v>
      </c>
      <c r="I599" s="1">
        <v>49</v>
      </c>
      <c r="J599" s="2">
        <v>0.02</v>
      </c>
      <c r="K599">
        <f t="shared" si="27"/>
        <v>0.98</v>
      </c>
      <c r="L599">
        <f t="shared" si="28"/>
        <v>48.02</v>
      </c>
      <c r="M599" t="str">
        <f t="shared" si="29"/>
        <v>Nov-2015</v>
      </c>
    </row>
    <row r="600" spans="1:13" x14ac:dyDescent="0.3">
      <c r="A600" t="s">
        <v>1050</v>
      </c>
      <c r="B600" s="1" t="s">
        <v>241</v>
      </c>
      <c r="C600" s="1" t="s">
        <v>242</v>
      </c>
      <c r="D600" s="1" t="s">
        <v>13</v>
      </c>
      <c r="E600" s="5">
        <v>41876</v>
      </c>
      <c r="F600" s="3" t="s">
        <v>14</v>
      </c>
      <c r="G600" s="1" t="s">
        <v>350</v>
      </c>
      <c r="H600" s="1">
        <v>80</v>
      </c>
      <c r="I600" s="1">
        <v>62</v>
      </c>
      <c r="J600" s="2">
        <v>0.22500000000000001</v>
      </c>
      <c r="K600">
        <f t="shared" si="27"/>
        <v>13.950000000000001</v>
      </c>
      <c r="L600">
        <f t="shared" si="28"/>
        <v>48.05</v>
      </c>
      <c r="M600" t="str">
        <f t="shared" si="29"/>
        <v>Aug-2014</v>
      </c>
    </row>
    <row r="601" spans="1:13" x14ac:dyDescent="0.3">
      <c r="A601" t="s">
        <v>1051</v>
      </c>
      <c r="B601" s="1" t="s">
        <v>39</v>
      </c>
      <c r="C601" s="1" t="s">
        <v>40</v>
      </c>
      <c r="D601" s="1" t="s">
        <v>35</v>
      </c>
      <c r="E601" s="5">
        <v>42051</v>
      </c>
      <c r="F601" s="3" t="s">
        <v>30</v>
      </c>
      <c r="G601" s="1" t="s">
        <v>844</v>
      </c>
      <c r="H601" s="1">
        <v>150</v>
      </c>
      <c r="I601" s="1">
        <v>143</v>
      </c>
      <c r="J601" s="2">
        <v>4.6699999999999998E-2</v>
      </c>
      <c r="K601">
        <f t="shared" si="27"/>
        <v>6.6780999999999997</v>
      </c>
      <c r="L601">
        <f t="shared" si="28"/>
        <v>136.3219</v>
      </c>
      <c r="M601" t="str">
        <f t="shared" si="29"/>
        <v>Feb-2015</v>
      </c>
    </row>
    <row r="602" spans="1:13" x14ac:dyDescent="0.3">
      <c r="A602" t="s">
        <v>1052</v>
      </c>
      <c r="B602" s="1" t="s">
        <v>264</v>
      </c>
      <c r="C602" s="1" t="s">
        <v>265</v>
      </c>
      <c r="D602" s="1" t="s">
        <v>13</v>
      </c>
      <c r="E602" s="5">
        <v>43144</v>
      </c>
      <c r="F602" s="3" t="s">
        <v>41</v>
      </c>
      <c r="G602" s="1" t="s">
        <v>266</v>
      </c>
      <c r="H602" s="1">
        <v>30</v>
      </c>
      <c r="I602" s="1">
        <v>26</v>
      </c>
      <c r="J602" s="2">
        <v>0.1333</v>
      </c>
      <c r="K602">
        <f t="shared" si="27"/>
        <v>3.4658000000000002</v>
      </c>
      <c r="L602">
        <f t="shared" si="28"/>
        <v>22.534199999999998</v>
      </c>
      <c r="M602" t="str">
        <f t="shared" si="29"/>
        <v>Feb-2018</v>
      </c>
    </row>
    <row r="603" spans="1:13" x14ac:dyDescent="0.3">
      <c r="A603" t="s">
        <v>1053</v>
      </c>
      <c r="B603" s="1" t="s">
        <v>434</v>
      </c>
      <c r="C603" s="1" t="s">
        <v>435</v>
      </c>
      <c r="D603" s="1" t="s">
        <v>24</v>
      </c>
      <c r="E603" s="5">
        <v>42546</v>
      </c>
      <c r="F603" s="3" t="s">
        <v>115</v>
      </c>
      <c r="G603" s="1" t="s">
        <v>828</v>
      </c>
      <c r="H603" s="1">
        <v>250</v>
      </c>
      <c r="I603" s="1">
        <v>248</v>
      </c>
      <c r="J603" s="2">
        <v>8.0000000000000002E-3</v>
      </c>
      <c r="K603">
        <f t="shared" si="27"/>
        <v>1.984</v>
      </c>
      <c r="L603">
        <f t="shared" si="28"/>
        <v>246.01599999999999</v>
      </c>
      <c r="M603" t="str">
        <f t="shared" si="29"/>
        <v>Jun-2016</v>
      </c>
    </row>
    <row r="604" spans="1:13" x14ac:dyDescent="0.3">
      <c r="A604" t="s">
        <v>1054</v>
      </c>
      <c r="B604" s="1" t="s">
        <v>174</v>
      </c>
      <c r="C604" s="1" t="s">
        <v>175</v>
      </c>
      <c r="D604" s="1" t="s">
        <v>13</v>
      </c>
      <c r="E604" s="5">
        <v>42626</v>
      </c>
      <c r="F604" s="3" t="s">
        <v>36</v>
      </c>
      <c r="G604" s="1" t="s">
        <v>176</v>
      </c>
      <c r="H604" s="1">
        <v>50</v>
      </c>
      <c r="I604" s="1">
        <v>44</v>
      </c>
      <c r="J604" s="2">
        <v>0.12</v>
      </c>
      <c r="K604">
        <f t="shared" si="27"/>
        <v>5.2799999999999994</v>
      </c>
      <c r="L604">
        <f t="shared" si="28"/>
        <v>38.72</v>
      </c>
      <c r="M604" t="str">
        <f t="shared" si="29"/>
        <v>Sep-2016</v>
      </c>
    </row>
    <row r="605" spans="1:13" x14ac:dyDescent="0.3">
      <c r="A605" t="s">
        <v>1055</v>
      </c>
      <c r="B605" s="1" t="s">
        <v>85</v>
      </c>
      <c r="C605" s="1" t="s">
        <v>86</v>
      </c>
      <c r="D605" s="1" t="s">
        <v>13</v>
      </c>
      <c r="E605" s="5">
        <v>42995</v>
      </c>
      <c r="F605" s="3" t="s">
        <v>115</v>
      </c>
      <c r="G605" s="1" t="s">
        <v>628</v>
      </c>
      <c r="H605" s="1">
        <v>250</v>
      </c>
      <c r="I605" s="1">
        <v>173</v>
      </c>
      <c r="J605" s="2">
        <v>0.308</v>
      </c>
      <c r="K605">
        <f t="shared" si="27"/>
        <v>53.283999999999999</v>
      </c>
      <c r="L605">
        <f t="shared" si="28"/>
        <v>119.71600000000001</v>
      </c>
      <c r="M605" t="str">
        <f t="shared" si="29"/>
        <v>Sep-2017</v>
      </c>
    </row>
    <row r="606" spans="1:13" x14ac:dyDescent="0.3">
      <c r="A606" t="s">
        <v>1056</v>
      </c>
      <c r="B606" s="1" t="s">
        <v>64</v>
      </c>
      <c r="C606" s="1" t="s">
        <v>65</v>
      </c>
      <c r="D606" s="1" t="s">
        <v>35</v>
      </c>
      <c r="E606" s="5">
        <v>42291</v>
      </c>
      <c r="F606" s="3" t="s">
        <v>61</v>
      </c>
      <c r="G606" s="1" t="s">
        <v>1057</v>
      </c>
      <c r="H606" s="1">
        <v>1000</v>
      </c>
      <c r="I606" s="1">
        <v>850</v>
      </c>
      <c r="J606" s="2">
        <v>0.15</v>
      </c>
      <c r="K606">
        <f t="shared" si="27"/>
        <v>127.5</v>
      </c>
      <c r="L606">
        <f t="shared" si="28"/>
        <v>722.5</v>
      </c>
      <c r="M606" t="str">
        <f t="shared" si="29"/>
        <v>Oct-2015</v>
      </c>
    </row>
    <row r="607" spans="1:13" x14ac:dyDescent="0.3">
      <c r="A607" t="s">
        <v>1058</v>
      </c>
      <c r="B607" s="1" t="s">
        <v>221</v>
      </c>
      <c r="C607" s="1" t="s">
        <v>40</v>
      </c>
      <c r="D607" s="1" t="s">
        <v>35</v>
      </c>
      <c r="E607" s="5">
        <v>41745</v>
      </c>
      <c r="F607" s="3" t="s">
        <v>36</v>
      </c>
      <c r="G607" s="1" t="s">
        <v>1059</v>
      </c>
      <c r="H607" s="1">
        <v>50</v>
      </c>
      <c r="I607" s="1">
        <v>40</v>
      </c>
      <c r="J607" s="2">
        <v>0.2</v>
      </c>
      <c r="K607">
        <f t="shared" si="27"/>
        <v>8</v>
      </c>
      <c r="L607">
        <f t="shared" si="28"/>
        <v>32</v>
      </c>
      <c r="M607" t="str">
        <f t="shared" si="29"/>
        <v>Apr-2014</v>
      </c>
    </row>
    <row r="608" spans="1:13" x14ac:dyDescent="0.3">
      <c r="A608" t="s">
        <v>1060</v>
      </c>
      <c r="B608" s="1" t="s">
        <v>400</v>
      </c>
      <c r="C608" s="1" t="s">
        <v>401</v>
      </c>
      <c r="D608" s="1" t="s">
        <v>13</v>
      </c>
      <c r="E608" s="5">
        <v>43031</v>
      </c>
      <c r="F608" s="3" t="s">
        <v>115</v>
      </c>
      <c r="G608" s="1" t="s">
        <v>693</v>
      </c>
      <c r="H608" s="1">
        <v>250</v>
      </c>
      <c r="I608" s="1">
        <v>218</v>
      </c>
      <c r="J608" s="2">
        <v>0.128</v>
      </c>
      <c r="K608">
        <f t="shared" si="27"/>
        <v>27.904</v>
      </c>
      <c r="L608">
        <f t="shared" si="28"/>
        <v>190.096</v>
      </c>
      <c r="M608" t="str">
        <f t="shared" si="29"/>
        <v>Oct-2017</v>
      </c>
    </row>
    <row r="609" spans="1:13" x14ac:dyDescent="0.3">
      <c r="A609" t="s">
        <v>1061</v>
      </c>
      <c r="B609" s="1" t="s">
        <v>134</v>
      </c>
      <c r="C609" s="1" t="s">
        <v>92</v>
      </c>
      <c r="D609" s="1" t="s">
        <v>35</v>
      </c>
      <c r="E609" s="5">
        <v>42477</v>
      </c>
      <c r="F609" s="3" t="s">
        <v>14</v>
      </c>
      <c r="G609" s="1" t="s">
        <v>1062</v>
      </c>
      <c r="H609" s="1">
        <v>80</v>
      </c>
      <c r="I609" s="1">
        <v>79</v>
      </c>
      <c r="J609" s="2">
        <v>1.2500000000000001E-2</v>
      </c>
      <c r="K609">
        <f t="shared" si="27"/>
        <v>0.98750000000000004</v>
      </c>
      <c r="L609">
        <f t="shared" si="28"/>
        <v>78.012500000000003</v>
      </c>
      <c r="M609" t="str">
        <f t="shared" si="29"/>
        <v>Apr-2016</v>
      </c>
    </row>
    <row r="610" spans="1:13" x14ac:dyDescent="0.3">
      <c r="A610" t="s">
        <v>1063</v>
      </c>
      <c r="B610" s="1" t="s">
        <v>157</v>
      </c>
      <c r="C610" s="1" t="s">
        <v>108</v>
      </c>
      <c r="D610" s="1" t="s">
        <v>19</v>
      </c>
      <c r="E610" s="5">
        <v>41697</v>
      </c>
      <c r="F610" s="3" t="s">
        <v>122</v>
      </c>
      <c r="G610" s="1" t="s">
        <v>571</v>
      </c>
      <c r="H610" s="1">
        <v>50</v>
      </c>
      <c r="I610" s="1">
        <v>40</v>
      </c>
      <c r="J610" s="2">
        <v>0.2</v>
      </c>
      <c r="K610">
        <f t="shared" si="27"/>
        <v>8</v>
      </c>
      <c r="L610">
        <f t="shared" si="28"/>
        <v>32</v>
      </c>
      <c r="M610" t="str">
        <f t="shared" si="29"/>
        <v>Feb-2014</v>
      </c>
    </row>
    <row r="611" spans="1:13" x14ac:dyDescent="0.3">
      <c r="A611" t="s">
        <v>1064</v>
      </c>
      <c r="B611" s="1" t="s">
        <v>91</v>
      </c>
      <c r="C611" s="1" t="s">
        <v>92</v>
      </c>
      <c r="D611" s="1" t="s">
        <v>35</v>
      </c>
      <c r="E611" s="5">
        <v>43127</v>
      </c>
      <c r="F611" s="3" t="s">
        <v>122</v>
      </c>
      <c r="G611" s="1" t="s">
        <v>199</v>
      </c>
      <c r="H611" s="1">
        <v>50</v>
      </c>
      <c r="I611" s="1">
        <v>44</v>
      </c>
      <c r="J611" s="2">
        <v>0.12</v>
      </c>
      <c r="K611">
        <f t="shared" si="27"/>
        <v>5.2799999999999994</v>
      </c>
      <c r="L611">
        <f t="shared" si="28"/>
        <v>38.72</v>
      </c>
      <c r="M611" t="str">
        <f t="shared" si="29"/>
        <v>Jan-2018</v>
      </c>
    </row>
    <row r="612" spans="1:13" x14ac:dyDescent="0.3">
      <c r="A612" t="s">
        <v>1065</v>
      </c>
      <c r="B612" s="1" t="s">
        <v>114</v>
      </c>
      <c r="C612" s="1" t="s">
        <v>54</v>
      </c>
      <c r="D612" s="1" t="s">
        <v>13</v>
      </c>
      <c r="E612" s="5">
        <v>41902</v>
      </c>
      <c r="F612" s="3" t="s">
        <v>25</v>
      </c>
      <c r="G612" s="1" t="s">
        <v>235</v>
      </c>
      <c r="H612" s="1">
        <v>700</v>
      </c>
      <c r="I612" s="1">
        <v>553</v>
      </c>
      <c r="J612" s="2">
        <v>0.21</v>
      </c>
      <c r="K612">
        <f t="shared" si="27"/>
        <v>116.13</v>
      </c>
      <c r="L612">
        <f t="shared" si="28"/>
        <v>436.87</v>
      </c>
      <c r="M612" t="str">
        <f t="shared" si="29"/>
        <v>Sep-2014</v>
      </c>
    </row>
    <row r="613" spans="1:13" x14ac:dyDescent="0.3">
      <c r="A613" t="s">
        <v>1066</v>
      </c>
      <c r="B613" s="1" t="s">
        <v>59</v>
      </c>
      <c r="C613" s="1" t="s">
        <v>60</v>
      </c>
      <c r="D613" s="1" t="s">
        <v>13</v>
      </c>
      <c r="E613" s="5">
        <v>43272</v>
      </c>
      <c r="F613" s="3" t="s">
        <v>104</v>
      </c>
      <c r="G613" s="1" t="s">
        <v>781</v>
      </c>
      <c r="H613" s="1">
        <v>70</v>
      </c>
      <c r="I613" s="1">
        <v>66</v>
      </c>
      <c r="J613" s="2">
        <v>5.7099999999999998E-2</v>
      </c>
      <c r="K613">
        <f t="shared" si="27"/>
        <v>3.7685999999999997</v>
      </c>
      <c r="L613">
        <f t="shared" si="28"/>
        <v>62.231400000000001</v>
      </c>
      <c r="M613" t="str">
        <f t="shared" si="29"/>
        <v>Jun-2018</v>
      </c>
    </row>
    <row r="614" spans="1:13" x14ac:dyDescent="0.3">
      <c r="A614" t="s">
        <v>1067</v>
      </c>
      <c r="B614" s="1" t="s">
        <v>114</v>
      </c>
      <c r="C614" s="1" t="s">
        <v>54</v>
      </c>
      <c r="D614" s="1" t="s">
        <v>13</v>
      </c>
      <c r="E614" s="5">
        <v>41967</v>
      </c>
      <c r="F614" s="3" t="s">
        <v>61</v>
      </c>
      <c r="G614" s="1" t="s">
        <v>1068</v>
      </c>
      <c r="H614" s="1">
        <v>1000</v>
      </c>
      <c r="I614" s="1">
        <v>920</v>
      </c>
      <c r="J614" s="2">
        <v>0.08</v>
      </c>
      <c r="K614">
        <f t="shared" si="27"/>
        <v>73.600000000000009</v>
      </c>
      <c r="L614">
        <f t="shared" si="28"/>
        <v>846.4</v>
      </c>
      <c r="M614" t="str">
        <f t="shared" si="29"/>
        <v>Nov-2014</v>
      </c>
    </row>
    <row r="615" spans="1:13" x14ac:dyDescent="0.3">
      <c r="A615" t="s">
        <v>1069</v>
      </c>
      <c r="B615" s="1" t="s">
        <v>44</v>
      </c>
      <c r="C615" s="1" t="s">
        <v>45</v>
      </c>
      <c r="D615" s="1" t="s">
        <v>24</v>
      </c>
      <c r="E615" s="5">
        <v>42112</v>
      </c>
      <c r="F615" s="3" t="s">
        <v>36</v>
      </c>
      <c r="G615" s="1" t="s">
        <v>1070</v>
      </c>
      <c r="H615" s="1">
        <v>50</v>
      </c>
      <c r="I615" s="1">
        <v>50</v>
      </c>
      <c r="J615" s="2">
        <v>0</v>
      </c>
      <c r="K615">
        <f t="shared" si="27"/>
        <v>0</v>
      </c>
      <c r="L615">
        <f t="shared" si="28"/>
        <v>50</v>
      </c>
      <c r="M615" t="str">
        <f t="shared" si="29"/>
        <v>Apr-2015</v>
      </c>
    </row>
    <row r="616" spans="1:13" x14ac:dyDescent="0.3">
      <c r="A616" t="s">
        <v>1071</v>
      </c>
      <c r="B616" s="1" t="s">
        <v>77</v>
      </c>
      <c r="C616" s="1" t="s">
        <v>78</v>
      </c>
      <c r="D616" s="1" t="s">
        <v>35</v>
      </c>
      <c r="E616" s="5">
        <v>42764</v>
      </c>
      <c r="F616" s="3" t="s">
        <v>104</v>
      </c>
      <c r="G616" s="1" t="s">
        <v>1072</v>
      </c>
      <c r="H616" s="1">
        <v>70</v>
      </c>
      <c r="I616" s="1">
        <v>53</v>
      </c>
      <c r="J616" s="2">
        <v>0.2429</v>
      </c>
      <c r="K616">
        <f t="shared" si="27"/>
        <v>12.873699999999999</v>
      </c>
      <c r="L616">
        <f t="shared" si="28"/>
        <v>40.126300000000001</v>
      </c>
      <c r="M616" t="str">
        <f t="shared" si="29"/>
        <v>Jan-2017</v>
      </c>
    </row>
    <row r="617" spans="1:13" x14ac:dyDescent="0.3">
      <c r="A617" t="s">
        <v>1073</v>
      </c>
      <c r="B617" s="1" t="s">
        <v>154</v>
      </c>
      <c r="C617" s="1" t="s">
        <v>108</v>
      </c>
      <c r="D617" s="1" t="s">
        <v>19</v>
      </c>
      <c r="E617" s="5">
        <v>42671</v>
      </c>
      <c r="F617" s="3" t="s">
        <v>61</v>
      </c>
      <c r="G617" s="1" t="s">
        <v>352</v>
      </c>
      <c r="H617" s="1">
        <v>1000</v>
      </c>
      <c r="I617" s="1">
        <v>780</v>
      </c>
      <c r="J617" s="2">
        <v>0.22</v>
      </c>
      <c r="K617">
        <f t="shared" si="27"/>
        <v>171.6</v>
      </c>
      <c r="L617">
        <f t="shared" si="28"/>
        <v>608.4</v>
      </c>
      <c r="M617" t="str">
        <f t="shared" si="29"/>
        <v>Oct-2016</v>
      </c>
    </row>
    <row r="618" spans="1:13" x14ac:dyDescent="0.3">
      <c r="A618" t="s">
        <v>1074</v>
      </c>
      <c r="B618" s="1" t="s">
        <v>118</v>
      </c>
      <c r="C618" s="1" t="s">
        <v>119</v>
      </c>
      <c r="D618" s="1" t="s">
        <v>35</v>
      </c>
      <c r="E618" s="5">
        <v>41726</v>
      </c>
      <c r="F618" s="3" t="s">
        <v>25</v>
      </c>
      <c r="G618" s="1" t="s">
        <v>896</v>
      </c>
      <c r="H618" s="1">
        <v>700</v>
      </c>
      <c r="I618" s="1">
        <v>686</v>
      </c>
      <c r="J618" s="2">
        <v>0.02</v>
      </c>
      <c r="K618">
        <f t="shared" si="27"/>
        <v>13.72</v>
      </c>
      <c r="L618">
        <f t="shared" si="28"/>
        <v>672.28</v>
      </c>
      <c r="M618" t="str">
        <f t="shared" si="29"/>
        <v>Mar-2014</v>
      </c>
    </row>
    <row r="619" spans="1:13" x14ac:dyDescent="0.3">
      <c r="A619" t="s">
        <v>1075</v>
      </c>
      <c r="B619" s="1" t="s">
        <v>107</v>
      </c>
      <c r="C619" s="1" t="s">
        <v>108</v>
      </c>
      <c r="D619" s="1" t="s">
        <v>19</v>
      </c>
      <c r="E619" s="5">
        <v>42385</v>
      </c>
      <c r="F619" s="3" t="s">
        <v>30</v>
      </c>
      <c r="G619" s="1" t="s">
        <v>1029</v>
      </c>
      <c r="H619" s="1">
        <v>150</v>
      </c>
      <c r="I619" s="1">
        <v>108</v>
      </c>
      <c r="J619" s="2">
        <v>0.28000000000000003</v>
      </c>
      <c r="K619">
        <f t="shared" si="27"/>
        <v>30.240000000000002</v>
      </c>
      <c r="L619">
        <f t="shared" si="28"/>
        <v>77.759999999999991</v>
      </c>
      <c r="M619" t="str">
        <f t="shared" si="29"/>
        <v>Jan-2016</v>
      </c>
    </row>
    <row r="620" spans="1:13" x14ac:dyDescent="0.3">
      <c r="A620" t="s">
        <v>1076</v>
      </c>
      <c r="B620" s="1" t="s">
        <v>264</v>
      </c>
      <c r="C620" s="1" t="s">
        <v>265</v>
      </c>
      <c r="D620" s="1" t="s">
        <v>13</v>
      </c>
      <c r="E620" s="5">
        <v>41670</v>
      </c>
      <c r="F620" s="3" t="s">
        <v>61</v>
      </c>
      <c r="G620" s="1" t="s">
        <v>599</v>
      </c>
      <c r="H620" s="1">
        <v>1000</v>
      </c>
      <c r="I620" s="1">
        <v>880</v>
      </c>
      <c r="J620" s="2">
        <v>0.12</v>
      </c>
      <c r="K620">
        <f t="shared" si="27"/>
        <v>105.6</v>
      </c>
      <c r="L620">
        <f t="shared" si="28"/>
        <v>774.4</v>
      </c>
      <c r="M620" t="str">
        <f t="shared" si="29"/>
        <v>Jan-2014</v>
      </c>
    </row>
    <row r="621" spans="1:13" x14ac:dyDescent="0.3">
      <c r="A621" t="s">
        <v>1077</v>
      </c>
      <c r="B621" s="1" t="s">
        <v>118</v>
      </c>
      <c r="C621" s="1" t="s">
        <v>119</v>
      </c>
      <c r="D621" s="1" t="s">
        <v>35</v>
      </c>
      <c r="E621" s="5">
        <v>43419</v>
      </c>
      <c r="F621" s="3" t="s">
        <v>55</v>
      </c>
      <c r="G621" s="1" t="s">
        <v>540</v>
      </c>
      <c r="H621" s="1">
        <v>800</v>
      </c>
      <c r="I621" s="1">
        <v>560</v>
      </c>
      <c r="J621" s="2">
        <v>0.3</v>
      </c>
      <c r="K621">
        <f t="shared" si="27"/>
        <v>168</v>
      </c>
      <c r="L621">
        <f t="shared" si="28"/>
        <v>392</v>
      </c>
      <c r="M621" t="str">
        <f t="shared" si="29"/>
        <v>Nov-2018</v>
      </c>
    </row>
    <row r="622" spans="1:13" x14ac:dyDescent="0.3">
      <c r="A622" t="s">
        <v>1078</v>
      </c>
      <c r="B622" s="1" t="s">
        <v>118</v>
      </c>
      <c r="C622" s="1" t="s">
        <v>119</v>
      </c>
      <c r="D622" s="1" t="s">
        <v>35</v>
      </c>
      <c r="E622" s="5">
        <v>42938</v>
      </c>
      <c r="F622" s="3" t="s">
        <v>61</v>
      </c>
      <c r="G622" s="1" t="s">
        <v>1079</v>
      </c>
      <c r="H622" s="1">
        <v>1000</v>
      </c>
      <c r="I622" s="1">
        <v>930</v>
      </c>
      <c r="J622" s="2">
        <v>7.0000000000000007E-2</v>
      </c>
      <c r="K622">
        <f t="shared" si="27"/>
        <v>65.100000000000009</v>
      </c>
      <c r="L622">
        <f t="shared" si="28"/>
        <v>864.9</v>
      </c>
      <c r="M622" t="str">
        <f t="shared" si="29"/>
        <v>Jul-2017</v>
      </c>
    </row>
    <row r="623" spans="1:13" x14ac:dyDescent="0.3">
      <c r="A623" t="s">
        <v>1080</v>
      </c>
      <c r="B623" s="1" t="s">
        <v>11</v>
      </c>
      <c r="C623" s="1" t="s">
        <v>12</v>
      </c>
      <c r="D623" s="1" t="s">
        <v>13</v>
      </c>
      <c r="E623" s="5">
        <v>42668</v>
      </c>
      <c r="F623" s="3" t="s">
        <v>25</v>
      </c>
      <c r="G623" s="1" t="s">
        <v>15</v>
      </c>
      <c r="H623" s="1">
        <v>700</v>
      </c>
      <c r="I623" s="1">
        <v>693</v>
      </c>
      <c r="J623" s="2">
        <v>0.01</v>
      </c>
      <c r="K623">
        <f t="shared" si="27"/>
        <v>6.93</v>
      </c>
      <c r="L623">
        <f t="shared" si="28"/>
        <v>686.07</v>
      </c>
      <c r="M623" t="str">
        <f t="shared" si="29"/>
        <v>Oct-2016</v>
      </c>
    </row>
    <row r="624" spans="1:13" x14ac:dyDescent="0.3">
      <c r="A624" t="s">
        <v>1081</v>
      </c>
      <c r="B624" s="1" t="s">
        <v>157</v>
      </c>
      <c r="C624" s="1" t="s">
        <v>108</v>
      </c>
      <c r="D624" s="1" t="s">
        <v>19</v>
      </c>
      <c r="E624" s="5">
        <v>42144</v>
      </c>
      <c r="F624" s="3" t="s">
        <v>41</v>
      </c>
      <c r="G624" s="1" t="s">
        <v>1022</v>
      </c>
      <c r="H624" s="1">
        <v>30</v>
      </c>
      <c r="I624" s="1">
        <v>26</v>
      </c>
      <c r="J624" s="2">
        <v>0.1333</v>
      </c>
      <c r="K624">
        <f t="shared" si="27"/>
        <v>3.4658000000000002</v>
      </c>
      <c r="L624">
        <f t="shared" si="28"/>
        <v>22.534199999999998</v>
      </c>
      <c r="M624" t="str">
        <f t="shared" si="29"/>
        <v>May-2015</v>
      </c>
    </row>
    <row r="625" spans="1:13" x14ac:dyDescent="0.3">
      <c r="A625" t="s">
        <v>1082</v>
      </c>
      <c r="B625" s="1" t="s">
        <v>107</v>
      </c>
      <c r="C625" s="1" t="s">
        <v>108</v>
      </c>
      <c r="D625" s="1" t="s">
        <v>19</v>
      </c>
      <c r="E625" s="5">
        <v>42026</v>
      </c>
      <c r="F625" s="3" t="s">
        <v>41</v>
      </c>
      <c r="G625" s="1" t="s">
        <v>1029</v>
      </c>
      <c r="H625" s="1">
        <v>30</v>
      </c>
      <c r="I625" s="1">
        <v>29</v>
      </c>
      <c r="J625" s="2">
        <v>3.3300000000000003E-2</v>
      </c>
      <c r="K625">
        <f t="shared" si="27"/>
        <v>0.96570000000000011</v>
      </c>
      <c r="L625">
        <f t="shared" si="28"/>
        <v>28.034299999999998</v>
      </c>
      <c r="M625" t="str">
        <f t="shared" si="29"/>
        <v>Jan-2015</v>
      </c>
    </row>
    <row r="626" spans="1:13" x14ac:dyDescent="0.3">
      <c r="A626" t="s">
        <v>1083</v>
      </c>
      <c r="B626" s="1" t="s">
        <v>131</v>
      </c>
      <c r="C626" s="1" t="s">
        <v>108</v>
      </c>
      <c r="D626" s="1" t="s">
        <v>19</v>
      </c>
      <c r="E626" s="5">
        <v>41995</v>
      </c>
      <c r="F626" s="3" t="s">
        <v>41</v>
      </c>
      <c r="G626" s="1" t="s">
        <v>688</v>
      </c>
      <c r="H626" s="1">
        <v>30</v>
      </c>
      <c r="I626" s="1">
        <v>30</v>
      </c>
      <c r="J626" s="2">
        <v>0</v>
      </c>
      <c r="K626">
        <f t="shared" si="27"/>
        <v>0</v>
      </c>
      <c r="L626">
        <f t="shared" si="28"/>
        <v>30</v>
      </c>
      <c r="M626" t="str">
        <f t="shared" si="29"/>
        <v>Dec-2014</v>
      </c>
    </row>
    <row r="627" spans="1:13" x14ac:dyDescent="0.3">
      <c r="A627" t="s">
        <v>1084</v>
      </c>
      <c r="B627" s="1" t="s">
        <v>241</v>
      </c>
      <c r="C627" s="1" t="s">
        <v>242</v>
      </c>
      <c r="D627" s="1" t="s">
        <v>13</v>
      </c>
      <c r="E627" s="5">
        <v>42929</v>
      </c>
      <c r="F627" s="3" t="s">
        <v>30</v>
      </c>
      <c r="G627" s="1" t="s">
        <v>426</v>
      </c>
      <c r="H627" s="1">
        <v>150</v>
      </c>
      <c r="I627" s="1">
        <v>143</v>
      </c>
      <c r="J627" s="2">
        <v>4.6699999999999998E-2</v>
      </c>
      <c r="K627">
        <f t="shared" si="27"/>
        <v>6.6780999999999997</v>
      </c>
      <c r="L627">
        <f t="shared" si="28"/>
        <v>136.3219</v>
      </c>
      <c r="M627" t="str">
        <f t="shared" si="29"/>
        <v>Jul-2017</v>
      </c>
    </row>
    <row r="628" spans="1:13" x14ac:dyDescent="0.3">
      <c r="A628" t="s">
        <v>1085</v>
      </c>
      <c r="B628" s="1" t="s">
        <v>227</v>
      </c>
      <c r="C628" s="1" t="s">
        <v>228</v>
      </c>
      <c r="D628" s="1" t="s">
        <v>24</v>
      </c>
      <c r="E628" s="5">
        <v>42031</v>
      </c>
      <c r="F628" s="3" t="s">
        <v>115</v>
      </c>
      <c r="G628" s="1" t="s">
        <v>870</v>
      </c>
      <c r="H628" s="1">
        <v>250</v>
      </c>
      <c r="I628" s="1">
        <v>208</v>
      </c>
      <c r="J628" s="2">
        <v>0.16800000000000001</v>
      </c>
      <c r="K628">
        <f t="shared" si="27"/>
        <v>34.944000000000003</v>
      </c>
      <c r="L628">
        <f t="shared" si="28"/>
        <v>173.05599999999998</v>
      </c>
      <c r="M628" t="str">
        <f t="shared" si="29"/>
        <v>Jan-2015</v>
      </c>
    </row>
    <row r="629" spans="1:13" x14ac:dyDescent="0.3">
      <c r="A629" t="s">
        <v>1086</v>
      </c>
      <c r="B629" s="1" t="s">
        <v>174</v>
      </c>
      <c r="C629" s="1" t="s">
        <v>175</v>
      </c>
      <c r="D629" s="1" t="s">
        <v>13</v>
      </c>
      <c r="E629" s="5">
        <v>42142</v>
      </c>
      <c r="F629" s="3" t="s">
        <v>46</v>
      </c>
      <c r="G629" s="1" t="s">
        <v>607</v>
      </c>
      <c r="H629" s="1">
        <v>500</v>
      </c>
      <c r="I629" s="1">
        <v>455</v>
      </c>
      <c r="J629" s="2">
        <v>0.09</v>
      </c>
      <c r="K629">
        <f t="shared" si="27"/>
        <v>40.949999999999996</v>
      </c>
      <c r="L629">
        <f t="shared" si="28"/>
        <v>414.05</v>
      </c>
      <c r="M629" t="str">
        <f t="shared" si="29"/>
        <v>May-2015</v>
      </c>
    </row>
    <row r="630" spans="1:13" x14ac:dyDescent="0.3">
      <c r="A630" t="s">
        <v>1087</v>
      </c>
      <c r="B630" s="1" t="s">
        <v>146</v>
      </c>
      <c r="C630" s="1" t="s">
        <v>147</v>
      </c>
      <c r="D630" s="1" t="s">
        <v>13</v>
      </c>
      <c r="E630" s="5">
        <v>42629</v>
      </c>
      <c r="F630" s="3" t="s">
        <v>115</v>
      </c>
      <c r="G630" s="1" t="s">
        <v>1033</v>
      </c>
      <c r="H630" s="1">
        <v>250</v>
      </c>
      <c r="I630" s="1">
        <v>155</v>
      </c>
      <c r="J630" s="2">
        <v>0.38</v>
      </c>
      <c r="K630">
        <f t="shared" si="27"/>
        <v>58.9</v>
      </c>
      <c r="L630">
        <f t="shared" si="28"/>
        <v>96.1</v>
      </c>
      <c r="M630" t="str">
        <f t="shared" si="29"/>
        <v>Sep-2016</v>
      </c>
    </row>
    <row r="631" spans="1:13" x14ac:dyDescent="0.3">
      <c r="A631" t="s">
        <v>1088</v>
      </c>
      <c r="B631" s="1" t="s">
        <v>127</v>
      </c>
      <c r="C631" s="1" t="s">
        <v>128</v>
      </c>
      <c r="D631" s="1" t="s">
        <v>13</v>
      </c>
      <c r="E631" s="5">
        <v>41718</v>
      </c>
      <c r="F631" s="3" t="s">
        <v>41</v>
      </c>
      <c r="G631" s="1" t="s">
        <v>385</v>
      </c>
      <c r="H631" s="1">
        <v>30</v>
      </c>
      <c r="I631" s="1">
        <v>27</v>
      </c>
      <c r="J631" s="2">
        <v>0.1</v>
      </c>
      <c r="K631">
        <f t="shared" si="27"/>
        <v>2.7</v>
      </c>
      <c r="L631">
        <f t="shared" si="28"/>
        <v>24.3</v>
      </c>
      <c r="M631" t="str">
        <f t="shared" si="29"/>
        <v>Mar-2014</v>
      </c>
    </row>
    <row r="632" spans="1:13" x14ac:dyDescent="0.3">
      <c r="A632" t="s">
        <v>1089</v>
      </c>
      <c r="B632" s="1" t="s">
        <v>99</v>
      </c>
      <c r="C632" s="1" t="s">
        <v>100</v>
      </c>
      <c r="D632" s="1" t="s">
        <v>13</v>
      </c>
      <c r="E632" s="5">
        <v>41662</v>
      </c>
      <c r="F632" s="3" t="s">
        <v>46</v>
      </c>
      <c r="G632" s="1" t="s">
        <v>1090</v>
      </c>
      <c r="H632" s="1">
        <v>500</v>
      </c>
      <c r="I632" s="1">
        <v>485</v>
      </c>
      <c r="J632" s="2">
        <v>0.03</v>
      </c>
      <c r="K632">
        <f t="shared" si="27"/>
        <v>14.549999999999999</v>
      </c>
      <c r="L632">
        <f t="shared" si="28"/>
        <v>470.45</v>
      </c>
      <c r="M632" t="str">
        <f t="shared" si="29"/>
        <v>Jan-2014</v>
      </c>
    </row>
    <row r="633" spans="1:13" x14ac:dyDescent="0.3">
      <c r="A633" t="s">
        <v>1091</v>
      </c>
      <c r="B633" s="1" t="s">
        <v>289</v>
      </c>
      <c r="C633" s="1" t="s">
        <v>108</v>
      </c>
      <c r="D633" s="1" t="s">
        <v>19</v>
      </c>
      <c r="E633" s="5">
        <v>42630</v>
      </c>
      <c r="F633" s="3" t="s">
        <v>122</v>
      </c>
      <c r="G633" s="1" t="s">
        <v>972</v>
      </c>
      <c r="H633" s="1">
        <v>50</v>
      </c>
      <c r="I633" s="1">
        <v>49</v>
      </c>
      <c r="J633" s="2">
        <v>0.02</v>
      </c>
      <c r="K633">
        <f t="shared" si="27"/>
        <v>0.98</v>
      </c>
      <c r="L633">
        <f t="shared" si="28"/>
        <v>48.02</v>
      </c>
      <c r="M633" t="str">
        <f t="shared" si="29"/>
        <v>Sep-2016</v>
      </c>
    </row>
    <row r="634" spans="1:13" x14ac:dyDescent="0.3">
      <c r="A634" t="s">
        <v>1092</v>
      </c>
      <c r="B634" s="1" t="s">
        <v>77</v>
      </c>
      <c r="C634" s="1" t="s">
        <v>78</v>
      </c>
      <c r="D634" s="1" t="s">
        <v>35</v>
      </c>
      <c r="E634" s="5">
        <v>42389</v>
      </c>
      <c r="F634" s="3" t="s">
        <v>46</v>
      </c>
      <c r="G634" s="1" t="s">
        <v>1093</v>
      </c>
      <c r="H634" s="1">
        <v>500</v>
      </c>
      <c r="I634" s="1">
        <v>450</v>
      </c>
      <c r="J634" s="2">
        <v>0.1</v>
      </c>
      <c r="K634">
        <f t="shared" si="27"/>
        <v>45</v>
      </c>
      <c r="L634">
        <f t="shared" si="28"/>
        <v>405</v>
      </c>
      <c r="M634" t="str">
        <f t="shared" si="29"/>
        <v>Jan-2016</v>
      </c>
    </row>
    <row r="635" spans="1:13" x14ac:dyDescent="0.3">
      <c r="A635" t="s">
        <v>1094</v>
      </c>
      <c r="B635" s="1" t="s">
        <v>77</v>
      </c>
      <c r="C635" s="1" t="s">
        <v>78</v>
      </c>
      <c r="D635" s="1" t="s">
        <v>35</v>
      </c>
      <c r="E635" s="5">
        <v>42851</v>
      </c>
      <c r="F635" s="3" t="s">
        <v>36</v>
      </c>
      <c r="G635" s="1" t="s">
        <v>317</v>
      </c>
      <c r="H635" s="1">
        <v>50</v>
      </c>
      <c r="I635" s="1">
        <v>49</v>
      </c>
      <c r="J635" s="2">
        <v>0.02</v>
      </c>
      <c r="K635">
        <f t="shared" si="27"/>
        <v>0.98</v>
      </c>
      <c r="L635">
        <f t="shared" si="28"/>
        <v>48.02</v>
      </c>
      <c r="M635" t="str">
        <f t="shared" si="29"/>
        <v>Apr-2017</v>
      </c>
    </row>
    <row r="636" spans="1:13" x14ac:dyDescent="0.3">
      <c r="A636" t="s">
        <v>1095</v>
      </c>
      <c r="B636" s="1" t="s">
        <v>157</v>
      </c>
      <c r="C636" s="1" t="s">
        <v>108</v>
      </c>
      <c r="D636" s="1" t="s">
        <v>19</v>
      </c>
      <c r="E636" s="5">
        <v>41905</v>
      </c>
      <c r="F636" s="3" t="s">
        <v>30</v>
      </c>
      <c r="G636" s="1" t="s">
        <v>158</v>
      </c>
      <c r="H636" s="1">
        <v>150</v>
      </c>
      <c r="I636" s="1">
        <v>111</v>
      </c>
      <c r="J636" s="2">
        <v>0.26</v>
      </c>
      <c r="K636">
        <f t="shared" si="27"/>
        <v>28.86</v>
      </c>
      <c r="L636">
        <f t="shared" si="28"/>
        <v>82.14</v>
      </c>
      <c r="M636" t="str">
        <f t="shared" si="29"/>
        <v>Sep-2014</v>
      </c>
    </row>
    <row r="637" spans="1:13" x14ac:dyDescent="0.3">
      <c r="A637" t="s">
        <v>1096</v>
      </c>
      <c r="B637" s="1" t="s">
        <v>255</v>
      </c>
      <c r="C637" s="1" t="s">
        <v>256</v>
      </c>
      <c r="D637" s="1" t="s">
        <v>13</v>
      </c>
      <c r="E637" s="5">
        <v>42723</v>
      </c>
      <c r="F637" s="3" t="s">
        <v>41</v>
      </c>
      <c r="G637" s="1" t="s">
        <v>1097</v>
      </c>
      <c r="H637" s="1">
        <v>30</v>
      </c>
      <c r="I637" s="1">
        <v>29</v>
      </c>
      <c r="J637" s="2">
        <v>3.3300000000000003E-2</v>
      </c>
      <c r="K637">
        <f t="shared" si="27"/>
        <v>0.96570000000000011</v>
      </c>
      <c r="L637">
        <f t="shared" si="28"/>
        <v>28.034299999999998</v>
      </c>
      <c r="M637" t="str">
        <f t="shared" si="29"/>
        <v>Dec-2016</v>
      </c>
    </row>
    <row r="638" spans="1:13" x14ac:dyDescent="0.3">
      <c r="A638" t="s">
        <v>1098</v>
      </c>
      <c r="B638" s="1" t="s">
        <v>150</v>
      </c>
      <c r="C638" s="1" t="s">
        <v>151</v>
      </c>
      <c r="D638" s="1" t="s">
        <v>13</v>
      </c>
      <c r="E638" s="5">
        <v>42083</v>
      </c>
      <c r="F638" s="3" t="s">
        <v>36</v>
      </c>
      <c r="G638" s="1" t="s">
        <v>152</v>
      </c>
      <c r="H638" s="1">
        <v>50</v>
      </c>
      <c r="I638" s="1">
        <v>35</v>
      </c>
      <c r="J638" s="2">
        <v>0.3</v>
      </c>
      <c r="K638">
        <f t="shared" si="27"/>
        <v>10.5</v>
      </c>
      <c r="L638">
        <f t="shared" si="28"/>
        <v>24.5</v>
      </c>
      <c r="M638" t="str">
        <f t="shared" si="29"/>
        <v>Mar-2015</v>
      </c>
    </row>
    <row r="639" spans="1:13" x14ac:dyDescent="0.3">
      <c r="A639" t="s">
        <v>1099</v>
      </c>
      <c r="B639" s="1" t="s">
        <v>170</v>
      </c>
      <c r="C639" s="1" t="s">
        <v>171</v>
      </c>
      <c r="D639" s="1" t="s">
        <v>13</v>
      </c>
      <c r="E639" s="5">
        <v>43269</v>
      </c>
      <c r="F639" s="3" t="s">
        <v>104</v>
      </c>
      <c r="G639" s="1" t="s">
        <v>1100</v>
      </c>
      <c r="H639" s="1">
        <v>70</v>
      </c>
      <c r="I639" s="1">
        <v>69</v>
      </c>
      <c r="J639" s="2">
        <v>1.43E-2</v>
      </c>
      <c r="K639">
        <f t="shared" si="27"/>
        <v>0.98670000000000002</v>
      </c>
      <c r="L639">
        <f t="shared" si="28"/>
        <v>68.013300000000001</v>
      </c>
      <c r="M639" t="str">
        <f t="shared" si="29"/>
        <v>Jun-2018</v>
      </c>
    </row>
    <row r="640" spans="1:13" x14ac:dyDescent="0.3">
      <c r="A640" t="s">
        <v>1101</v>
      </c>
      <c r="B640" s="1" t="s">
        <v>44</v>
      </c>
      <c r="C640" s="1" t="s">
        <v>45</v>
      </c>
      <c r="D640" s="1" t="s">
        <v>24</v>
      </c>
      <c r="E640" s="5">
        <v>43144</v>
      </c>
      <c r="F640" s="3" t="s">
        <v>115</v>
      </c>
      <c r="G640" s="1" t="s">
        <v>1102</v>
      </c>
      <c r="H640" s="1">
        <v>250</v>
      </c>
      <c r="I640" s="1">
        <v>218</v>
      </c>
      <c r="J640" s="2">
        <v>0.128</v>
      </c>
      <c r="K640">
        <f t="shared" si="27"/>
        <v>27.904</v>
      </c>
      <c r="L640">
        <f t="shared" si="28"/>
        <v>190.096</v>
      </c>
      <c r="M640" t="str">
        <f t="shared" si="29"/>
        <v>Feb-2018</v>
      </c>
    </row>
    <row r="641" spans="1:13" x14ac:dyDescent="0.3">
      <c r="A641" t="s">
        <v>1103</v>
      </c>
      <c r="B641" s="1" t="s">
        <v>118</v>
      </c>
      <c r="C641" s="1" t="s">
        <v>119</v>
      </c>
      <c r="D641" s="1" t="s">
        <v>35</v>
      </c>
      <c r="E641" s="5">
        <v>42448</v>
      </c>
      <c r="F641" s="3" t="s">
        <v>25</v>
      </c>
      <c r="G641" s="1" t="s">
        <v>1079</v>
      </c>
      <c r="H641" s="1">
        <v>700</v>
      </c>
      <c r="I641" s="1">
        <v>672</v>
      </c>
      <c r="J641" s="2">
        <v>0.04</v>
      </c>
      <c r="K641">
        <f t="shared" si="27"/>
        <v>26.88</v>
      </c>
      <c r="L641">
        <f t="shared" si="28"/>
        <v>645.12</v>
      </c>
      <c r="M641" t="str">
        <f t="shared" si="29"/>
        <v>Mar-2016</v>
      </c>
    </row>
    <row r="642" spans="1:13" x14ac:dyDescent="0.3">
      <c r="A642" t="s">
        <v>1104</v>
      </c>
      <c r="B642" s="1" t="s">
        <v>270</v>
      </c>
      <c r="C642" s="1" t="s">
        <v>271</v>
      </c>
      <c r="D642" s="1" t="s">
        <v>35</v>
      </c>
      <c r="E642" s="5">
        <v>43037</v>
      </c>
      <c r="F642" s="3" t="s">
        <v>61</v>
      </c>
      <c r="G642" s="1" t="s">
        <v>715</v>
      </c>
      <c r="H642" s="1">
        <v>1000</v>
      </c>
      <c r="I642" s="1">
        <v>950</v>
      </c>
      <c r="J642" s="2">
        <v>0.05</v>
      </c>
      <c r="K642">
        <f t="shared" si="27"/>
        <v>47.5</v>
      </c>
      <c r="L642">
        <f t="shared" si="28"/>
        <v>902.5</v>
      </c>
      <c r="M642" t="str">
        <f t="shared" si="29"/>
        <v>Oct-2017</v>
      </c>
    </row>
    <row r="643" spans="1:13" x14ac:dyDescent="0.3">
      <c r="A643" t="s">
        <v>1105</v>
      </c>
      <c r="B643" s="1" t="s">
        <v>324</v>
      </c>
      <c r="C643" s="1" t="s">
        <v>325</v>
      </c>
      <c r="D643" s="1" t="s">
        <v>13</v>
      </c>
      <c r="E643" s="5">
        <v>42729</v>
      </c>
      <c r="F643" s="3" t="s">
        <v>122</v>
      </c>
      <c r="G643" s="1" t="s">
        <v>922</v>
      </c>
      <c r="H643" s="1">
        <v>50</v>
      </c>
      <c r="I643" s="1">
        <v>50</v>
      </c>
      <c r="J643" s="2">
        <v>0</v>
      </c>
      <c r="K643">
        <f t="shared" si="27"/>
        <v>0</v>
      </c>
      <c r="L643">
        <f t="shared" si="28"/>
        <v>50</v>
      </c>
      <c r="M643" t="str">
        <f t="shared" si="29"/>
        <v>Dec-2016</v>
      </c>
    </row>
    <row r="644" spans="1:13" x14ac:dyDescent="0.3">
      <c r="A644" t="s">
        <v>1106</v>
      </c>
      <c r="B644" s="1" t="s">
        <v>224</v>
      </c>
      <c r="C644" s="1" t="s">
        <v>50</v>
      </c>
      <c r="D644" s="1" t="s">
        <v>24</v>
      </c>
      <c r="E644" s="5">
        <v>41750</v>
      </c>
      <c r="F644" s="3" t="s">
        <v>25</v>
      </c>
      <c r="G644" s="1" t="s">
        <v>774</v>
      </c>
      <c r="H644" s="1">
        <v>700</v>
      </c>
      <c r="I644" s="1">
        <v>651</v>
      </c>
      <c r="J644" s="2">
        <v>7.0000000000000007E-2</v>
      </c>
      <c r="K644">
        <f t="shared" ref="K644:K707" si="30">I644*J644</f>
        <v>45.570000000000007</v>
      </c>
      <c r="L644">
        <f t="shared" ref="L644:L707" si="31">I644-K644</f>
        <v>605.42999999999995</v>
      </c>
      <c r="M644" t="str">
        <f t="shared" ref="M644:M707" si="32">TEXT(E644, "mmm-yyyy")</f>
        <v>Apr-2014</v>
      </c>
    </row>
    <row r="645" spans="1:13" x14ac:dyDescent="0.3">
      <c r="A645" t="s">
        <v>1107</v>
      </c>
      <c r="B645" s="1" t="s">
        <v>28</v>
      </c>
      <c r="C645" s="1" t="s">
        <v>29</v>
      </c>
      <c r="D645" s="1" t="s">
        <v>13</v>
      </c>
      <c r="E645" s="5">
        <v>42323</v>
      </c>
      <c r="F645" s="3" t="s">
        <v>46</v>
      </c>
      <c r="G645" s="1" t="s">
        <v>1108</v>
      </c>
      <c r="H645" s="1">
        <v>500</v>
      </c>
      <c r="I645" s="1">
        <v>465</v>
      </c>
      <c r="J645" s="2">
        <v>7.0000000000000007E-2</v>
      </c>
      <c r="K645">
        <f t="shared" si="30"/>
        <v>32.550000000000004</v>
      </c>
      <c r="L645">
        <f t="shared" si="31"/>
        <v>432.45</v>
      </c>
      <c r="M645" t="str">
        <f t="shared" si="32"/>
        <v>Nov-2015</v>
      </c>
    </row>
    <row r="646" spans="1:13" x14ac:dyDescent="0.3">
      <c r="A646" t="s">
        <v>1109</v>
      </c>
      <c r="B646" s="1" t="s">
        <v>118</v>
      </c>
      <c r="C646" s="1" t="s">
        <v>119</v>
      </c>
      <c r="D646" s="1" t="s">
        <v>35</v>
      </c>
      <c r="E646" s="5">
        <v>42034</v>
      </c>
      <c r="F646" s="3" t="s">
        <v>122</v>
      </c>
      <c r="G646" s="1" t="s">
        <v>1110</v>
      </c>
      <c r="H646" s="1">
        <v>50</v>
      </c>
      <c r="I646" s="1">
        <v>48</v>
      </c>
      <c r="J646" s="2">
        <v>0.04</v>
      </c>
      <c r="K646">
        <f t="shared" si="30"/>
        <v>1.92</v>
      </c>
      <c r="L646">
        <f t="shared" si="31"/>
        <v>46.08</v>
      </c>
      <c r="M646" t="str">
        <f t="shared" si="32"/>
        <v>Jan-2015</v>
      </c>
    </row>
    <row r="647" spans="1:13" x14ac:dyDescent="0.3">
      <c r="A647" t="s">
        <v>1111</v>
      </c>
      <c r="B647" s="1" t="s">
        <v>131</v>
      </c>
      <c r="C647" s="1" t="s">
        <v>108</v>
      </c>
      <c r="D647" s="1" t="s">
        <v>19</v>
      </c>
      <c r="E647" s="5">
        <v>42511</v>
      </c>
      <c r="F647" s="3" t="s">
        <v>30</v>
      </c>
      <c r="G647" s="1" t="s">
        <v>382</v>
      </c>
      <c r="H647" s="1">
        <v>150</v>
      </c>
      <c r="I647" s="1">
        <v>144</v>
      </c>
      <c r="J647" s="2">
        <v>0.04</v>
      </c>
      <c r="K647">
        <f t="shared" si="30"/>
        <v>5.76</v>
      </c>
      <c r="L647">
        <f t="shared" si="31"/>
        <v>138.24</v>
      </c>
      <c r="M647" t="str">
        <f t="shared" si="32"/>
        <v>May-2016</v>
      </c>
    </row>
    <row r="648" spans="1:13" x14ac:dyDescent="0.3">
      <c r="A648" t="s">
        <v>1112</v>
      </c>
      <c r="B648" s="1" t="s">
        <v>111</v>
      </c>
      <c r="C648" s="1" t="s">
        <v>82</v>
      </c>
      <c r="D648" s="1" t="s">
        <v>13</v>
      </c>
      <c r="E648" s="5">
        <v>42567</v>
      </c>
      <c r="F648" s="3" t="s">
        <v>36</v>
      </c>
      <c r="G648" s="1" t="s">
        <v>826</v>
      </c>
      <c r="H648" s="1">
        <v>50</v>
      </c>
      <c r="I648" s="1">
        <v>46</v>
      </c>
      <c r="J648" s="2">
        <v>0.08</v>
      </c>
      <c r="K648">
        <f t="shared" si="30"/>
        <v>3.68</v>
      </c>
      <c r="L648">
        <f t="shared" si="31"/>
        <v>42.32</v>
      </c>
      <c r="M648" t="str">
        <f t="shared" si="32"/>
        <v>Jul-2016</v>
      </c>
    </row>
    <row r="649" spans="1:13" x14ac:dyDescent="0.3">
      <c r="A649" t="s">
        <v>1113</v>
      </c>
      <c r="B649" s="1" t="s">
        <v>146</v>
      </c>
      <c r="C649" s="1" t="s">
        <v>147</v>
      </c>
      <c r="D649" s="1" t="s">
        <v>13</v>
      </c>
      <c r="E649" s="5">
        <v>41756</v>
      </c>
      <c r="F649" s="3" t="s">
        <v>14</v>
      </c>
      <c r="G649" s="1" t="s">
        <v>148</v>
      </c>
      <c r="H649" s="1">
        <v>80</v>
      </c>
      <c r="I649" s="1">
        <v>70</v>
      </c>
      <c r="J649" s="2">
        <v>0.125</v>
      </c>
      <c r="K649">
        <f t="shared" si="30"/>
        <v>8.75</v>
      </c>
      <c r="L649">
        <f t="shared" si="31"/>
        <v>61.25</v>
      </c>
      <c r="M649" t="str">
        <f t="shared" si="32"/>
        <v>Apr-2014</v>
      </c>
    </row>
    <row r="650" spans="1:13" x14ac:dyDescent="0.3">
      <c r="A650" t="s">
        <v>1114</v>
      </c>
      <c r="B650" s="1" t="s">
        <v>157</v>
      </c>
      <c r="C650" s="1" t="s">
        <v>108</v>
      </c>
      <c r="D650" s="1" t="s">
        <v>19</v>
      </c>
      <c r="E650" s="5">
        <v>42414</v>
      </c>
      <c r="F650" s="3" t="s">
        <v>55</v>
      </c>
      <c r="G650" s="1" t="s">
        <v>158</v>
      </c>
      <c r="H650" s="1">
        <v>800</v>
      </c>
      <c r="I650" s="1">
        <v>776</v>
      </c>
      <c r="J650" s="2">
        <v>0.03</v>
      </c>
      <c r="K650">
        <f t="shared" si="30"/>
        <v>23.279999999999998</v>
      </c>
      <c r="L650">
        <f t="shared" si="31"/>
        <v>752.72</v>
      </c>
      <c r="M650" t="str">
        <f t="shared" si="32"/>
        <v>Feb-2016</v>
      </c>
    </row>
    <row r="651" spans="1:13" x14ac:dyDescent="0.3">
      <c r="A651" t="s">
        <v>1115</v>
      </c>
      <c r="B651" s="1" t="s">
        <v>205</v>
      </c>
      <c r="C651" s="1" t="s">
        <v>206</v>
      </c>
      <c r="D651" s="1" t="s">
        <v>24</v>
      </c>
      <c r="E651" s="5">
        <v>42061</v>
      </c>
      <c r="F651" s="3" t="s">
        <v>122</v>
      </c>
      <c r="G651" s="1" t="s">
        <v>251</v>
      </c>
      <c r="H651" s="1">
        <v>50</v>
      </c>
      <c r="I651" s="1">
        <v>47</v>
      </c>
      <c r="J651" s="2">
        <v>0.06</v>
      </c>
      <c r="K651">
        <f t="shared" si="30"/>
        <v>2.82</v>
      </c>
      <c r="L651">
        <f t="shared" si="31"/>
        <v>44.18</v>
      </c>
      <c r="M651" t="str">
        <f t="shared" si="32"/>
        <v>Feb-2015</v>
      </c>
    </row>
    <row r="652" spans="1:13" x14ac:dyDescent="0.3">
      <c r="A652" t="s">
        <v>1116</v>
      </c>
      <c r="B652" s="1" t="s">
        <v>70</v>
      </c>
      <c r="C652" s="1" t="s">
        <v>71</v>
      </c>
      <c r="D652" s="1" t="s">
        <v>35</v>
      </c>
      <c r="E652" s="5">
        <v>41745</v>
      </c>
      <c r="F652" s="3" t="s">
        <v>122</v>
      </c>
      <c r="G652" s="1" t="s">
        <v>670</v>
      </c>
      <c r="H652" s="1">
        <v>50</v>
      </c>
      <c r="I652" s="1">
        <v>50</v>
      </c>
      <c r="J652" s="2">
        <v>0</v>
      </c>
      <c r="K652">
        <f t="shared" si="30"/>
        <v>0</v>
      </c>
      <c r="L652">
        <f t="shared" si="31"/>
        <v>50</v>
      </c>
      <c r="M652" t="str">
        <f t="shared" si="32"/>
        <v>Apr-2014</v>
      </c>
    </row>
    <row r="653" spans="1:13" x14ac:dyDescent="0.3">
      <c r="A653" t="s">
        <v>1117</v>
      </c>
      <c r="B653" s="1" t="s">
        <v>59</v>
      </c>
      <c r="C653" s="1" t="s">
        <v>60</v>
      </c>
      <c r="D653" s="1" t="s">
        <v>13</v>
      </c>
      <c r="E653" s="5">
        <v>43326</v>
      </c>
      <c r="F653" s="3" t="s">
        <v>122</v>
      </c>
      <c r="G653" s="1" t="s">
        <v>697</v>
      </c>
      <c r="H653" s="1">
        <v>50</v>
      </c>
      <c r="I653" s="1">
        <v>48</v>
      </c>
      <c r="J653" s="2">
        <v>0.04</v>
      </c>
      <c r="K653">
        <f t="shared" si="30"/>
        <v>1.92</v>
      </c>
      <c r="L653">
        <f t="shared" si="31"/>
        <v>46.08</v>
      </c>
      <c r="M653" t="str">
        <f t="shared" si="32"/>
        <v>Aug-2018</v>
      </c>
    </row>
    <row r="654" spans="1:13" x14ac:dyDescent="0.3">
      <c r="A654" t="s">
        <v>1118</v>
      </c>
      <c r="B654" s="1" t="s">
        <v>33</v>
      </c>
      <c r="C654" s="1" t="s">
        <v>34</v>
      </c>
      <c r="D654" s="1" t="s">
        <v>35</v>
      </c>
      <c r="E654" s="5">
        <v>43247</v>
      </c>
      <c r="F654" s="3" t="s">
        <v>36</v>
      </c>
      <c r="G654" s="1" t="s">
        <v>197</v>
      </c>
      <c r="H654" s="1">
        <v>50</v>
      </c>
      <c r="I654" s="1">
        <v>39</v>
      </c>
      <c r="J654" s="2">
        <v>0.22</v>
      </c>
      <c r="K654">
        <f t="shared" si="30"/>
        <v>8.58</v>
      </c>
      <c r="L654">
        <f t="shared" si="31"/>
        <v>30.42</v>
      </c>
      <c r="M654" t="str">
        <f t="shared" si="32"/>
        <v>May-2018</v>
      </c>
    </row>
    <row r="655" spans="1:13" x14ac:dyDescent="0.3">
      <c r="A655" t="s">
        <v>1119</v>
      </c>
      <c r="B655" s="1" t="s">
        <v>77</v>
      </c>
      <c r="C655" s="1" t="s">
        <v>78</v>
      </c>
      <c r="D655" s="1" t="s">
        <v>35</v>
      </c>
      <c r="E655" s="5">
        <v>42474</v>
      </c>
      <c r="F655" s="3" t="s">
        <v>72</v>
      </c>
      <c r="G655" s="1" t="s">
        <v>162</v>
      </c>
      <c r="H655" s="1">
        <v>500</v>
      </c>
      <c r="I655" s="1">
        <v>500</v>
      </c>
      <c r="J655" s="2">
        <v>0</v>
      </c>
      <c r="K655">
        <f t="shared" si="30"/>
        <v>0</v>
      </c>
      <c r="L655">
        <f t="shared" si="31"/>
        <v>500</v>
      </c>
      <c r="M655" t="str">
        <f t="shared" si="32"/>
        <v>Apr-2016</v>
      </c>
    </row>
    <row r="656" spans="1:13" x14ac:dyDescent="0.3">
      <c r="A656" t="s">
        <v>1120</v>
      </c>
      <c r="B656" s="1" t="s">
        <v>131</v>
      </c>
      <c r="C656" s="1" t="s">
        <v>108</v>
      </c>
      <c r="D656" s="1" t="s">
        <v>19</v>
      </c>
      <c r="E656" s="5">
        <v>41850</v>
      </c>
      <c r="F656" s="3" t="s">
        <v>104</v>
      </c>
      <c r="G656" s="1" t="s">
        <v>793</v>
      </c>
      <c r="H656" s="1">
        <v>70</v>
      </c>
      <c r="I656" s="1">
        <v>64</v>
      </c>
      <c r="J656" s="2">
        <v>8.5699999999999998E-2</v>
      </c>
      <c r="K656">
        <f t="shared" si="30"/>
        <v>5.4847999999999999</v>
      </c>
      <c r="L656">
        <f t="shared" si="31"/>
        <v>58.5152</v>
      </c>
      <c r="M656" t="str">
        <f t="shared" si="32"/>
        <v>Jul-2014</v>
      </c>
    </row>
    <row r="657" spans="1:13" x14ac:dyDescent="0.3">
      <c r="A657" t="s">
        <v>1121</v>
      </c>
      <c r="B657" s="1" t="s">
        <v>127</v>
      </c>
      <c r="C657" s="1" t="s">
        <v>128</v>
      </c>
      <c r="D657" s="1" t="s">
        <v>13</v>
      </c>
      <c r="E657" s="5">
        <v>43006</v>
      </c>
      <c r="F657" s="3" t="s">
        <v>72</v>
      </c>
      <c r="G657" s="1" t="s">
        <v>526</v>
      </c>
      <c r="H657" s="1">
        <v>500</v>
      </c>
      <c r="I657" s="1">
        <v>495</v>
      </c>
      <c r="J657" s="2">
        <v>0.01</v>
      </c>
      <c r="K657">
        <f t="shared" si="30"/>
        <v>4.95</v>
      </c>
      <c r="L657">
        <f t="shared" si="31"/>
        <v>490.05</v>
      </c>
      <c r="M657" t="str">
        <f t="shared" si="32"/>
        <v>Sep-2017</v>
      </c>
    </row>
    <row r="658" spans="1:13" x14ac:dyDescent="0.3">
      <c r="A658" t="s">
        <v>1122</v>
      </c>
      <c r="B658" s="1" t="s">
        <v>49</v>
      </c>
      <c r="C658" s="1" t="s">
        <v>50</v>
      </c>
      <c r="D658" s="1" t="s">
        <v>24</v>
      </c>
      <c r="E658" s="5">
        <v>43182</v>
      </c>
      <c r="F658" s="3" t="s">
        <v>14</v>
      </c>
      <c r="G658" s="1" t="s">
        <v>1000</v>
      </c>
      <c r="H658" s="1">
        <v>80</v>
      </c>
      <c r="I658" s="1">
        <v>70</v>
      </c>
      <c r="J658" s="2">
        <v>0.125</v>
      </c>
      <c r="K658">
        <f t="shared" si="30"/>
        <v>8.75</v>
      </c>
      <c r="L658">
        <f t="shared" si="31"/>
        <v>61.25</v>
      </c>
      <c r="M658" t="str">
        <f t="shared" si="32"/>
        <v>Mar-2018</v>
      </c>
    </row>
    <row r="659" spans="1:13" x14ac:dyDescent="0.3">
      <c r="A659" t="s">
        <v>1123</v>
      </c>
      <c r="B659" s="1" t="s">
        <v>28</v>
      </c>
      <c r="C659" s="1" t="s">
        <v>29</v>
      </c>
      <c r="D659" s="1" t="s">
        <v>13</v>
      </c>
      <c r="E659" s="5">
        <v>43244</v>
      </c>
      <c r="F659" s="3" t="s">
        <v>41</v>
      </c>
      <c r="G659" s="1" t="s">
        <v>1124</v>
      </c>
      <c r="H659" s="1">
        <v>30</v>
      </c>
      <c r="I659" s="1">
        <v>29</v>
      </c>
      <c r="J659" s="2">
        <v>3.3300000000000003E-2</v>
      </c>
      <c r="K659">
        <f t="shared" si="30"/>
        <v>0.96570000000000011</v>
      </c>
      <c r="L659">
        <f t="shared" si="31"/>
        <v>28.034299999999998</v>
      </c>
      <c r="M659" t="str">
        <f t="shared" si="32"/>
        <v>May-2018</v>
      </c>
    </row>
    <row r="660" spans="1:13" x14ac:dyDescent="0.3">
      <c r="A660" t="s">
        <v>1125</v>
      </c>
      <c r="B660" s="1" t="s">
        <v>434</v>
      </c>
      <c r="C660" s="1" t="s">
        <v>435</v>
      </c>
      <c r="D660" s="1" t="s">
        <v>24</v>
      </c>
      <c r="E660" s="5">
        <v>43208</v>
      </c>
      <c r="F660" s="3" t="s">
        <v>55</v>
      </c>
      <c r="G660" s="1" t="s">
        <v>858</v>
      </c>
      <c r="H660" s="1">
        <v>800</v>
      </c>
      <c r="I660" s="1">
        <v>680</v>
      </c>
      <c r="J660" s="2">
        <v>0.15</v>
      </c>
      <c r="K660">
        <f t="shared" si="30"/>
        <v>102</v>
      </c>
      <c r="L660">
        <f t="shared" si="31"/>
        <v>578</v>
      </c>
      <c r="M660" t="str">
        <f t="shared" si="32"/>
        <v>Apr-2018</v>
      </c>
    </row>
    <row r="661" spans="1:13" x14ac:dyDescent="0.3">
      <c r="A661" t="s">
        <v>1126</v>
      </c>
      <c r="B661" s="1" t="s">
        <v>134</v>
      </c>
      <c r="C661" s="1" t="s">
        <v>92</v>
      </c>
      <c r="D661" s="1" t="s">
        <v>35</v>
      </c>
      <c r="E661" s="5">
        <v>42137</v>
      </c>
      <c r="F661" s="3" t="s">
        <v>36</v>
      </c>
      <c r="G661" s="1" t="s">
        <v>1127</v>
      </c>
      <c r="H661" s="1">
        <v>50</v>
      </c>
      <c r="I661" s="1">
        <v>49</v>
      </c>
      <c r="J661" s="2">
        <v>0.02</v>
      </c>
      <c r="K661">
        <f t="shared" si="30"/>
        <v>0.98</v>
      </c>
      <c r="L661">
        <f t="shared" si="31"/>
        <v>48.02</v>
      </c>
      <c r="M661" t="str">
        <f t="shared" si="32"/>
        <v>May-2015</v>
      </c>
    </row>
    <row r="662" spans="1:13" x14ac:dyDescent="0.3">
      <c r="A662" t="s">
        <v>1128</v>
      </c>
      <c r="B662" s="1" t="s">
        <v>289</v>
      </c>
      <c r="C662" s="1" t="s">
        <v>108</v>
      </c>
      <c r="D662" s="1" t="s">
        <v>19</v>
      </c>
      <c r="E662" s="5">
        <v>41932</v>
      </c>
      <c r="F662" s="3" t="s">
        <v>72</v>
      </c>
      <c r="G662" s="1" t="s">
        <v>1129</v>
      </c>
      <c r="H662" s="1">
        <v>500</v>
      </c>
      <c r="I662" s="1">
        <v>495</v>
      </c>
      <c r="J662" s="2">
        <v>0.01</v>
      </c>
      <c r="K662">
        <f t="shared" si="30"/>
        <v>4.95</v>
      </c>
      <c r="L662">
        <f t="shared" si="31"/>
        <v>490.05</v>
      </c>
      <c r="M662" t="str">
        <f t="shared" si="32"/>
        <v>Oct-2014</v>
      </c>
    </row>
    <row r="663" spans="1:13" x14ac:dyDescent="0.3">
      <c r="A663" t="s">
        <v>1130</v>
      </c>
      <c r="B663" s="1" t="s">
        <v>33</v>
      </c>
      <c r="C663" s="1" t="s">
        <v>34</v>
      </c>
      <c r="D663" s="1" t="s">
        <v>35</v>
      </c>
      <c r="E663" s="5">
        <v>42842</v>
      </c>
      <c r="F663" s="3" t="s">
        <v>61</v>
      </c>
      <c r="G663" s="1" t="s">
        <v>1131</v>
      </c>
      <c r="H663" s="1">
        <v>1000</v>
      </c>
      <c r="I663" s="1">
        <v>510</v>
      </c>
      <c r="J663" s="2">
        <v>0.49</v>
      </c>
      <c r="K663">
        <f t="shared" si="30"/>
        <v>249.9</v>
      </c>
      <c r="L663">
        <f t="shared" si="31"/>
        <v>260.10000000000002</v>
      </c>
      <c r="M663" t="str">
        <f t="shared" si="32"/>
        <v>Apr-2017</v>
      </c>
    </row>
    <row r="664" spans="1:13" x14ac:dyDescent="0.3">
      <c r="A664" t="s">
        <v>1132</v>
      </c>
      <c r="B664" s="1" t="s">
        <v>49</v>
      </c>
      <c r="C664" s="1" t="s">
        <v>50</v>
      </c>
      <c r="D664" s="1" t="s">
        <v>24</v>
      </c>
      <c r="E664" s="5">
        <v>42577</v>
      </c>
      <c r="F664" s="3" t="s">
        <v>72</v>
      </c>
      <c r="G664" s="1" t="s">
        <v>398</v>
      </c>
      <c r="H664" s="1">
        <v>500</v>
      </c>
      <c r="I664" s="1">
        <v>495</v>
      </c>
      <c r="J664" s="2">
        <v>0.01</v>
      </c>
      <c r="K664">
        <f t="shared" si="30"/>
        <v>4.95</v>
      </c>
      <c r="L664">
        <f t="shared" si="31"/>
        <v>490.05</v>
      </c>
      <c r="M664" t="str">
        <f t="shared" si="32"/>
        <v>Jul-2016</v>
      </c>
    </row>
    <row r="665" spans="1:13" x14ac:dyDescent="0.3">
      <c r="A665" t="s">
        <v>1133</v>
      </c>
      <c r="B665" s="1" t="s">
        <v>227</v>
      </c>
      <c r="C665" s="1" t="s">
        <v>228</v>
      </c>
      <c r="D665" s="1" t="s">
        <v>24</v>
      </c>
      <c r="E665" s="5">
        <v>42384</v>
      </c>
      <c r="F665" s="3" t="s">
        <v>41</v>
      </c>
      <c r="G665" s="1" t="s">
        <v>870</v>
      </c>
      <c r="H665" s="1">
        <v>30</v>
      </c>
      <c r="I665" s="1">
        <v>26</v>
      </c>
      <c r="J665" s="2">
        <v>0.1333</v>
      </c>
      <c r="K665">
        <f t="shared" si="30"/>
        <v>3.4658000000000002</v>
      </c>
      <c r="L665">
        <f t="shared" si="31"/>
        <v>22.534199999999998</v>
      </c>
      <c r="M665" t="str">
        <f t="shared" si="32"/>
        <v>Jan-2016</v>
      </c>
    </row>
    <row r="666" spans="1:13" x14ac:dyDescent="0.3">
      <c r="A666" t="s">
        <v>1134</v>
      </c>
      <c r="B666" s="1" t="s">
        <v>134</v>
      </c>
      <c r="C666" s="1" t="s">
        <v>92</v>
      </c>
      <c r="D666" s="1" t="s">
        <v>35</v>
      </c>
      <c r="E666" s="5">
        <v>42942</v>
      </c>
      <c r="F666" s="3" t="s">
        <v>55</v>
      </c>
      <c r="G666" s="1" t="s">
        <v>1135</v>
      </c>
      <c r="H666" s="1">
        <v>800</v>
      </c>
      <c r="I666" s="1">
        <v>656</v>
      </c>
      <c r="J666" s="2">
        <v>0.18</v>
      </c>
      <c r="K666">
        <f t="shared" si="30"/>
        <v>118.08</v>
      </c>
      <c r="L666">
        <f t="shared" si="31"/>
        <v>537.91999999999996</v>
      </c>
      <c r="M666" t="str">
        <f t="shared" si="32"/>
        <v>Jul-2017</v>
      </c>
    </row>
    <row r="667" spans="1:13" x14ac:dyDescent="0.3">
      <c r="A667" t="s">
        <v>1136</v>
      </c>
      <c r="B667" s="1" t="s">
        <v>114</v>
      </c>
      <c r="C667" s="1" t="s">
        <v>54</v>
      </c>
      <c r="D667" s="1" t="s">
        <v>13</v>
      </c>
      <c r="E667" s="5">
        <v>41835</v>
      </c>
      <c r="F667" s="3" t="s">
        <v>30</v>
      </c>
      <c r="G667" s="1" t="s">
        <v>885</v>
      </c>
      <c r="H667" s="1">
        <v>150</v>
      </c>
      <c r="I667" s="1">
        <v>141</v>
      </c>
      <c r="J667" s="2">
        <v>0.06</v>
      </c>
      <c r="K667">
        <f t="shared" si="30"/>
        <v>8.4599999999999991</v>
      </c>
      <c r="L667">
        <f t="shared" si="31"/>
        <v>132.54</v>
      </c>
      <c r="M667" t="str">
        <f t="shared" si="32"/>
        <v>Jul-2014</v>
      </c>
    </row>
    <row r="668" spans="1:13" x14ac:dyDescent="0.3">
      <c r="A668" t="s">
        <v>1137</v>
      </c>
      <c r="B668" s="1" t="s">
        <v>17</v>
      </c>
      <c r="C668" s="1" t="s">
        <v>18</v>
      </c>
      <c r="D668" s="1" t="s">
        <v>19</v>
      </c>
      <c r="E668" s="5">
        <v>42910</v>
      </c>
      <c r="F668" s="3" t="s">
        <v>14</v>
      </c>
      <c r="G668" s="1" t="s">
        <v>493</v>
      </c>
      <c r="H668" s="1">
        <v>80</v>
      </c>
      <c r="I668" s="1">
        <v>80</v>
      </c>
      <c r="J668" s="2">
        <v>0</v>
      </c>
      <c r="K668">
        <f t="shared" si="30"/>
        <v>0</v>
      </c>
      <c r="L668">
        <f t="shared" si="31"/>
        <v>80</v>
      </c>
      <c r="M668" t="str">
        <f t="shared" si="32"/>
        <v>Jun-2017</v>
      </c>
    </row>
    <row r="669" spans="1:13" x14ac:dyDescent="0.3">
      <c r="A669" t="s">
        <v>1138</v>
      </c>
      <c r="B669" s="1" t="s">
        <v>400</v>
      </c>
      <c r="C669" s="1" t="s">
        <v>401</v>
      </c>
      <c r="D669" s="1" t="s">
        <v>13</v>
      </c>
      <c r="E669" s="5">
        <v>43461</v>
      </c>
      <c r="F669" s="3" t="s">
        <v>55</v>
      </c>
      <c r="G669" s="1" t="s">
        <v>618</v>
      </c>
      <c r="H669" s="1">
        <v>800</v>
      </c>
      <c r="I669" s="1">
        <v>784</v>
      </c>
      <c r="J669" s="2">
        <v>0.02</v>
      </c>
      <c r="K669">
        <f t="shared" si="30"/>
        <v>15.68</v>
      </c>
      <c r="L669">
        <f t="shared" si="31"/>
        <v>768.32</v>
      </c>
      <c r="M669" t="str">
        <f t="shared" si="32"/>
        <v>Dec-2018</v>
      </c>
    </row>
    <row r="670" spans="1:13" x14ac:dyDescent="0.3">
      <c r="A670" t="s">
        <v>1139</v>
      </c>
      <c r="B670" s="1" t="s">
        <v>64</v>
      </c>
      <c r="C670" s="1" t="s">
        <v>65</v>
      </c>
      <c r="D670" s="1" t="s">
        <v>35</v>
      </c>
      <c r="E670" s="5">
        <v>43298</v>
      </c>
      <c r="F670" s="3" t="s">
        <v>55</v>
      </c>
      <c r="G670" s="1" t="s">
        <v>1057</v>
      </c>
      <c r="H670" s="1">
        <v>800</v>
      </c>
      <c r="I670" s="1">
        <v>776</v>
      </c>
      <c r="J670" s="2">
        <v>0.03</v>
      </c>
      <c r="K670">
        <f t="shared" si="30"/>
        <v>23.279999999999998</v>
      </c>
      <c r="L670">
        <f t="shared" si="31"/>
        <v>752.72</v>
      </c>
      <c r="M670" t="str">
        <f t="shared" si="32"/>
        <v>Jul-2018</v>
      </c>
    </row>
    <row r="671" spans="1:13" x14ac:dyDescent="0.3">
      <c r="A671" t="s">
        <v>1140</v>
      </c>
      <c r="B671" s="1" t="s">
        <v>127</v>
      </c>
      <c r="C671" s="1" t="s">
        <v>128</v>
      </c>
      <c r="D671" s="1" t="s">
        <v>13</v>
      </c>
      <c r="E671" s="5">
        <v>42703</v>
      </c>
      <c r="F671" s="3" t="s">
        <v>104</v>
      </c>
      <c r="G671" s="1" t="s">
        <v>920</v>
      </c>
      <c r="H671" s="1">
        <v>70</v>
      </c>
      <c r="I671" s="1">
        <v>69</v>
      </c>
      <c r="J671" s="2">
        <v>1.43E-2</v>
      </c>
      <c r="K671">
        <f t="shared" si="30"/>
        <v>0.98670000000000002</v>
      </c>
      <c r="L671">
        <f t="shared" si="31"/>
        <v>68.013300000000001</v>
      </c>
      <c r="M671" t="str">
        <f t="shared" si="32"/>
        <v>Nov-2016</v>
      </c>
    </row>
    <row r="672" spans="1:13" x14ac:dyDescent="0.3">
      <c r="A672" t="s">
        <v>1141</v>
      </c>
      <c r="B672" s="1" t="s">
        <v>434</v>
      </c>
      <c r="C672" s="1" t="s">
        <v>435</v>
      </c>
      <c r="D672" s="1" t="s">
        <v>24</v>
      </c>
      <c r="E672" s="5">
        <v>41713</v>
      </c>
      <c r="F672" s="3" t="s">
        <v>55</v>
      </c>
      <c r="G672" s="1" t="s">
        <v>550</v>
      </c>
      <c r="H672" s="1">
        <v>800</v>
      </c>
      <c r="I672" s="1">
        <v>632</v>
      </c>
      <c r="J672" s="2">
        <v>0.21</v>
      </c>
      <c r="K672">
        <f t="shared" si="30"/>
        <v>132.72</v>
      </c>
      <c r="L672">
        <f t="shared" si="31"/>
        <v>499.28</v>
      </c>
      <c r="M672" t="str">
        <f t="shared" si="32"/>
        <v>Mar-2014</v>
      </c>
    </row>
    <row r="673" spans="1:13" x14ac:dyDescent="0.3">
      <c r="A673" t="s">
        <v>1142</v>
      </c>
      <c r="B673" s="1" t="s">
        <v>33</v>
      </c>
      <c r="C673" s="1" t="s">
        <v>34</v>
      </c>
      <c r="D673" s="1" t="s">
        <v>35</v>
      </c>
      <c r="E673" s="5">
        <v>43174</v>
      </c>
      <c r="F673" s="3" t="s">
        <v>72</v>
      </c>
      <c r="G673" s="1" t="s">
        <v>1143</v>
      </c>
      <c r="H673" s="1">
        <v>500</v>
      </c>
      <c r="I673" s="1">
        <v>500</v>
      </c>
      <c r="J673" s="2">
        <v>0</v>
      </c>
      <c r="K673">
        <f t="shared" si="30"/>
        <v>0</v>
      </c>
      <c r="L673">
        <f t="shared" si="31"/>
        <v>500</v>
      </c>
      <c r="M673" t="str">
        <f t="shared" si="32"/>
        <v>Mar-2018</v>
      </c>
    </row>
    <row r="674" spans="1:13" x14ac:dyDescent="0.3">
      <c r="A674" t="s">
        <v>1144</v>
      </c>
      <c r="B674" s="1" t="s">
        <v>17</v>
      </c>
      <c r="C674" s="1" t="s">
        <v>18</v>
      </c>
      <c r="D674" s="1" t="s">
        <v>19</v>
      </c>
      <c r="E674" s="5">
        <v>43427</v>
      </c>
      <c r="F674" s="3" t="s">
        <v>72</v>
      </c>
      <c r="G674" s="1" t="s">
        <v>776</v>
      </c>
      <c r="H674" s="1">
        <v>500</v>
      </c>
      <c r="I674" s="1">
        <v>490</v>
      </c>
      <c r="J674" s="2">
        <v>0.02</v>
      </c>
      <c r="K674">
        <f t="shared" si="30"/>
        <v>9.8000000000000007</v>
      </c>
      <c r="L674">
        <f t="shared" si="31"/>
        <v>480.2</v>
      </c>
      <c r="M674" t="str">
        <f t="shared" si="32"/>
        <v>Nov-2018</v>
      </c>
    </row>
    <row r="675" spans="1:13" x14ac:dyDescent="0.3">
      <c r="A675" t="s">
        <v>1145</v>
      </c>
      <c r="B675" s="1" t="s">
        <v>44</v>
      </c>
      <c r="C675" s="1" t="s">
        <v>45</v>
      </c>
      <c r="D675" s="1" t="s">
        <v>24</v>
      </c>
      <c r="E675" s="5">
        <v>43213</v>
      </c>
      <c r="F675" s="3" t="s">
        <v>104</v>
      </c>
      <c r="G675" s="1" t="s">
        <v>1146</v>
      </c>
      <c r="H675" s="1">
        <v>70</v>
      </c>
      <c r="I675" s="1">
        <v>64</v>
      </c>
      <c r="J675" s="2">
        <v>8.5699999999999998E-2</v>
      </c>
      <c r="K675">
        <f t="shared" si="30"/>
        <v>5.4847999999999999</v>
      </c>
      <c r="L675">
        <f t="shared" si="31"/>
        <v>58.5152</v>
      </c>
      <c r="M675" t="str">
        <f t="shared" si="32"/>
        <v>Apr-2018</v>
      </c>
    </row>
    <row r="676" spans="1:13" x14ac:dyDescent="0.3">
      <c r="A676" t="s">
        <v>1147</v>
      </c>
      <c r="B676" s="1" t="s">
        <v>324</v>
      </c>
      <c r="C676" s="1" t="s">
        <v>325</v>
      </c>
      <c r="D676" s="1" t="s">
        <v>13</v>
      </c>
      <c r="E676" s="5">
        <v>43083</v>
      </c>
      <c r="F676" s="3" t="s">
        <v>122</v>
      </c>
      <c r="G676" s="1" t="s">
        <v>922</v>
      </c>
      <c r="H676" s="1">
        <v>50</v>
      </c>
      <c r="I676" s="1">
        <v>50</v>
      </c>
      <c r="J676" s="2">
        <v>0</v>
      </c>
      <c r="K676">
        <f t="shared" si="30"/>
        <v>0</v>
      </c>
      <c r="L676">
        <f t="shared" si="31"/>
        <v>50</v>
      </c>
      <c r="M676" t="str">
        <f t="shared" si="32"/>
        <v>Dec-2017</v>
      </c>
    </row>
    <row r="677" spans="1:13" x14ac:dyDescent="0.3">
      <c r="A677" t="s">
        <v>1148</v>
      </c>
      <c r="B677" s="1" t="s">
        <v>324</v>
      </c>
      <c r="C677" s="1" t="s">
        <v>325</v>
      </c>
      <c r="D677" s="1" t="s">
        <v>13</v>
      </c>
      <c r="E677" s="5">
        <v>41881</v>
      </c>
      <c r="F677" s="3" t="s">
        <v>36</v>
      </c>
      <c r="G677" s="1" t="s">
        <v>326</v>
      </c>
      <c r="H677" s="1">
        <v>50</v>
      </c>
      <c r="I677" s="1">
        <v>48</v>
      </c>
      <c r="J677" s="2">
        <v>0.04</v>
      </c>
      <c r="K677">
        <f t="shared" si="30"/>
        <v>1.92</v>
      </c>
      <c r="L677">
        <f t="shared" si="31"/>
        <v>46.08</v>
      </c>
      <c r="M677" t="str">
        <f t="shared" si="32"/>
        <v>Aug-2014</v>
      </c>
    </row>
    <row r="678" spans="1:13" x14ac:dyDescent="0.3">
      <c r="A678" t="s">
        <v>1149</v>
      </c>
      <c r="B678" s="1" t="s">
        <v>187</v>
      </c>
      <c r="C678" s="1" t="s">
        <v>188</v>
      </c>
      <c r="D678" s="1" t="s">
        <v>13</v>
      </c>
      <c r="E678" s="5">
        <v>42760</v>
      </c>
      <c r="F678" s="3" t="s">
        <v>46</v>
      </c>
      <c r="G678" s="1" t="s">
        <v>1150</v>
      </c>
      <c r="H678" s="1">
        <v>500</v>
      </c>
      <c r="I678" s="1">
        <v>495</v>
      </c>
      <c r="J678" s="2">
        <v>0.01</v>
      </c>
      <c r="K678">
        <f t="shared" si="30"/>
        <v>4.95</v>
      </c>
      <c r="L678">
        <f t="shared" si="31"/>
        <v>490.05</v>
      </c>
      <c r="M678" t="str">
        <f t="shared" si="32"/>
        <v>Jan-2017</v>
      </c>
    </row>
    <row r="679" spans="1:13" x14ac:dyDescent="0.3">
      <c r="A679" t="s">
        <v>1151</v>
      </c>
      <c r="B679" s="1" t="s">
        <v>241</v>
      </c>
      <c r="C679" s="1" t="s">
        <v>242</v>
      </c>
      <c r="D679" s="1" t="s">
        <v>13</v>
      </c>
      <c r="E679" s="5">
        <v>43425</v>
      </c>
      <c r="F679" s="3" t="s">
        <v>55</v>
      </c>
      <c r="G679" s="1" t="s">
        <v>1152</v>
      </c>
      <c r="H679" s="1">
        <v>800</v>
      </c>
      <c r="I679" s="1">
        <v>760</v>
      </c>
      <c r="J679" s="2">
        <v>0.05</v>
      </c>
      <c r="K679">
        <f t="shared" si="30"/>
        <v>38</v>
      </c>
      <c r="L679">
        <f t="shared" si="31"/>
        <v>722</v>
      </c>
      <c r="M679" t="str">
        <f t="shared" si="32"/>
        <v>Nov-2018</v>
      </c>
    </row>
    <row r="680" spans="1:13" x14ac:dyDescent="0.3">
      <c r="A680" t="s">
        <v>1153</v>
      </c>
      <c r="B680" s="1" t="s">
        <v>154</v>
      </c>
      <c r="C680" s="1" t="s">
        <v>108</v>
      </c>
      <c r="D680" s="1" t="s">
        <v>19</v>
      </c>
      <c r="E680" s="5">
        <v>42667</v>
      </c>
      <c r="F680" s="3" t="s">
        <v>104</v>
      </c>
      <c r="G680" s="1" t="s">
        <v>993</v>
      </c>
      <c r="H680" s="1">
        <v>70</v>
      </c>
      <c r="I680" s="1">
        <v>65</v>
      </c>
      <c r="J680" s="2">
        <v>7.1400000000000005E-2</v>
      </c>
      <c r="K680">
        <f t="shared" si="30"/>
        <v>4.641</v>
      </c>
      <c r="L680">
        <f t="shared" si="31"/>
        <v>60.359000000000002</v>
      </c>
      <c r="M680" t="str">
        <f t="shared" si="32"/>
        <v>Oct-2016</v>
      </c>
    </row>
    <row r="681" spans="1:13" x14ac:dyDescent="0.3">
      <c r="A681" t="s">
        <v>1154</v>
      </c>
      <c r="B681" s="1" t="s">
        <v>91</v>
      </c>
      <c r="C681" s="1" t="s">
        <v>92</v>
      </c>
      <c r="D681" s="1" t="s">
        <v>35</v>
      </c>
      <c r="E681" s="5">
        <v>43338</v>
      </c>
      <c r="F681" s="3" t="s">
        <v>104</v>
      </c>
      <c r="G681" s="1" t="s">
        <v>1155</v>
      </c>
      <c r="H681" s="1">
        <v>70</v>
      </c>
      <c r="I681" s="1">
        <v>67</v>
      </c>
      <c r="J681" s="2">
        <v>4.2900000000000001E-2</v>
      </c>
      <c r="K681">
        <f t="shared" si="30"/>
        <v>2.8742999999999999</v>
      </c>
      <c r="L681">
        <f t="shared" si="31"/>
        <v>64.125699999999995</v>
      </c>
      <c r="M681" t="str">
        <f t="shared" si="32"/>
        <v>Aug-2018</v>
      </c>
    </row>
    <row r="682" spans="1:13" x14ac:dyDescent="0.3">
      <c r="A682" t="s">
        <v>1156</v>
      </c>
      <c r="B682" s="1" t="s">
        <v>182</v>
      </c>
      <c r="C682" s="1" t="s">
        <v>108</v>
      </c>
      <c r="D682" s="1" t="s">
        <v>19</v>
      </c>
      <c r="E682" s="5">
        <v>43058</v>
      </c>
      <c r="F682" s="3" t="s">
        <v>72</v>
      </c>
      <c r="G682" s="1" t="s">
        <v>1157</v>
      </c>
      <c r="H682" s="1">
        <v>500</v>
      </c>
      <c r="I682" s="1">
        <v>490</v>
      </c>
      <c r="J682" s="2">
        <v>0.02</v>
      </c>
      <c r="K682">
        <f t="shared" si="30"/>
        <v>9.8000000000000007</v>
      </c>
      <c r="L682">
        <f t="shared" si="31"/>
        <v>480.2</v>
      </c>
      <c r="M682" t="str">
        <f t="shared" si="32"/>
        <v>Nov-2017</v>
      </c>
    </row>
    <row r="683" spans="1:13" x14ac:dyDescent="0.3">
      <c r="A683" t="s">
        <v>1158</v>
      </c>
      <c r="B683" s="1" t="s">
        <v>11</v>
      </c>
      <c r="C683" s="1" t="s">
        <v>12</v>
      </c>
      <c r="D683" s="1" t="s">
        <v>13</v>
      </c>
      <c r="E683" s="5">
        <v>43144</v>
      </c>
      <c r="F683" s="3" t="s">
        <v>30</v>
      </c>
      <c r="G683" s="1" t="s">
        <v>1159</v>
      </c>
      <c r="H683" s="1">
        <v>150</v>
      </c>
      <c r="I683" s="1">
        <v>147</v>
      </c>
      <c r="J683" s="2">
        <v>0.02</v>
      </c>
      <c r="K683">
        <f t="shared" si="30"/>
        <v>2.94</v>
      </c>
      <c r="L683">
        <f t="shared" si="31"/>
        <v>144.06</v>
      </c>
      <c r="M683" t="str">
        <f t="shared" si="32"/>
        <v>Feb-2018</v>
      </c>
    </row>
    <row r="684" spans="1:13" x14ac:dyDescent="0.3">
      <c r="A684" t="s">
        <v>1160</v>
      </c>
      <c r="B684" s="1" t="s">
        <v>400</v>
      </c>
      <c r="C684" s="1" t="s">
        <v>401</v>
      </c>
      <c r="D684" s="1" t="s">
        <v>13</v>
      </c>
      <c r="E684" s="5">
        <v>42229</v>
      </c>
      <c r="F684" s="3" t="s">
        <v>72</v>
      </c>
      <c r="G684" s="1" t="s">
        <v>443</v>
      </c>
      <c r="H684" s="1">
        <v>500</v>
      </c>
      <c r="I684" s="1">
        <v>500</v>
      </c>
      <c r="J684" s="2">
        <v>0</v>
      </c>
      <c r="K684">
        <f t="shared" si="30"/>
        <v>0</v>
      </c>
      <c r="L684">
        <f t="shared" si="31"/>
        <v>500</v>
      </c>
      <c r="M684" t="str">
        <f t="shared" si="32"/>
        <v>Aug-2015</v>
      </c>
    </row>
    <row r="685" spans="1:13" x14ac:dyDescent="0.3">
      <c r="A685" t="s">
        <v>1161</v>
      </c>
      <c r="B685" s="1" t="s">
        <v>157</v>
      </c>
      <c r="C685" s="1" t="s">
        <v>108</v>
      </c>
      <c r="D685" s="1" t="s">
        <v>19</v>
      </c>
      <c r="E685" s="5">
        <v>43144</v>
      </c>
      <c r="F685" s="3" t="s">
        <v>41</v>
      </c>
      <c r="G685" s="1" t="s">
        <v>158</v>
      </c>
      <c r="H685" s="1">
        <v>30</v>
      </c>
      <c r="I685" s="1">
        <v>28</v>
      </c>
      <c r="J685" s="2">
        <v>6.6699999999999995E-2</v>
      </c>
      <c r="K685">
        <f t="shared" si="30"/>
        <v>1.8675999999999999</v>
      </c>
      <c r="L685">
        <f t="shared" si="31"/>
        <v>26.132400000000001</v>
      </c>
      <c r="M685" t="str">
        <f t="shared" si="32"/>
        <v>Feb-2018</v>
      </c>
    </row>
    <row r="686" spans="1:13" x14ac:dyDescent="0.3">
      <c r="A686" t="s">
        <v>1162</v>
      </c>
      <c r="B686" s="1" t="s">
        <v>134</v>
      </c>
      <c r="C686" s="1" t="s">
        <v>92</v>
      </c>
      <c r="D686" s="1" t="s">
        <v>35</v>
      </c>
      <c r="E686" s="5">
        <v>43189</v>
      </c>
      <c r="F686" s="3" t="s">
        <v>55</v>
      </c>
      <c r="G686" s="1" t="s">
        <v>1127</v>
      </c>
      <c r="H686" s="1">
        <v>800</v>
      </c>
      <c r="I686" s="1">
        <v>600</v>
      </c>
      <c r="J686" s="2">
        <v>0.25</v>
      </c>
      <c r="K686">
        <f t="shared" si="30"/>
        <v>150</v>
      </c>
      <c r="L686">
        <f t="shared" si="31"/>
        <v>450</v>
      </c>
      <c r="M686" t="str">
        <f t="shared" si="32"/>
        <v>Mar-2018</v>
      </c>
    </row>
    <row r="687" spans="1:13" x14ac:dyDescent="0.3">
      <c r="A687" t="s">
        <v>1163</v>
      </c>
      <c r="B687" s="1" t="s">
        <v>118</v>
      </c>
      <c r="C687" s="1" t="s">
        <v>119</v>
      </c>
      <c r="D687" s="1" t="s">
        <v>35</v>
      </c>
      <c r="E687" s="5">
        <v>42578</v>
      </c>
      <c r="F687" s="3" t="s">
        <v>55</v>
      </c>
      <c r="G687" s="1" t="s">
        <v>896</v>
      </c>
      <c r="H687" s="1">
        <v>800</v>
      </c>
      <c r="I687" s="1">
        <v>552</v>
      </c>
      <c r="J687" s="2">
        <v>0.31</v>
      </c>
      <c r="K687">
        <f t="shared" si="30"/>
        <v>171.12</v>
      </c>
      <c r="L687">
        <f t="shared" si="31"/>
        <v>380.88</v>
      </c>
      <c r="M687" t="str">
        <f t="shared" si="32"/>
        <v>Jul-2016</v>
      </c>
    </row>
    <row r="688" spans="1:13" x14ac:dyDescent="0.3">
      <c r="A688" t="s">
        <v>1164</v>
      </c>
      <c r="B688" s="1" t="s">
        <v>111</v>
      </c>
      <c r="C688" s="1" t="s">
        <v>82</v>
      </c>
      <c r="D688" s="1" t="s">
        <v>13</v>
      </c>
      <c r="E688" s="5">
        <v>42112</v>
      </c>
      <c r="F688" s="3" t="s">
        <v>122</v>
      </c>
      <c r="G688" s="1" t="s">
        <v>560</v>
      </c>
      <c r="H688" s="1">
        <v>50</v>
      </c>
      <c r="I688" s="1">
        <v>46</v>
      </c>
      <c r="J688" s="2">
        <v>0.08</v>
      </c>
      <c r="K688">
        <f t="shared" si="30"/>
        <v>3.68</v>
      </c>
      <c r="L688">
        <f t="shared" si="31"/>
        <v>42.32</v>
      </c>
      <c r="M688" t="str">
        <f t="shared" si="32"/>
        <v>Apr-2015</v>
      </c>
    </row>
    <row r="689" spans="1:13" x14ac:dyDescent="0.3">
      <c r="A689" t="s">
        <v>1165</v>
      </c>
      <c r="B689" s="1" t="s">
        <v>324</v>
      </c>
      <c r="C689" s="1" t="s">
        <v>325</v>
      </c>
      <c r="D689" s="1" t="s">
        <v>13</v>
      </c>
      <c r="E689" s="5">
        <v>43269</v>
      </c>
      <c r="F689" s="3" t="s">
        <v>41</v>
      </c>
      <c r="G689" s="1" t="s">
        <v>453</v>
      </c>
      <c r="H689" s="1">
        <v>30</v>
      </c>
      <c r="I689" s="1">
        <v>29</v>
      </c>
      <c r="J689" s="2">
        <v>3.3300000000000003E-2</v>
      </c>
      <c r="K689">
        <f t="shared" si="30"/>
        <v>0.96570000000000011</v>
      </c>
      <c r="L689">
        <f t="shared" si="31"/>
        <v>28.034299999999998</v>
      </c>
      <c r="M689" t="str">
        <f t="shared" si="32"/>
        <v>Jun-2018</v>
      </c>
    </row>
    <row r="690" spans="1:13" x14ac:dyDescent="0.3">
      <c r="A690" t="s">
        <v>1166</v>
      </c>
      <c r="B690" s="1" t="s">
        <v>400</v>
      </c>
      <c r="C690" s="1" t="s">
        <v>401</v>
      </c>
      <c r="D690" s="1" t="s">
        <v>13</v>
      </c>
      <c r="E690" s="5">
        <v>43220</v>
      </c>
      <c r="F690" s="3" t="s">
        <v>55</v>
      </c>
      <c r="G690" s="1" t="s">
        <v>1167</v>
      </c>
      <c r="H690" s="1">
        <v>800</v>
      </c>
      <c r="I690" s="1">
        <v>680</v>
      </c>
      <c r="J690" s="2">
        <v>0.15</v>
      </c>
      <c r="K690">
        <f t="shared" si="30"/>
        <v>102</v>
      </c>
      <c r="L690">
        <f t="shared" si="31"/>
        <v>578</v>
      </c>
      <c r="M690" t="str">
        <f t="shared" si="32"/>
        <v>Apr-2018</v>
      </c>
    </row>
    <row r="691" spans="1:13" x14ac:dyDescent="0.3">
      <c r="A691" t="s">
        <v>1168</v>
      </c>
      <c r="B691" s="1" t="s">
        <v>39</v>
      </c>
      <c r="C691" s="1" t="s">
        <v>40</v>
      </c>
      <c r="D691" s="1" t="s">
        <v>35</v>
      </c>
      <c r="E691" s="5">
        <v>42878</v>
      </c>
      <c r="F691" s="3" t="s">
        <v>72</v>
      </c>
      <c r="G691" s="1" t="s">
        <v>844</v>
      </c>
      <c r="H691" s="1">
        <v>500</v>
      </c>
      <c r="I691" s="1">
        <v>495</v>
      </c>
      <c r="J691" s="2">
        <v>0.01</v>
      </c>
      <c r="K691">
        <f t="shared" si="30"/>
        <v>4.95</v>
      </c>
      <c r="L691">
        <f t="shared" si="31"/>
        <v>490.05</v>
      </c>
      <c r="M691" t="str">
        <f t="shared" si="32"/>
        <v>May-2017</v>
      </c>
    </row>
    <row r="692" spans="1:13" x14ac:dyDescent="0.3">
      <c r="A692" t="s">
        <v>1169</v>
      </c>
      <c r="B692" s="1" t="s">
        <v>124</v>
      </c>
      <c r="C692" s="1" t="s">
        <v>40</v>
      </c>
      <c r="D692" s="1" t="s">
        <v>35</v>
      </c>
      <c r="E692" s="5">
        <v>42991</v>
      </c>
      <c r="F692" s="3" t="s">
        <v>115</v>
      </c>
      <c r="G692" s="1" t="s">
        <v>575</v>
      </c>
      <c r="H692" s="1">
        <v>250</v>
      </c>
      <c r="I692" s="1">
        <v>205</v>
      </c>
      <c r="J692" s="2">
        <v>0.18</v>
      </c>
      <c r="K692">
        <f t="shared" si="30"/>
        <v>36.9</v>
      </c>
      <c r="L692">
        <f t="shared" si="31"/>
        <v>168.1</v>
      </c>
      <c r="M692" t="str">
        <f t="shared" si="32"/>
        <v>Sep-2017</v>
      </c>
    </row>
    <row r="693" spans="1:13" x14ac:dyDescent="0.3">
      <c r="A693" t="s">
        <v>1170</v>
      </c>
      <c r="B693" s="1" t="s">
        <v>99</v>
      </c>
      <c r="C693" s="1" t="s">
        <v>100</v>
      </c>
      <c r="D693" s="1" t="s">
        <v>13</v>
      </c>
      <c r="E693" s="5">
        <v>43151</v>
      </c>
      <c r="F693" s="3" t="s">
        <v>36</v>
      </c>
      <c r="G693" s="1" t="s">
        <v>1171</v>
      </c>
      <c r="H693" s="1">
        <v>50</v>
      </c>
      <c r="I693" s="1">
        <v>48</v>
      </c>
      <c r="J693" s="2">
        <v>0.04</v>
      </c>
      <c r="K693">
        <f t="shared" si="30"/>
        <v>1.92</v>
      </c>
      <c r="L693">
        <f t="shared" si="31"/>
        <v>46.08</v>
      </c>
      <c r="M693" t="str">
        <f t="shared" si="32"/>
        <v>Feb-2018</v>
      </c>
    </row>
    <row r="694" spans="1:13" x14ac:dyDescent="0.3">
      <c r="A694" t="s">
        <v>1172</v>
      </c>
      <c r="B694" s="1" t="s">
        <v>187</v>
      </c>
      <c r="C694" s="1" t="s">
        <v>188</v>
      </c>
      <c r="D694" s="1" t="s">
        <v>13</v>
      </c>
      <c r="E694" s="5">
        <v>42809</v>
      </c>
      <c r="F694" s="3" t="s">
        <v>14</v>
      </c>
      <c r="G694" s="1" t="s">
        <v>791</v>
      </c>
      <c r="H694" s="1">
        <v>80</v>
      </c>
      <c r="I694" s="1">
        <v>78</v>
      </c>
      <c r="J694" s="2">
        <v>2.5000000000000001E-2</v>
      </c>
      <c r="K694">
        <f t="shared" si="30"/>
        <v>1.9500000000000002</v>
      </c>
      <c r="L694">
        <f t="shared" si="31"/>
        <v>76.05</v>
      </c>
      <c r="M694" t="str">
        <f t="shared" si="32"/>
        <v>Mar-2017</v>
      </c>
    </row>
    <row r="695" spans="1:13" x14ac:dyDescent="0.3">
      <c r="A695" t="s">
        <v>1173</v>
      </c>
      <c r="B695" s="1" t="s">
        <v>59</v>
      </c>
      <c r="C695" s="1" t="s">
        <v>60</v>
      </c>
      <c r="D695" s="1" t="s">
        <v>13</v>
      </c>
      <c r="E695" s="5">
        <v>42790</v>
      </c>
      <c r="F695" s="3" t="s">
        <v>55</v>
      </c>
      <c r="G695" s="1" t="s">
        <v>1014</v>
      </c>
      <c r="H695" s="1">
        <v>800</v>
      </c>
      <c r="I695" s="1">
        <v>552</v>
      </c>
      <c r="J695" s="2">
        <v>0.31</v>
      </c>
      <c r="K695">
        <f t="shared" si="30"/>
        <v>171.12</v>
      </c>
      <c r="L695">
        <f t="shared" si="31"/>
        <v>380.88</v>
      </c>
      <c r="M695" t="str">
        <f t="shared" si="32"/>
        <v>Feb-2017</v>
      </c>
    </row>
    <row r="696" spans="1:13" x14ac:dyDescent="0.3">
      <c r="A696" t="s">
        <v>1174</v>
      </c>
      <c r="B696" s="1" t="s">
        <v>255</v>
      </c>
      <c r="C696" s="1" t="s">
        <v>256</v>
      </c>
      <c r="D696" s="1" t="s">
        <v>13</v>
      </c>
      <c r="E696" s="5">
        <v>43056</v>
      </c>
      <c r="F696" s="3" t="s">
        <v>72</v>
      </c>
      <c r="G696" s="1" t="s">
        <v>376</v>
      </c>
      <c r="H696" s="1">
        <v>500</v>
      </c>
      <c r="I696" s="1">
        <v>495</v>
      </c>
      <c r="J696" s="2">
        <v>0.01</v>
      </c>
      <c r="K696">
        <f t="shared" si="30"/>
        <v>4.95</v>
      </c>
      <c r="L696">
        <f t="shared" si="31"/>
        <v>490.05</v>
      </c>
      <c r="M696" t="str">
        <f t="shared" si="32"/>
        <v>Nov-2017</v>
      </c>
    </row>
    <row r="697" spans="1:13" x14ac:dyDescent="0.3">
      <c r="A697" t="s">
        <v>1175</v>
      </c>
      <c r="B697" s="1" t="s">
        <v>131</v>
      </c>
      <c r="C697" s="1" t="s">
        <v>108</v>
      </c>
      <c r="D697" s="1" t="s">
        <v>19</v>
      </c>
      <c r="E697" s="5">
        <v>42961</v>
      </c>
      <c r="F697" s="3" t="s">
        <v>61</v>
      </c>
      <c r="G697" s="1" t="s">
        <v>132</v>
      </c>
      <c r="H697" s="1">
        <v>1000</v>
      </c>
      <c r="I697" s="1">
        <v>1000</v>
      </c>
      <c r="J697" s="2">
        <v>0</v>
      </c>
      <c r="K697">
        <f t="shared" si="30"/>
        <v>0</v>
      </c>
      <c r="L697">
        <f t="shared" si="31"/>
        <v>1000</v>
      </c>
      <c r="M697" t="str">
        <f t="shared" si="32"/>
        <v>Aug-2017</v>
      </c>
    </row>
    <row r="698" spans="1:13" x14ac:dyDescent="0.3">
      <c r="A698" t="s">
        <v>1176</v>
      </c>
      <c r="B698" s="1" t="s">
        <v>44</v>
      </c>
      <c r="C698" s="1" t="s">
        <v>45</v>
      </c>
      <c r="D698" s="1" t="s">
        <v>24</v>
      </c>
      <c r="E698" s="5">
        <v>41970</v>
      </c>
      <c r="F698" s="3" t="s">
        <v>36</v>
      </c>
      <c r="G698" s="1" t="s">
        <v>1177</v>
      </c>
      <c r="H698" s="1">
        <v>50</v>
      </c>
      <c r="I698" s="1">
        <v>43</v>
      </c>
      <c r="J698" s="2">
        <v>0.14000000000000001</v>
      </c>
      <c r="K698">
        <f t="shared" si="30"/>
        <v>6.0200000000000005</v>
      </c>
      <c r="L698">
        <f t="shared" si="31"/>
        <v>36.979999999999997</v>
      </c>
      <c r="M698" t="str">
        <f t="shared" si="32"/>
        <v>Nov-2014</v>
      </c>
    </row>
    <row r="699" spans="1:13" x14ac:dyDescent="0.3">
      <c r="A699" t="s">
        <v>1178</v>
      </c>
      <c r="B699" s="1" t="s">
        <v>221</v>
      </c>
      <c r="C699" s="1" t="s">
        <v>40</v>
      </c>
      <c r="D699" s="1" t="s">
        <v>35</v>
      </c>
      <c r="E699" s="5">
        <v>42505</v>
      </c>
      <c r="F699" s="3" t="s">
        <v>115</v>
      </c>
      <c r="G699" s="1" t="s">
        <v>1179</v>
      </c>
      <c r="H699" s="1">
        <v>250</v>
      </c>
      <c r="I699" s="1">
        <v>250</v>
      </c>
      <c r="J699" s="2">
        <v>0</v>
      </c>
      <c r="K699">
        <f t="shared" si="30"/>
        <v>0</v>
      </c>
      <c r="L699">
        <f t="shared" si="31"/>
        <v>250</v>
      </c>
      <c r="M699" t="str">
        <f t="shared" si="32"/>
        <v>May-2016</v>
      </c>
    </row>
    <row r="700" spans="1:13" x14ac:dyDescent="0.3">
      <c r="A700" t="s">
        <v>1180</v>
      </c>
      <c r="B700" s="1" t="s">
        <v>264</v>
      </c>
      <c r="C700" s="1" t="s">
        <v>265</v>
      </c>
      <c r="D700" s="1" t="s">
        <v>13</v>
      </c>
      <c r="E700" s="5">
        <v>42486</v>
      </c>
      <c r="F700" s="3" t="s">
        <v>41</v>
      </c>
      <c r="G700" s="1" t="s">
        <v>314</v>
      </c>
      <c r="H700" s="1">
        <v>30</v>
      </c>
      <c r="I700" s="1">
        <v>23</v>
      </c>
      <c r="J700" s="2">
        <v>0.23330000000000001</v>
      </c>
      <c r="K700">
        <f t="shared" si="30"/>
        <v>5.3658999999999999</v>
      </c>
      <c r="L700">
        <f t="shared" si="31"/>
        <v>17.6341</v>
      </c>
      <c r="M700" t="str">
        <f t="shared" si="32"/>
        <v>Apr-2016</v>
      </c>
    </row>
    <row r="701" spans="1:13" x14ac:dyDescent="0.3">
      <c r="A701" t="s">
        <v>1181</v>
      </c>
      <c r="B701" s="1" t="s">
        <v>64</v>
      </c>
      <c r="C701" s="1" t="s">
        <v>65</v>
      </c>
      <c r="D701" s="1" t="s">
        <v>35</v>
      </c>
      <c r="E701" s="5">
        <v>42718</v>
      </c>
      <c r="F701" s="3" t="s">
        <v>72</v>
      </c>
      <c r="G701" s="1" t="s">
        <v>66</v>
      </c>
      <c r="H701" s="1">
        <v>500</v>
      </c>
      <c r="I701" s="1">
        <v>490</v>
      </c>
      <c r="J701" s="2">
        <v>0.02</v>
      </c>
      <c r="K701">
        <f t="shared" si="30"/>
        <v>9.8000000000000007</v>
      </c>
      <c r="L701">
        <f t="shared" si="31"/>
        <v>480.2</v>
      </c>
      <c r="M701" t="str">
        <f t="shared" si="32"/>
        <v>Dec-2016</v>
      </c>
    </row>
    <row r="702" spans="1:13" x14ac:dyDescent="0.3">
      <c r="A702" t="s">
        <v>1182</v>
      </c>
      <c r="B702" s="1" t="s">
        <v>22</v>
      </c>
      <c r="C702" s="1" t="s">
        <v>23</v>
      </c>
      <c r="D702" s="1" t="s">
        <v>24</v>
      </c>
      <c r="E702" s="5">
        <v>42143</v>
      </c>
      <c r="F702" s="3" t="s">
        <v>46</v>
      </c>
      <c r="G702" s="1" t="s">
        <v>310</v>
      </c>
      <c r="H702" s="1">
        <v>500</v>
      </c>
      <c r="I702" s="1">
        <v>425</v>
      </c>
      <c r="J702" s="2">
        <v>0.15</v>
      </c>
      <c r="K702">
        <f t="shared" si="30"/>
        <v>63.75</v>
      </c>
      <c r="L702">
        <f t="shared" si="31"/>
        <v>361.25</v>
      </c>
      <c r="M702" t="str">
        <f t="shared" si="32"/>
        <v>May-2015</v>
      </c>
    </row>
    <row r="703" spans="1:13" x14ac:dyDescent="0.3">
      <c r="A703" t="s">
        <v>1183</v>
      </c>
      <c r="B703" s="1" t="s">
        <v>400</v>
      </c>
      <c r="C703" s="1" t="s">
        <v>401</v>
      </c>
      <c r="D703" s="1" t="s">
        <v>13</v>
      </c>
      <c r="E703" s="5">
        <v>43428</v>
      </c>
      <c r="F703" s="3" t="s">
        <v>115</v>
      </c>
      <c r="G703" s="1" t="s">
        <v>693</v>
      </c>
      <c r="H703" s="1">
        <v>250</v>
      </c>
      <c r="I703" s="1">
        <v>223</v>
      </c>
      <c r="J703" s="2">
        <v>0.108</v>
      </c>
      <c r="K703">
        <f t="shared" si="30"/>
        <v>24.084</v>
      </c>
      <c r="L703">
        <f t="shared" si="31"/>
        <v>198.916</v>
      </c>
      <c r="M703" t="str">
        <f t="shared" si="32"/>
        <v>Nov-2018</v>
      </c>
    </row>
    <row r="704" spans="1:13" x14ac:dyDescent="0.3">
      <c r="A704" t="s">
        <v>1184</v>
      </c>
      <c r="B704" s="1" t="s">
        <v>154</v>
      </c>
      <c r="C704" s="1" t="s">
        <v>108</v>
      </c>
      <c r="D704" s="1" t="s">
        <v>19</v>
      </c>
      <c r="E704" s="5">
        <v>41899</v>
      </c>
      <c r="F704" s="3" t="s">
        <v>25</v>
      </c>
      <c r="G704" s="1" t="s">
        <v>1185</v>
      </c>
      <c r="H704" s="1">
        <v>700</v>
      </c>
      <c r="I704" s="1">
        <v>693</v>
      </c>
      <c r="J704" s="2">
        <v>0.01</v>
      </c>
      <c r="K704">
        <f t="shared" si="30"/>
        <v>6.93</v>
      </c>
      <c r="L704">
        <f t="shared" si="31"/>
        <v>686.07</v>
      </c>
      <c r="M704" t="str">
        <f t="shared" si="32"/>
        <v>Sep-2014</v>
      </c>
    </row>
    <row r="705" spans="1:13" x14ac:dyDescent="0.3">
      <c r="A705" t="s">
        <v>1186</v>
      </c>
      <c r="B705" s="1" t="s">
        <v>107</v>
      </c>
      <c r="C705" s="1" t="s">
        <v>108</v>
      </c>
      <c r="D705" s="1" t="s">
        <v>19</v>
      </c>
      <c r="E705" s="5">
        <v>43235</v>
      </c>
      <c r="F705" s="3" t="s">
        <v>30</v>
      </c>
      <c r="G705" s="1" t="s">
        <v>109</v>
      </c>
      <c r="H705" s="1">
        <v>150</v>
      </c>
      <c r="I705" s="1">
        <v>147</v>
      </c>
      <c r="J705" s="2">
        <v>0.02</v>
      </c>
      <c r="K705">
        <f t="shared" si="30"/>
        <v>2.94</v>
      </c>
      <c r="L705">
        <f t="shared" si="31"/>
        <v>144.06</v>
      </c>
      <c r="M705" t="str">
        <f t="shared" si="32"/>
        <v>May-2018</v>
      </c>
    </row>
    <row r="706" spans="1:13" x14ac:dyDescent="0.3">
      <c r="A706" t="s">
        <v>1187</v>
      </c>
      <c r="B706" s="1" t="s">
        <v>221</v>
      </c>
      <c r="C706" s="1" t="s">
        <v>40</v>
      </c>
      <c r="D706" s="1" t="s">
        <v>35</v>
      </c>
      <c r="E706" s="5">
        <v>42172</v>
      </c>
      <c r="F706" s="3" t="s">
        <v>41</v>
      </c>
      <c r="G706" s="1" t="s">
        <v>1179</v>
      </c>
      <c r="H706" s="1">
        <v>30</v>
      </c>
      <c r="I706" s="1">
        <v>26</v>
      </c>
      <c r="J706" s="2">
        <v>0.1333</v>
      </c>
      <c r="K706">
        <f t="shared" si="30"/>
        <v>3.4658000000000002</v>
      </c>
      <c r="L706">
        <f t="shared" si="31"/>
        <v>22.534199999999998</v>
      </c>
      <c r="M706" t="str">
        <f t="shared" si="32"/>
        <v>Jun-2015</v>
      </c>
    </row>
    <row r="707" spans="1:13" x14ac:dyDescent="0.3">
      <c r="A707" t="s">
        <v>1188</v>
      </c>
      <c r="B707" s="1" t="s">
        <v>255</v>
      </c>
      <c r="C707" s="1" t="s">
        <v>256</v>
      </c>
      <c r="D707" s="1" t="s">
        <v>13</v>
      </c>
      <c r="E707" s="5">
        <v>41746</v>
      </c>
      <c r="F707" s="3" t="s">
        <v>41</v>
      </c>
      <c r="G707" s="1" t="s">
        <v>800</v>
      </c>
      <c r="H707" s="1">
        <v>30</v>
      </c>
      <c r="I707" s="1">
        <v>29</v>
      </c>
      <c r="J707" s="2">
        <v>3.3300000000000003E-2</v>
      </c>
      <c r="K707">
        <f t="shared" si="30"/>
        <v>0.96570000000000011</v>
      </c>
      <c r="L707">
        <f t="shared" si="31"/>
        <v>28.034299999999998</v>
      </c>
      <c r="M707" t="str">
        <f t="shared" si="32"/>
        <v>Apr-2014</v>
      </c>
    </row>
    <row r="708" spans="1:13" x14ac:dyDescent="0.3">
      <c r="A708" t="s">
        <v>1189</v>
      </c>
      <c r="B708" s="1" t="s">
        <v>124</v>
      </c>
      <c r="C708" s="1" t="s">
        <v>40</v>
      </c>
      <c r="D708" s="1" t="s">
        <v>35</v>
      </c>
      <c r="E708" s="5">
        <v>42943</v>
      </c>
      <c r="F708" s="3" t="s">
        <v>30</v>
      </c>
      <c r="G708" s="1" t="s">
        <v>970</v>
      </c>
      <c r="H708" s="1">
        <v>150</v>
      </c>
      <c r="I708" s="1">
        <v>105</v>
      </c>
      <c r="J708" s="2">
        <v>0.3</v>
      </c>
      <c r="K708">
        <f t="shared" ref="K708:K771" si="33">I708*J708</f>
        <v>31.5</v>
      </c>
      <c r="L708">
        <f t="shared" ref="L708:L771" si="34">I708-K708</f>
        <v>73.5</v>
      </c>
      <c r="M708" t="str">
        <f t="shared" ref="M708:M771" si="35">TEXT(E708, "mmm-yyyy")</f>
        <v>Jul-2017</v>
      </c>
    </row>
    <row r="709" spans="1:13" x14ac:dyDescent="0.3">
      <c r="A709" t="s">
        <v>1190</v>
      </c>
      <c r="B709" s="1" t="s">
        <v>17</v>
      </c>
      <c r="C709" s="1" t="s">
        <v>18</v>
      </c>
      <c r="D709" s="1" t="s">
        <v>19</v>
      </c>
      <c r="E709" s="5">
        <v>43433</v>
      </c>
      <c r="F709" s="3" t="s">
        <v>122</v>
      </c>
      <c r="G709" s="1" t="s">
        <v>493</v>
      </c>
      <c r="H709" s="1">
        <v>50</v>
      </c>
      <c r="I709" s="1">
        <v>50</v>
      </c>
      <c r="J709" s="2">
        <v>0</v>
      </c>
      <c r="K709">
        <f t="shared" si="33"/>
        <v>0</v>
      </c>
      <c r="L709">
        <f t="shared" si="34"/>
        <v>50</v>
      </c>
      <c r="M709" t="str">
        <f t="shared" si="35"/>
        <v>Nov-2018</v>
      </c>
    </row>
    <row r="710" spans="1:13" x14ac:dyDescent="0.3">
      <c r="A710" t="s">
        <v>1191</v>
      </c>
      <c r="B710" s="1" t="s">
        <v>324</v>
      </c>
      <c r="C710" s="1" t="s">
        <v>325</v>
      </c>
      <c r="D710" s="1" t="s">
        <v>13</v>
      </c>
      <c r="E710" s="5">
        <v>42457</v>
      </c>
      <c r="F710" s="3" t="s">
        <v>55</v>
      </c>
      <c r="G710" s="1" t="s">
        <v>1192</v>
      </c>
      <c r="H710" s="1">
        <v>800</v>
      </c>
      <c r="I710" s="1">
        <v>480</v>
      </c>
      <c r="J710" s="2">
        <v>0.4</v>
      </c>
      <c r="K710">
        <f t="shared" si="33"/>
        <v>192</v>
      </c>
      <c r="L710">
        <f t="shared" si="34"/>
        <v>288</v>
      </c>
      <c r="M710" t="str">
        <f t="shared" si="35"/>
        <v>Mar-2016</v>
      </c>
    </row>
    <row r="711" spans="1:13" x14ac:dyDescent="0.3">
      <c r="A711" t="s">
        <v>1193</v>
      </c>
      <c r="B711" s="1" t="s">
        <v>227</v>
      </c>
      <c r="C711" s="1" t="s">
        <v>228</v>
      </c>
      <c r="D711" s="1" t="s">
        <v>24</v>
      </c>
      <c r="E711" s="5">
        <v>41745</v>
      </c>
      <c r="F711" s="3" t="s">
        <v>72</v>
      </c>
      <c r="G711" s="1" t="s">
        <v>870</v>
      </c>
      <c r="H711" s="1">
        <v>500</v>
      </c>
      <c r="I711" s="1">
        <v>500</v>
      </c>
      <c r="J711" s="2">
        <v>0</v>
      </c>
      <c r="K711">
        <f t="shared" si="33"/>
        <v>0</v>
      </c>
      <c r="L711">
        <f t="shared" si="34"/>
        <v>500</v>
      </c>
      <c r="M711" t="str">
        <f t="shared" si="35"/>
        <v>Apr-2014</v>
      </c>
    </row>
    <row r="712" spans="1:13" x14ac:dyDescent="0.3">
      <c r="A712" t="s">
        <v>1194</v>
      </c>
      <c r="B712" s="1" t="s">
        <v>17</v>
      </c>
      <c r="C712" s="1" t="s">
        <v>18</v>
      </c>
      <c r="D712" s="1" t="s">
        <v>19</v>
      </c>
      <c r="E712" s="5">
        <v>42839</v>
      </c>
      <c r="F712" s="3" t="s">
        <v>36</v>
      </c>
      <c r="G712" s="1" t="s">
        <v>776</v>
      </c>
      <c r="H712" s="1">
        <v>50</v>
      </c>
      <c r="I712" s="1">
        <v>40</v>
      </c>
      <c r="J712" s="2">
        <v>0.2</v>
      </c>
      <c r="K712">
        <f t="shared" si="33"/>
        <v>8</v>
      </c>
      <c r="L712">
        <f t="shared" si="34"/>
        <v>32</v>
      </c>
      <c r="M712" t="str">
        <f t="shared" si="35"/>
        <v>Apr-2017</v>
      </c>
    </row>
    <row r="713" spans="1:13" x14ac:dyDescent="0.3">
      <c r="A713" t="s">
        <v>1195</v>
      </c>
      <c r="B713" s="1" t="s">
        <v>107</v>
      </c>
      <c r="C713" s="1" t="s">
        <v>108</v>
      </c>
      <c r="D713" s="1" t="s">
        <v>19</v>
      </c>
      <c r="E713" s="5">
        <v>42690</v>
      </c>
      <c r="F713" s="3" t="s">
        <v>61</v>
      </c>
      <c r="G713" s="1" t="s">
        <v>531</v>
      </c>
      <c r="H713" s="1">
        <v>1000</v>
      </c>
      <c r="I713" s="1">
        <v>620</v>
      </c>
      <c r="J713" s="2">
        <v>0.38</v>
      </c>
      <c r="K713">
        <f t="shared" si="33"/>
        <v>235.6</v>
      </c>
      <c r="L713">
        <f t="shared" si="34"/>
        <v>384.4</v>
      </c>
      <c r="M713" t="str">
        <f t="shared" si="35"/>
        <v>Nov-2016</v>
      </c>
    </row>
    <row r="714" spans="1:13" x14ac:dyDescent="0.3">
      <c r="A714" t="s">
        <v>1196</v>
      </c>
      <c r="B714" s="1" t="s">
        <v>11</v>
      </c>
      <c r="C714" s="1" t="s">
        <v>12</v>
      </c>
      <c r="D714" s="1" t="s">
        <v>13</v>
      </c>
      <c r="E714" s="5">
        <v>42235</v>
      </c>
      <c r="F714" s="3" t="s">
        <v>36</v>
      </c>
      <c r="G714" s="1" t="s">
        <v>193</v>
      </c>
      <c r="H714" s="1">
        <v>50</v>
      </c>
      <c r="I714" s="1">
        <v>50</v>
      </c>
      <c r="J714" s="2">
        <v>0</v>
      </c>
      <c r="K714">
        <f t="shared" si="33"/>
        <v>0</v>
      </c>
      <c r="L714">
        <f t="shared" si="34"/>
        <v>50</v>
      </c>
      <c r="M714" t="str">
        <f t="shared" si="35"/>
        <v>Aug-2015</v>
      </c>
    </row>
    <row r="715" spans="1:13" x14ac:dyDescent="0.3">
      <c r="A715" t="s">
        <v>1197</v>
      </c>
      <c r="B715" s="1" t="s">
        <v>70</v>
      </c>
      <c r="C715" s="1" t="s">
        <v>71</v>
      </c>
      <c r="D715" s="1" t="s">
        <v>35</v>
      </c>
      <c r="E715" s="5">
        <v>42483</v>
      </c>
      <c r="F715" s="3" t="s">
        <v>30</v>
      </c>
      <c r="G715" s="1" t="s">
        <v>328</v>
      </c>
      <c r="H715" s="1">
        <v>150</v>
      </c>
      <c r="I715" s="1">
        <v>98</v>
      </c>
      <c r="J715" s="2">
        <v>0.34670000000000001</v>
      </c>
      <c r="K715">
        <f t="shared" si="33"/>
        <v>33.976599999999998</v>
      </c>
      <c r="L715">
        <f t="shared" si="34"/>
        <v>64.023400000000009</v>
      </c>
      <c r="M715" t="str">
        <f t="shared" si="35"/>
        <v>Apr-2016</v>
      </c>
    </row>
    <row r="716" spans="1:13" x14ac:dyDescent="0.3">
      <c r="A716" t="s">
        <v>1198</v>
      </c>
      <c r="B716" s="1" t="s">
        <v>241</v>
      </c>
      <c r="C716" s="1" t="s">
        <v>242</v>
      </c>
      <c r="D716" s="1" t="s">
        <v>13</v>
      </c>
      <c r="E716" s="5">
        <v>43218</v>
      </c>
      <c r="F716" s="3" t="s">
        <v>25</v>
      </c>
      <c r="G716" s="1" t="s">
        <v>626</v>
      </c>
      <c r="H716" s="1">
        <v>700</v>
      </c>
      <c r="I716" s="1">
        <v>700</v>
      </c>
      <c r="J716" s="2">
        <v>0</v>
      </c>
      <c r="K716">
        <f t="shared" si="33"/>
        <v>0</v>
      </c>
      <c r="L716">
        <f t="shared" si="34"/>
        <v>700</v>
      </c>
      <c r="M716" t="str">
        <f t="shared" si="35"/>
        <v>Apr-2018</v>
      </c>
    </row>
    <row r="717" spans="1:13" x14ac:dyDescent="0.3">
      <c r="A717" t="s">
        <v>1199</v>
      </c>
      <c r="B717" s="1" t="s">
        <v>77</v>
      </c>
      <c r="C717" s="1" t="s">
        <v>78</v>
      </c>
      <c r="D717" s="1" t="s">
        <v>35</v>
      </c>
      <c r="E717" s="5">
        <v>42077</v>
      </c>
      <c r="F717" s="3" t="s">
        <v>36</v>
      </c>
      <c r="G717" s="1" t="s">
        <v>668</v>
      </c>
      <c r="H717" s="1">
        <v>50</v>
      </c>
      <c r="I717" s="1">
        <v>37</v>
      </c>
      <c r="J717" s="2">
        <v>0.26</v>
      </c>
      <c r="K717">
        <f t="shared" si="33"/>
        <v>9.620000000000001</v>
      </c>
      <c r="L717">
        <f t="shared" si="34"/>
        <v>27.38</v>
      </c>
      <c r="M717" t="str">
        <f t="shared" si="35"/>
        <v>Mar-2015</v>
      </c>
    </row>
    <row r="718" spans="1:13" x14ac:dyDescent="0.3">
      <c r="A718" t="s">
        <v>1200</v>
      </c>
      <c r="B718" s="1" t="s">
        <v>64</v>
      </c>
      <c r="C718" s="1" t="s">
        <v>65</v>
      </c>
      <c r="D718" s="1" t="s">
        <v>35</v>
      </c>
      <c r="E718" s="5">
        <v>41689</v>
      </c>
      <c r="F718" s="3" t="s">
        <v>41</v>
      </c>
      <c r="G718" s="1" t="s">
        <v>66</v>
      </c>
      <c r="H718" s="1">
        <v>30</v>
      </c>
      <c r="I718" s="1">
        <v>29</v>
      </c>
      <c r="J718" s="2">
        <v>3.3300000000000003E-2</v>
      </c>
      <c r="K718">
        <f t="shared" si="33"/>
        <v>0.96570000000000011</v>
      </c>
      <c r="L718">
        <f t="shared" si="34"/>
        <v>28.034299999999998</v>
      </c>
      <c r="M718" t="str">
        <f t="shared" si="35"/>
        <v>Feb-2014</v>
      </c>
    </row>
    <row r="719" spans="1:13" x14ac:dyDescent="0.3">
      <c r="A719" t="s">
        <v>1201</v>
      </c>
      <c r="B719" s="1" t="s">
        <v>11</v>
      </c>
      <c r="C719" s="1" t="s">
        <v>12</v>
      </c>
      <c r="D719" s="1" t="s">
        <v>13</v>
      </c>
      <c r="E719" s="5">
        <v>42875</v>
      </c>
      <c r="F719" s="3" t="s">
        <v>25</v>
      </c>
      <c r="G719" s="1" t="s">
        <v>348</v>
      </c>
      <c r="H719" s="1">
        <v>700</v>
      </c>
      <c r="I719" s="1">
        <v>679</v>
      </c>
      <c r="J719" s="2">
        <v>0.03</v>
      </c>
      <c r="K719">
        <f t="shared" si="33"/>
        <v>20.37</v>
      </c>
      <c r="L719">
        <f t="shared" si="34"/>
        <v>658.63</v>
      </c>
      <c r="M719" t="str">
        <f t="shared" si="35"/>
        <v>May-2017</v>
      </c>
    </row>
    <row r="720" spans="1:13" x14ac:dyDescent="0.3">
      <c r="A720" t="s">
        <v>1202</v>
      </c>
      <c r="B720" s="1" t="s">
        <v>49</v>
      </c>
      <c r="C720" s="1" t="s">
        <v>50</v>
      </c>
      <c r="D720" s="1" t="s">
        <v>24</v>
      </c>
      <c r="E720" s="5">
        <v>42143</v>
      </c>
      <c r="F720" s="3" t="s">
        <v>72</v>
      </c>
      <c r="G720" s="1" t="s">
        <v>398</v>
      </c>
      <c r="H720" s="1">
        <v>500</v>
      </c>
      <c r="I720" s="1">
        <v>495</v>
      </c>
      <c r="J720" s="2">
        <v>0.01</v>
      </c>
      <c r="K720">
        <f t="shared" si="33"/>
        <v>4.95</v>
      </c>
      <c r="L720">
        <f t="shared" si="34"/>
        <v>490.05</v>
      </c>
      <c r="M720" t="str">
        <f t="shared" si="35"/>
        <v>May-2015</v>
      </c>
    </row>
    <row r="721" spans="1:13" x14ac:dyDescent="0.3">
      <c r="A721" t="s">
        <v>1203</v>
      </c>
      <c r="B721" s="1" t="s">
        <v>17</v>
      </c>
      <c r="C721" s="1" t="s">
        <v>18</v>
      </c>
      <c r="D721" s="1" t="s">
        <v>19</v>
      </c>
      <c r="E721" s="5">
        <v>42452</v>
      </c>
      <c r="F721" s="3" t="s">
        <v>122</v>
      </c>
      <c r="G721" s="1" t="s">
        <v>20</v>
      </c>
      <c r="H721" s="1">
        <v>50</v>
      </c>
      <c r="I721" s="1">
        <v>36</v>
      </c>
      <c r="J721" s="2">
        <v>0.28000000000000003</v>
      </c>
      <c r="K721">
        <f t="shared" si="33"/>
        <v>10.080000000000002</v>
      </c>
      <c r="L721">
        <f t="shared" si="34"/>
        <v>25.919999999999998</v>
      </c>
      <c r="M721" t="str">
        <f t="shared" si="35"/>
        <v>Mar-2016</v>
      </c>
    </row>
    <row r="722" spans="1:13" x14ac:dyDescent="0.3">
      <c r="A722" t="s">
        <v>1204</v>
      </c>
      <c r="B722" s="1" t="s">
        <v>400</v>
      </c>
      <c r="C722" s="1" t="s">
        <v>401</v>
      </c>
      <c r="D722" s="1" t="s">
        <v>13</v>
      </c>
      <c r="E722" s="5">
        <v>43029</v>
      </c>
      <c r="F722" s="3" t="s">
        <v>36</v>
      </c>
      <c r="G722" s="1" t="s">
        <v>1167</v>
      </c>
      <c r="H722" s="1">
        <v>50</v>
      </c>
      <c r="I722" s="1">
        <v>48</v>
      </c>
      <c r="J722" s="2">
        <v>0.04</v>
      </c>
      <c r="K722">
        <f t="shared" si="33"/>
        <v>1.92</v>
      </c>
      <c r="L722">
        <f t="shared" si="34"/>
        <v>46.08</v>
      </c>
      <c r="M722" t="str">
        <f t="shared" si="35"/>
        <v>Oct-2017</v>
      </c>
    </row>
    <row r="723" spans="1:13" x14ac:dyDescent="0.3">
      <c r="A723" t="s">
        <v>1205</v>
      </c>
      <c r="B723" s="1" t="s">
        <v>53</v>
      </c>
      <c r="C723" s="1" t="s">
        <v>54</v>
      </c>
      <c r="D723" s="1" t="s">
        <v>13</v>
      </c>
      <c r="E723" s="5">
        <v>43173</v>
      </c>
      <c r="F723" s="3" t="s">
        <v>46</v>
      </c>
      <c r="G723" s="1" t="s">
        <v>1206</v>
      </c>
      <c r="H723" s="1">
        <v>500</v>
      </c>
      <c r="I723" s="1">
        <v>475</v>
      </c>
      <c r="J723" s="2">
        <v>0.05</v>
      </c>
      <c r="K723">
        <f t="shared" si="33"/>
        <v>23.75</v>
      </c>
      <c r="L723">
        <f t="shared" si="34"/>
        <v>451.25</v>
      </c>
      <c r="M723" t="str">
        <f t="shared" si="35"/>
        <v>Mar-2018</v>
      </c>
    </row>
    <row r="724" spans="1:13" x14ac:dyDescent="0.3">
      <c r="A724" t="s">
        <v>1207</v>
      </c>
      <c r="B724" s="1" t="s">
        <v>255</v>
      </c>
      <c r="C724" s="1" t="s">
        <v>256</v>
      </c>
      <c r="D724" s="1" t="s">
        <v>13</v>
      </c>
      <c r="E724" s="5">
        <v>42881</v>
      </c>
      <c r="F724" s="3" t="s">
        <v>36</v>
      </c>
      <c r="G724" s="1" t="s">
        <v>1208</v>
      </c>
      <c r="H724" s="1">
        <v>50</v>
      </c>
      <c r="I724" s="1">
        <v>43</v>
      </c>
      <c r="J724" s="2">
        <v>0.14000000000000001</v>
      </c>
      <c r="K724">
        <f t="shared" si="33"/>
        <v>6.0200000000000005</v>
      </c>
      <c r="L724">
        <f t="shared" si="34"/>
        <v>36.979999999999997</v>
      </c>
      <c r="M724" t="str">
        <f t="shared" si="35"/>
        <v>May-2017</v>
      </c>
    </row>
    <row r="725" spans="1:13" x14ac:dyDescent="0.3">
      <c r="A725" t="s">
        <v>1209</v>
      </c>
      <c r="B725" s="1" t="s">
        <v>227</v>
      </c>
      <c r="C725" s="1" t="s">
        <v>228</v>
      </c>
      <c r="D725" s="1" t="s">
        <v>24</v>
      </c>
      <c r="E725" s="5">
        <v>42643</v>
      </c>
      <c r="F725" s="3" t="s">
        <v>115</v>
      </c>
      <c r="G725" s="1" t="s">
        <v>685</v>
      </c>
      <c r="H725" s="1">
        <v>250</v>
      </c>
      <c r="I725" s="1">
        <v>235</v>
      </c>
      <c r="J725" s="2">
        <v>0.06</v>
      </c>
      <c r="K725">
        <f t="shared" si="33"/>
        <v>14.1</v>
      </c>
      <c r="L725">
        <f t="shared" si="34"/>
        <v>220.9</v>
      </c>
      <c r="M725" t="str">
        <f t="shared" si="35"/>
        <v>Sep-2016</v>
      </c>
    </row>
    <row r="726" spans="1:13" x14ac:dyDescent="0.3">
      <c r="A726" t="s">
        <v>1210</v>
      </c>
      <c r="B726" s="1" t="s">
        <v>146</v>
      </c>
      <c r="C726" s="1" t="s">
        <v>147</v>
      </c>
      <c r="D726" s="1" t="s">
        <v>13</v>
      </c>
      <c r="E726" s="5">
        <v>43038</v>
      </c>
      <c r="F726" s="3" t="s">
        <v>122</v>
      </c>
      <c r="G726" s="1" t="s">
        <v>830</v>
      </c>
      <c r="H726" s="1">
        <v>50</v>
      </c>
      <c r="I726" s="1">
        <v>43</v>
      </c>
      <c r="J726" s="2">
        <v>0.14000000000000001</v>
      </c>
      <c r="K726">
        <f t="shared" si="33"/>
        <v>6.0200000000000005</v>
      </c>
      <c r="L726">
        <f t="shared" si="34"/>
        <v>36.979999999999997</v>
      </c>
      <c r="M726" t="str">
        <f t="shared" si="35"/>
        <v>Oct-2017</v>
      </c>
    </row>
    <row r="727" spans="1:13" x14ac:dyDescent="0.3">
      <c r="A727" t="s">
        <v>1211</v>
      </c>
      <c r="B727" s="1" t="s">
        <v>224</v>
      </c>
      <c r="C727" s="1" t="s">
        <v>50</v>
      </c>
      <c r="D727" s="1" t="s">
        <v>24</v>
      </c>
      <c r="E727" s="5">
        <v>43281</v>
      </c>
      <c r="F727" s="3" t="s">
        <v>41</v>
      </c>
      <c r="G727" s="1" t="s">
        <v>509</v>
      </c>
      <c r="H727" s="1">
        <v>30</v>
      </c>
      <c r="I727" s="1">
        <v>26</v>
      </c>
      <c r="J727" s="2">
        <v>0.1333</v>
      </c>
      <c r="K727">
        <f t="shared" si="33"/>
        <v>3.4658000000000002</v>
      </c>
      <c r="L727">
        <f t="shared" si="34"/>
        <v>22.534199999999998</v>
      </c>
      <c r="M727" t="str">
        <f t="shared" si="35"/>
        <v>Jun-2018</v>
      </c>
    </row>
    <row r="728" spans="1:13" x14ac:dyDescent="0.3">
      <c r="A728" t="s">
        <v>1212</v>
      </c>
      <c r="B728" s="1" t="s">
        <v>49</v>
      </c>
      <c r="C728" s="1" t="s">
        <v>50</v>
      </c>
      <c r="D728" s="1" t="s">
        <v>24</v>
      </c>
      <c r="E728" s="5">
        <v>42508</v>
      </c>
      <c r="F728" s="3" t="s">
        <v>104</v>
      </c>
      <c r="G728" s="1" t="s">
        <v>378</v>
      </c>
      <c r="H728" s="1">
        <v>70</v>
      </c>
      <c r="I728" s="1">
        <v>53</v>
      </c>
      <c r="J728" s="2">
        <v>0.2429</v>
      </c>
      <c r="K728">
        <f t="shared" si="33"/>
        <v>12.873699999999999</v>
      </c>
      <c r="L728">
        <f t="shared" si="34"/>
        <v>40.126300000000001</v>
      </c>
      <c r="M728" t="str">
        <f t="shared" si="35"/>
        <v>May-2016</v>
      </c>
    </row>
    <row r="729" spans="1:13" x14ac:dyDescent="0.3">
      <c r="A729" t="s">
        <v>1213</v>
      </c>
      <c r="B729" s="1" t="s">
        <v>91</v>
      </c>
      <c r="C729" s="1" t="s">
        <v>92</v>
      </c>
      <c r="D729" s="1" t="s">
        <v>35</v>
      </c>
      <c r="E729" s="5">
        <v>42035</v>
      </c>
      <c r="F729" s="3" t="s">
        <v>30</v>
      </c>
      <c r="G729" s="1" t="s">
        <v>939</v>
      </c>
      <c r="H729" s="1">
        <v>150</v>
      </c>
      <c r="I729" s="1">
        <v>149</v>
      </c>
      <c r="J729" s="2">
        <v>6.7000000000000002E-3</v>
      </c>
      <c r="K729">
        <f t="shared" si="33"/>
        <v>0.99830000000000008</v>
      </c>
      <c r="L729">
        <f t="shared" si="34"/>
        <v>148.0017</v>
      </c>
      <c r="M729" t="str">
        <f t="shared" si="35"/>
        <v>Jan-2015</v>
      </c>
    </row>
    <row r="730" spans="1:13" x14ac:dyDescent="0.3">
      <c r="A730" t="s">
        <v>1214</v>
      </c>
      <c r="B730" s="1" t="s">
        <v>150</v>
      </c>
      <c r="C730" s="1" t="s">
        <v>151</v>
      </c>
      <c r="D730" s="1" t="s">
        <v>13</v>
      </c>
      <c r="E730" s="5">
        <v>41654</v>
      </c>
      <c r="F730" s="3" t="s">
        <v>115</v>
      </c>
      <c r="G730" s="1" t="s">
        <v>824</v>
      </c>
      <c r="H730" s="1">
        <v>250</v>
      </c>
      <c r="I730" s="1">
        <v>228</v>
      </c>
      <c r="J730" s="2">
        <v>8.7999999999999995E-2</v>
      </c>
      <c r="K730">
        <f t="shared" si="33"/>
        <v>20.064</v>
      </c>
      <c r="L730">
        <f t="shared" si="34"/>
        <v>207.93600000000001</v>
      </c>
      <c r="M730" t="str">
        <f t="shared" si="35"/>
        <v>Jan-2014</v>
      </c>
    </row>
    <row r="731" spans="1:13" x14ac:dyDescent="0.3">
      <c r="A731" t="s">
        <v>1215</v>
      </c>
      <c r="B731" s="1" t="s">
        <v>146</v>
      </c>
      <c r="C731" s="1" t="s">
        <v>147</v>
      </c>
      <c r="D731" s="1" t="s">
        <v>13</v>
      </c>
      <c r="E731" s="5">
        <v>42733</v>
      </c>
      <c r="F731" s="3" t="s">
        <v>104</v>
      </c>
      <c r="G731" s="1" t="s">
        <v>1006</v>
      </c>
      <c r="H731" s="1">
        <v>70</v>
      </c>
      <c r="I731" s="1">
        <v>64</v>
      </c>
      <c r="J731" s="2">
        <v>8.5699999999999998E-2</v>
      </c>
      <c r="K731">
        <f t="shared" si="33"/>
        <v>5.4847999999999999</v>
      </c>
      <c r="L731">
        <f t="shared" si="34"/>
        <v>58.5152</v>
      </c>
      <c r="M731" t="str">
        <f t="shared" si="35"/>
        <v>Dec-2016</v>
      </c>
    </row>
    <row r="732" spans="1:13" x14ac:dyDescent="0.3">
      <c r="A732" t="s">
        <v>1216</v>
      </c>
      <c r="B732" s="1" t="s">
        <v>28</v>
      </c>
      <c r="C732" s="1" t="s">
        <v>29</v>
      </c>
      <c r="D732" s="1" t="s">
        <v>13</v>
      </c>
      <c r="E732" s="5">
        <v>43394</v>
      </c>
      <c r="F732" s="3" t="s">
        <v>41</v>
      </c>
      <c r="G732" s="1" t="s">
        <v>249</v>
      </c>
      <c r="H732" s="1">
        <v>30</v>
      </c>
      <c r="I732" s="1">
        <v>27</v>
      </c>
      <c r="J732" s="2">
        <v>0.1</v>
      </c>
      <c r="K732">
        <f t="shared" si="33"/>
        <v>2.7</v>
      </c>
      <c r="L732">
        <f t="shared" si="34"/>
        <v>24.3</v>
      </c>
      <c r="M732" t="str">
        <f t="shared" si="35"/>
        <v>Oct-2018</v>
      </c>
    </row>
    <row r="733" spans="1:13" x14ac:dyDescent="0.3">
      <c r="A733" t="s">
        <v>1217</v>
      </c>
      <c r="B733" s="1" t="s">
        <v>111</v>
      </c>
      <c r="C733" s="1" t="s">
        <v>82</v>
      </c>
      <c r="D733" s="1" t="s">
        <v>13</v>
      </c>
      <c r="E733" s="5">
        <v>41904</v>
      </c>
      <c r="F733" s="3" t="s">
        <v>55</v>
      </c>
      <c r="G733" s="1" t="s">
        <v>1218</v>
      </c>
      <c r="H733" s="1">
        <v>800</v>
      </c>
      <c r="I733" s="1">
        <v>648</v>
      </c>
      <c r="J733" s="2">
        <v>0.19</v>
      </c>
      <c r="K733">
        <f t="shared" si="33"/>
        <v>123.12</v>
      </c>
      <c r="L733">
        <f t="shared" si="34"/>
        <v>524.88</v>
      </c>
      <c r="M733" t="str">
        <f t="shared" si="35"/>
        <v>Sep-2014</v>
      </c>
    </row>
    <row r="734" spans="1:13" x14ac:dyDescent="0.3">
      <c r="A734" t="s">
        <v>1219</v>
      </c>
      <c r="B734" s="1" t="s">
        <v>154</v>
      </c>
      <c r="C734" s="1" t="s">
        <v>108</v>
      </c>
      <c r="D734" s="1" t="s">
        <v>19</v>
      </c>
      <c r="E734" s="5">
        <v>42880</v>
      </c>
      <c r="F734" s="3" t="s">
        <v>41</v>
      </c>
      <c r="G734" s="1" t="s">
        <v>1004</v>
      </c>
      <c r="H734" s="1">
        <v>30</v>
      </c>
      <c r="I734" s="1">
        <v>30</v>
      </c>
      <c r="J734" s="2">
        <v>0</v>
      </c>
      <c r="K734">
        <f t="shared" si="33"/>
        <v>0</v>
      </c>
      <c r="L734">
        <f t="shared" si="34"/>
        <v>30</v>
      </c>
      <c r="M734" t="str">
        <f t="shared" si="35"/>
        <v>May-2017</v>
      </c>
    </row>
    <row r="735" spans="1:13" x14ac:dyDescent="0.3">
      <c r="A735" t="s">
        <v>1220</v>
      </c>
      <c r="B735" s="1" t="s">
        <v>114</v>
      </c>
      <c r="C735" s="1" t="s">
        <v>54</v>
      </c>
      <c r="D735" s="1" t="s">
        <v>13</v>
      </c>
      <c r="E735" s="5">
        <v>41716</v>
      </c>
      <c r="F735" s="3" t="s">
        <v>55</v>
      </c>
      <c r="G735" s="1" t="s">
        <v>1221</v>
      </c>
      <c r="H735" s="1">
        <v>800</v>
      </c>
      <c r="I735" s="1">
        <v>488</v>
      </c>
      <c r="J735" s="2">
        <v>0.39</v>
      </c>
      <c r="K735">
        <f t="shared" si="33"/>
        <v>190.32</v>
      </c>
      <c r="L735">
        <f t="shared" si="34"/>
        <v>297.68</v>
      </c>
      <c r="M735" t="str">
        <f t="shared" si="35"/>
        <v>Mar-2014</v>
      </c>
    </row>
    <row r="736" spans="1:13" x14ac:dyDescent="0.3">
      <c r="A736" t="s">
        <v>1222</v>
      </c>
      <c r="B736" s="1" t="s">
        <v>81</v>
      </c>
      <c r="C736" s="1" t="s">
        <v>82</v>
      </c>
      <c r="D736" s="1" t="s">
        <v>13</v>
      </c>
      <c r="E736" s="5">
        <v>42020</v>
      </c>
      <c r="F736" s="3" t="s">
        <v>25</v>
      </c>
      <c r="G736" s="1" t="s">
        <v>953</v>
      </c>
      <c r="H736" s="1">
        <v>700</v>
      </c>
      <c r="I736" s="1">
        <v>546</v>
      </c>
      <c r="J736" s="2">
        <v>0.22</v>
      </c>
      <c r="K736">
        <f t="shared" si="33"/>
        <v>120.12</v>
      </c>
      <c r="L736">
        <f t="shared" si="34"/>
        <v>425.88</v>
      </c>
      <c r="M736" t="str">
        <f t="shared" si="35"/>
        <v>Jan-2015</v>
      </c>
    </row>
    <row r="737" spans="1:13" x14ac:dyDescent="0.3">
      <c r="A737" t="s">
        <v>1223</v>
      </c>
      <c r="B737" s="1" t="s">
        <v>289</v>
      </c>
      <c r="C737" s="1" t="s">
        <v>108</v>
      </c>
      <c r="D737" s="1" t="s">
        <v>19</v>
      </c>
      <c r="E737" s="5">
        <v>42535</v>
      </c>
      <c r="F737" s="3" t="s">
        <v>115</v>
      </c>
      <c r="G737" s="1" t="s">
        <v>500</v>
      </c>
      <c r="H737" s="1">
        <v>250</v>
      </c>
      <c r="I737" s="1">
        <v>248</v>
      </c>
      <c r="J737" s="2">
        <v>8.0000000000000002E-3</v>
      </c>
      <c r="K737">
        <f t="shared" si="33"/>
        <v>1.984</v>
      </c>
      <c r="L737">
        <f t="shared" si="34"/>
        <v>246.01599999999999</v>
      </c>
      <c r="M737" t="str">
        <f t="shared" si="35"/>
        <v>Jun-2016</v>
      </c>
    </row>
    <row r="738" spans="1:13" x14ac:dyDescent="0.3">
      <c r="A738" t="s">
        <v>1224</v>
      </c>
      <c r="B738" s="1" t="s">
        <v>95</v>
      </c>
      <c r="C738" s="1" t="s">
        <v>96</v>
      </c>
      <c r="D738" s="1" t="s">
        <v>13</v>
      </c>
      <c r="E738" s="5">
        <v>42668</v>
      </c>
      <c r="F738" s="3" t="s">
        <v>115</v>
      </c>
      <c r="G738" s="1" t="s">
        <v>769</v>
      </c>
      <c r="H738" s="1">
        <v>250</v>
      </c>
      <c r="I738" s="1">
        <v>243</v>
      </c>
      <c r="J738" s="2">
        <v>2.8000000000000001E-2</v>
      </c>
      <c r="K738">
        <f t="shared" si="33"/>
        <v>6.8040000000000003</v>
      </c>
      <c r="L738">
        <f t="shared" si="34"/>
        <v>236.196</v>
      </c>
      <c r="M738" t="str">
        <f t="shared" si="35"/>
        <v>Oct-2016</v>
      </c>
    </row>
    <row r="739" spans="1:13" x14ac:dyDescent="0.3">
      <c r="A739" t="s">
        <v>1225</v>
      </c>
      <c r="B739" s="1" t="s">
        <v>64</v>
      </c>
      <c r="C739" s="1" t="s">
        <v>65</v>
      </c>
      <c r="D739" s="1" t="s">
        <v>35</v>
      </c>
      <c r="E739" s="5">
        <v>43130</v>
      </c>
      <c r="F739" s="3" t="s">
        <v>36</v>
      </c>
      <c r="G739" s="1" t="s">
        <v>1057</v>
      </c>
      <c r="H739" s="1">
        <v>50</v>
      </c>
      <c r="I739" s="1">
        <v>49</v>
      </c>
      <c r="J739" s="2">
        <v>0.02</v>
      </c>
      <c r="K739">
        <f t="shared" si="33"/>
        <v>0.98</v>
      </c>
      <c r="L739">
        <f t="shared" si="34"/>
        <v>48.02</v>
      </c>
      <c r="M739" t="str">
        <f t="shared" si="35"/>
        <v>Jan-2018</v>
      </c>
    </row>
    <row r="740" spans="1:13" x14ac:dyDescent="0.3">
      <c r="A740" t="s">
        <v>1226</v>
      </c>
      <c r="B740" s="1" t="s">
        <v>289</v>
      </c>
      <c r="C740" s="1" t="s">
        <v>108</v>
      </c>
      <c r="D740" s="1" t="s">
        <v>19</v>
      </c>
      <c r="E740" s="5">
        <v>42916</v>
      </c>
      <c r="F740" s="3" t="s">
        <v>115</v>
      </c>
      <c r="G740" s="1" t="s">
        <v>481</v>
      </c>
      <c r="H740" s="1">
        <v>250</v>
      </c>
      <c r="I740" s="1">
        <v>250</v>
      </c>
      <c r="J740" s="2">
        <v>0</v>
      </c>
      <c r="K740">
        <f t="shared" si="33"/>
        <v>0</v>
      </c>
      <c r="L740">
        <f t="shared" si="34"/>
        <v>250</v>
      </c>
      <c r="M740" t="str">
        <f t="shared" si="35"/>
        <v>Jun-2017</v>
      </c>
    </row>
    <row r="741" spans="1:13" x14ac:dyDescent="0.3">
      <c r="A741" t="s">
        <v>1227</v>
      </c>
      <c r="B741" s="1" t="s">
        <v>28</v>
      </c>
      <c r="C741" s="1" t="s">
        <v>29</v>
      </c>
      <c r="D741" s="1" t="s">
        <v>13</v>
      </c>
      <c r="E741" s="5">
        <v>42754</v>
      </c>
      <c r="F741" s="3" t="s">
        <v>36</v>
      </c>
      <c r="G741" s="1" t="s">
        <v>31</v>
      </c>
      <c r="H741" s="1">
        <v>50</v>
      </c>
      <c r="I741" s="1">
        <v>47</v>
      </c>
      <c r="J741" s="2">
        <v>0.06</v>
      </c>
      <c r="K741">
        <f t="shared" si="33"/>
        <v>2.82</v>
      </c>
      <c r="L741">
        <f t="shared" si="34"/>
        <v>44.18</v>
      </c>
      <c r="M741" t="str">
        <f t="shared" si="35"/>
        <v>Jan-2017</v>
      </c>
    </row>
    <row r="742" spans="1:13" x14ac:dyDescent="0.3">
      <c r="A742" t="s">
        <v>1228</v>
      </c>
      <c r="B742" s="1" t="s">
        <v>131</v>
      </c>
      <c r="C742" s="1" t="s">
        <v>108</v>
      </c>
      <c r="D742" s="1" t="s">
        <v>19</v>
      </c>
      <c r="E742" s="5">
        <v>41785</v>
      </c>
      <c r="F742" s="3" t="s">
        <v>25</v>
      </c>
      <c r="G742" s="1" t="s">
        <v>382</v>
      </c>
      <c r="H742" s="1">
        <v>700</v>
      </c>
      <c r="I742" s="1">
        <v>644</v>
      </c>
      <c r="J742" s="2">
        <v>0.08</v>
      </c>
      <c r="K742">
        <f t="shared" si="33"/>
        <v>51.52</v>
      </c>
      <c r="L742">
        <f t="shared" si="34"/>
        <v>592.48</v>
      </c>
      <c r="M742" t="str">
        <f t="shared" si="35"/>
        <v>May-2014</v>
      </c>
    </row>
    <row r="743" spans="1:13" x14ac:dyDescent="0.3">
      <c r="A743" t="s">
        <v>1229</v>
      </c>
      <c r="B743" s="1" t="s">
        <v>77</v>
      </c>
      <c r="C743" s="1" t="s">
        <v>78</v>
      </c>
      <c r="D743" s="1" t="s">
        <v>35</v>
      </c>
      <c r="E743" s="5">
        <v>43175</v>
      </c>
      <c r="F743" s="3" t="s">
        <v>72</v>
      </c>
      <c r="G743" s="1" t="s">
        <v>548</v>
      </c>
      <c r="H743" s="1">
        <v>500</v>
      </c>
      <c r="I743" s="1">
        <v>495</v>
      </c>
      <c r="J743" s="2">
        <v>0.01</v>
      </c>
      <c r="K743">
        <f t="shared" si="33"/>
        <v>4.95</v>
      </c>
      <c r="L743">
        <f t="shared" si="34"/>
        <v>490.05</v>
      </c>
      <c r="M743" t="str">
        <f t="shared" si="35"/>
        <v>Mar-2018</v>
      </c>
    </row>
    <row r="744" spans="1:13" x14ac:dyDescent="0.3">
      <c r="A744" t="s">
        <v>1230</v>
      </c>
      <c r="B744" s="1" t="s">
        <v>103</v>
      </c>
      <c r="C744" s="1" t="s">
        <v>71</v>
      </c>
      <c r="D744" s="1" t="s">
        <v>35</v>
      </c>
      <c r="E744" s="5">
        <v>42968</v>
      </c>
      <c r="F744" s="3" t="s">
        <v>25</v>
      </c>
      <c r="G744" s="1" t="s">
        <v>191</v>
      </c>
      <c r="H744" s="1">
        <v>700</v>
      </c>
      <c r="I744" s="1">
        <v>644</v>
      </c>
      <c r="J744" s="2">
        <v>0.08</v>
      </c>
      <c r="K744">
        <f t="shared" si="33"/>
        <v>51.52</v>
      </c>
      <c r="L744">
        <f t="shared" si="34"/>
        <v>592.48</v>
      </c>
      <c r="M744" t="str">
        <f t="shared" si="35"/>
        <v>Aug-2017</v>
      </c>
    </row>
    <row r="745" spans="1:13" x14ac:dyDescent="0.3">
      <c r="A745" t="s">
        <v>1231</v>
      </c>
      <c r="B745" s="1" t="s">
        <v>81</v>
      </c>
      <c r="C745" s="1" t="s">
        <v>82</v>
      </c>
      <c r="D745" s="1" t="s">
        <v>13</v>
      </c>
      <c r="E745" s="5">
        <v>42900</v>
      </c>
      <c r="F745" s="3" t="s">
        <v>25</v>
      </c>
      <c r="G745" s="1" t="s">
        <v>1232</v>
      </c>
      <c r="H745" s="1">
        <v>700</v>
      </c>
      <c r="I745" s="1">
        <v>651</v>
      </c>
      <c r="J745" s="2">
        <v>7.0000000000000007E-2</v>
      </c>
      <c r="K745">
        <f t="shared" si="33"/>
        <v>45.570000000000007</v>
      </c>
      <c r="L745">
        <f t="shared" si="34"/>
        <v>605.42999999999995</v>
      </c>
      <c r="M745" t="str">
        <f t="shared" si="35"/>
        <v>Jun-2017</v>
      </c>
    </row>
    <row r="746" spans="1:13" x14ac:dyDescent="0.3">
      <c r="A746" t="s">
        <v>1233</v>
      </c>
      <c r="B746" s="1" t="s">
        <v>77</v>
      </c>
      <c r="C746" s="1" t="s">
        <v>78</v>
      </c>
      <c r="D746" s="1" t="s">
        <v>35</v>
      </c>
      <c r="E746" s="5">
        <v>41787</v>
      </c>
      <c r="F746" s="3" t="s">
        <v>55</v>
      </c>
      <c r="G746" s="1" t="s">
        <v>79</v>
      </c>
      <c r="H746" s="1">
        <v>800</v>
      </c>
      <c r="I746" s="1">
        <v>752</v>
      </c>
      <c r="J746" s="2">
        <v>0.06</v>
      </c>
      <c r="K746">
        <f t="shared" si="33"/>
        <v>45.12</v>
      </c>
      <c r="L746">
        <f t="shared" si="34"/>
        <v>706.88</v>
      </c>
      <c r="M746" t="str">
        <f t="shared" si="35"/>
        <v>May-2014</v>
      </c>
    </row>
    <row r="747" spans="1:13" x14ac:dyDescent="0.3">
      <c r="A747" t="s">
        <v>1234</v>
      </c>
      <c r="B747" s="1" t="s">
        <v>146</v>
      </c>
      <c r="C747" s="1" t="s">
        <v>147</v>
      </c>
      <c r="D747" s="1" t="s">
        <v>13</v>
      </c>
      <c r="E747" s="5">
        <v>42147</v>
      </c>
      <c r="F747" s="3" t="s">
        <v>115</v>
      </c>
      <c r="G747" s="1" t="s">
        <v>1235</v>
      </c>
      <c r="H747" s="1">
        <v>250</v>
      </c>
      <c r="I747" s="1">
        <v>233</v>
      </c>
      <c r="J747" s="2">
        <v>6.8000000000000005E-2</v>
      </c>
      <c r="K747">
        <f t="shared" si="33"/>
        <v>15.844000000000001</v>
      </c>
      <c r="L747">
        <f t="shared" si="34"/>
        <v>217.15600000000001</v>
      </c>
      <c r="M747" t="str">
        <f t="shared" si="35"/>
        <v>May-2015</v>
      </c>
    </row>
    <row r="748" spans="1:13" x14ac:dyDescent="0.3">
      <c r="A748" t="s">
        <v>1236</v>
      </c>
      <c r="B748" s="1" t="s">
        <v>59</v>
      </c>
      <c r="C748" s="1" t="s">
        <v>60</v>
      </c>
      <c r="D748" s="1" t="s">
        <v>13</v>
      </c>
      <c r="E748" s="5">
        <v>42869</v>
      </c>
      <c r="F748" s="3" t="s">
        <v>55</v>
      </c>
      <c r="G748" s="1" t="s">
        <v>312</v>
      </c>
      <c r="H748" s="1">
        <v>800</v>
      </c>
      <c r="I748" s="1">
        <v>480</v>
      </c>
      <c r="J748" s="2">
        <v>0.4</v>
      </c>
      <c r="K748">
        <f t="shared" si="33"/>
        <v>192</v>
      </c>
      <c r="L748">
        <f t="shared" si="34"/>
        <v>288</v>
      </c>
      <c r="M748" t="str">
        <f t="shared" si="35"/>
        <v>May-2017</v>
      </c>
    </row>
    <row r="749" spans="1:13" x14ac:dyDescent="0.3">
      <c r="A749" t="s">
        <v>1237</v>
      </c>
      <c r="B749" s="1" t="s">
        <v>59</v>
      </c>
      <c r="C749" s="1" t="s">
        <v>60</v>
      </c>
      <c r="D749" s="1" t="s">
        <v>13</v>
      </c>
      <c r="E749" s="5">
        <v>42301</v>
      </c>
      <c r="F749" s="3" t="s">
        <v>61</v>
      </c>
      <c r="G749" s="1" t="s">
        <v>1014</v>
      </c>
      <c r="H749" s="1">
        <v>1000</v>
      </c>
      <c r="I749" s="1">
        <v>810</v>
      </c>
      <c r="J749" s="2">
        <v>0.19</v>
      </c>
      <c r="K749">
        <f t="shared" si="33"/>
        <v>153.9</v>
      </c>
      <c r="L749">
        <f t="shared" si="34"/>
        <v>656.1</v>
      </c>
      <c r="M749" t="str">
        <f t="shared" si="35"/>
        <v>Oct-2015</v>
      </c>
    </row>
    <row r="750" spans="1:13" x14ac:dyDescent="0.3">
      <c r="A750" t="s">
        <v>1238</v>
      </c>
      <c r="B750" s="1" t="s">
        <v>224</v>
      </c>
      <c r="C750" s="1" t="s">
        <v>50</v>
      </c>
      <c r="D750" s="1" t="s">
        <v>24</v>
      </c>
      <c r="E750" s="5">
        <v>43342</v>
      </c>
      <c r="F750" s="3" t="s">
        <v>55</v>
      </c>
      <c r="G750" s="1" t="s">
        <v>1239</v>
      </c>
      <c r="H750" s="1">
        <v>800</v>
      </c>
      <c r="I750" s="1">
        <v>552</v>
      </c>
      <c r="J750" s="2">
        <v>0.31</v>
      </c>
      <c r="K750">
        <f t="shared" si="33"/>
        <v>171.12</v>
      </c>
      <c r="L750">
        <f t="shared" si="34"/>
        <v>380.88</v>
      </c>
      <c r="M750" t="str">
        <f t="shared" si="35"/>
        <v>Aug-2018</v>
      </c>
    </row>
    <row r="751" spans="1:13" x14ac:dyDescent="0.3">
      <c r="A751" t="s">
        <v>1240</v>
      </c>
      <c r="B751" s="1" t="s">
        <v>224</v>
      </c>
      <c r="C751" s="1" t="s">
        <v>50</v>
      </c>
      <c r="D751" s="1" t="s">
        <v>24</v>
      </c>
      <c r="E751" s="5">
        <v>41665</v>
      </c>
      <c r="F751" s="3" t="s">
        <v>122</v>
      </c>
      <c r="G751" s="1" t="s">
        <v>774</v>
      </c>
      <c r="H751" s="1">
        <v>50</v>
      </c>
      <c r="I751" s="1">
        <v>48</v>
      </c>
      <c r="J751" s="2">
        <v>0.04</v>
      </c>
      <c r="K751">
        <f t="shared" si="33"/>
        <v>1.92</v>
      </c>
      <c r="L751">
        <f t="shared" si="34"/>
        <v>46.08</v>
      </c>
      <c r="M751" t="str">
        <f t="shared" si="35"/>
        <v>Jan-2014</v>
      </c>
    </row>
    <row r="752" spans="1:13" x14ac:dyDescent="0.3">
      <c r="A752" t="s">
        <v>1241</v>
      </c>
      <c r="B752" s="1" t="s">
        <v>221</v>
      </c>
      <c r="C752" s="1" t="s">
        <v>40</v>
      </c>
      <c r="D752" s="1" t="s">
        <v>35</v>
      </c>
      <c r="E752" s="5">
        <v>42671</v>
      </c>
      <c r="F752" s="3" t="s">
        <v>104</v>
      </c>
      <c r="G752" s="1" t="s">
        <v>1179</v>
      </c>
      <c r="H752" s="1">
        <v>70</v>
      </c>
      <c r="I752" s="1">
        <v>70</v>
      </c>
      <c r="J752" s="2">
        <v>0</v>
      </c>
      <c r="K752">
        <f t="shared" si="33"/>
        <v>0</v>
      </c>
      <c r="L752">
        <f t="shared" si="34"/>
        <v>70</v>
      </c>
      <c r="M752" t="str">
        <f t="shared" si="35"/>
        <v>Oct-2016</v>
      </c>
    </row>
    <row r="753" spans="1:13" x14ac:dyDescent="0.3">
      <c r="A753" t="s">
        <v>1242</v>
      </c>
      <c r="B753" s="1" t="s">
        <v>33</v>
      </c>
      <c r="C753" s="1" t="s">
        <v>34</v>
      </c>
      <c r="D753" s="1" t="s">
        <v>35</v>
      </c>
      <c r="E753" s="5">
        <v>42941</v>
      </c>
      <c r="F753" s="3" t="s">
        <v>61</v>
      </c>
      <c r="G753" s="1" t="s">
        <v>1243</v>
      </c>
      <c r="H753" s="1">
        <v>1000</v>
      </c>
      <c r="I753" s="1">
        <v>930</v>
      </c>
      <c r="J753" s="2">
        <v>7.0000000000000007E-2</v>
      </c>
      <c r="K753">
        <f t="shared" si="33"/>
        <v>65.100000000000009</v>
      </c>
      <c r="L753">
        <f t="shared" si="34"/>
        <v>864.9</v>
      </c>
      <c r="M753" t="str">
        <f t="shared" si="35"/>
        <v>Jul-2017</v>
      </c>
    </row>
    <row r="754" spans="1:13" x14ac:dyDescent="0.3">
      <c r="A754" t="s">
        <v>1244</v>
      </c>
      <c r="B754" s="1" t="s">
        <v>127</v>
      </c>
      <c r="C754" s="1" t="s">
        <v>128</v>
      </c>
      <c r="D754" s="1" t="s">
        <v>13</v>
      </c>
      <c r="E754" s="5">
        <v>43234</v>
      </c>
      <c r="F754" s="3" t="s">
        <v>115</v>
      </c>
      <c r="G754" s="1" t="s">
        <v>920</v>
      </c>
      <c r="H754" s="1">
        <v>250</v>
      </c>
      <c r="I754" s="1">
        <v>250</v>
      </c>
      <c r="J754" s="2">
        <v>0</v>
      </c>
      <c r="K754">
        <f t="shared" si="33"/>
        <v>0</v>
      </c>
      <c r="L754">
        <f t="shared" si="34"/>
        <v>250</v>
      </c>
      <c r="M754" t="str">
        <f t="shared" si="35"/>
        <v>May-2018</v>
      </c>
    </row>
    <row r="755" spans="1:13" x14ac:dyDescent="0.3">
      <c r="A755" t="s">
        <v>1245</v>
      </c>
      <c r="B755" s="1" t="s">
        <v>39</v>
      </c>
      <c r="C755" s="1" t="s">
        <v>40</v>
      </c>
      <c r="D755" s="1" t="s">
        <v>35</v>
      </c>
      <c r="E755" s="5">
        <v>41817</v>
      </c>
      <c r="F755" s="3" t="s">
        <v>25</v>
      </c>
      <c r="G755" s="1" t="s">
        <v>214</v>
      </c>
      <c r="H755" s="1">
        <v>700</v>
      </c>
      <c r="I755" s="1">
        <v>469</v>
      </c>
      <c r="J755" s="2">
        <v>0.33</v>
      </c>
      <c r="K755">
        <f t="shared" si="33"/>
        <v>154.77000000000001</v>
      </c>
      <c r="L755">
        <f t="shared" si="34"/>
        <v>314.23</v>
      </c>
      <c r="M755" t="str">
        <f t="shared" si="35"/>
        <v>Jun-2014</v>
      </c>
    </row>
    <row r="756" spans="1:13" x14ac:dyDescent="0.3">
      <c r="A756" t="s">
        <v>1246</v>
      </c>
      <c r="B756" s="1" t="s">
        <v>324</v>
      </c>
      <c r="C756" s="1" t="s">
        <v>325</v>
      </c>
      <c r="D756" s="1" t="s">
        <v>13</v>
      </c>
      <c r="E756" s="5">
        <v>42656</v>
      </c>
      <c r="F756" s="3" t="s">
        <v>104</v>
      </c>
      <c r="G756" s="1" t="s">
        <v>1247</v>
      </c>
      <c r="H756" s="1">
        <v>70</v>
      </c>
      <c r="I756" s="1">
        <v>69</v>
      </c>
      <c r="J756" s="2">
        <v>1.43E-2</v>
      </c>
      <c r="K756">
        <f t="shared" si="33"/>
        <v>0.98670000000000002</v>
      </c>
      <c r="L756">
        <f t="shared" si="34"/>
        <v>68.013300000000001</v>
      </c>
      <c r="M756" t="str">
        <f t="shared" si="35"/>
        <v>Oct-2016</v>
      </c>
    </row>
    <row r="757" spans="1:13" x14ac:dyDescent="0.3">
      <c r="A757" t="s">
        <v>1248</v>
      </c>
      <c r="B757" s="1" t="s">
        <v>85</v>
      </c>
      <c r="C757" s="1" t="s">
        <v>86</v>
      </c>
      <c r="D757" s="1" t="s">
        <v>13</v>
      </c>
      <c r="E757" s="5">
        <v>42428</v>
      </c>
      <c r="F757" s="3" t="s">
        <v>25</v>
      </c>
      <c r="G757" s="1" t="s">
        <v>1249</v>
      </c>
      <c r="H757" s="1">
        <v>700</v>
      </c>
      <c r="I757" s="1">
        <v>630</v>
      </c>
      <c r="J757" s="2">
        <v>0.1</v>
      </c>
      <c r="K757">
        <f t="shared" si="33"/>
        <v>63</v>
      </c>
      <c r="L757">
        <f t="shared" si="34"/>
        <v>567</v>
      </c>
      <c r="M757" t="str">
        <f t="shared" si="35"/>
        <v>Feb-2016</v>
      </c>
    </row>
    <row r="758" spans="1:13" x14ac:dyDescent="0.3">
      <c r="A758" t="s">
        <v>1250</v>
      </c>
      <c r="B758" s="1" t="s">
        <v>70</v>
      </c>
      <c r="C758" s="1" t="s">
        <v>71</v>
      </c>
      <c r="D758" s="1" t="s">
        <v>35</v>
      </c>
      <c r="E758" s="5">
        <v>42393</v>
      </c>
      <c r="F758" s="3" t="s">
        <v>14</v>
      </c>
      <c r="G758" s="1" t="s">
        <v>73</v>
      </c>
      <c r="H758" s="1">
        <v>80</v>
      </c>
      <c r="I758" s="1">
        <v>78</v>
      </c>
      <c r="J758" s="2">
        <v>2.5000000000000001E-2</v>
      </c>
      <c r="K758">
        <f t="shared" si="33"/>
        <v>1.9500000000000002</v>
      </c>
      <c r="L758">
        <f t="shared" si="34"/>
        <v>76.05</v>
      </c>
      <c r="M758" t="str">
        <f t="shared" si="35"/>
        <v>Jan-2016</v>
      </c>
    </row>
    <row r="759" spans="1:13" x14ac:dyDescent="0.3">
      <c r="A759" t="s">
        <v>1251</v>
      </c>
      <c r="B759" s="1" t="s">
        <v>224</v>
      </c>
      <c r="C759" s="1" t="s">
        <v>50</v>
      </c>
      <c r="D759" s="1" t="s">
        <v>24</v>
      </c>
      <c r="E759" s="5">
        <v>43368</v>
      </c>
      <c r="F759" s="3" t="s">
        <v>36</v>
      </c>
      <c r="G759" s="1" t="s">
        <v>1239</v>
      </c>
      <c r="H759" s="1">
        <v>50</v>
      </c>
      <c r="I759" s="1">
        <v>49</v>
      </c>
      <c r="J759" s="2">
        <v>0.02</v>
      </c>
      <c r="K759">
        <f t="shared" si="33"/>
        <v>0.98</v>
      </c>
      <c r="L759">
        <f t="shared" si="34"/>
        <v>48.02</v>
      </c>
      <c r="M759" t="str">
        <f t="shared" si="35"/>
        <v>Sep-2018</v>
      </c>
    </row>
    <row r="760" spans="1:13" x14ac:dyDescent="0.3">
      <c r="A760" t="s">
        <v>1252</v>
      </c>
      <c r="B760" s="1" t="s">
        <v>205</v>
      </c>
      <c r="C760" s="1" t="s">
        <v>206</v>
      </c>
      <c r="D760" s="1" t="s">
        <v>24</v>
      </c>
      <c r="E760" s="5">
        <v>42642</v>
      </c>
      <c r="F760" s="3" t="s">
        <v>61</v>
      </c>
      <c r="G760" s="1" t="s">
        <v>207</v>
      </c>
      <c r="H760" s="1">
        <v>1000</v>
      </c>
      <c r="I760" s="1">
        <v>750</v>
      </c>
      <c r="J760" s="2">
        <v>0.25</v>
      </c>
      <c r="K760">
        <f t="shared" si="33"/>
        <v>187.5</v>
      </c>
      <c r="L760">
        <f t="shared" si="34"/>
        <v>562.5</v>
      </c>
      <c r="M760" t="str">
        <f t="shared" si="35"/>
        <v>Sep-2016</v>
      </c>
    </row>
    <row r="761" spans="1:13" x14ac:dyDescent="0.3">
      <c r="A761" t="s">
        <v>1253</v>
      </c>
      <c r="B761" s="1" t="s">
        <v>111</v>
      </c>
      <c r="C761" s="1" t="s">
        <v>82</v>
      </c>
      <c r="D761" s="1" t="s">
        <v>13</v>
      </c>
      <c r="E761" s="5">
        <v>42265</v>
      </c>
      <c r="F761" s="3" t="s">
        <v>36</v>
      </c>
      <c r="G761" s="1" t="s">
        <v>112</v>
      </c>
      <c r="H761" s="1">
        <v>50</v>
      </c>
      <c r="I761" s="1">
        <v>37</v>
      </c>
      <c r="J761" s="2">
        <v>0.26</v>
      </c>
      <c r="K761">
        <f t="shared" si="33"/>
        <v>9.620000000000001</v>
      </c>
      <c r="L761">
        <f t="shared" si="34"/>
        <v>27.38</v>
      </c>
      <c r="M761" t="str">
        <f t="shared" si="35"/>
        <v>Sep-2015</v>
      </c>
    </row>
    <row r="762" spans="1:13" x14ac:dyDescent="0.3">
      <c r="A762" t="s">
        <v>1254</v>
      </c>
      <c r="B762" s="1" t="s">
        <v>170</v>
      </c>
      <c r="C762" s="1" t="s">
        <v>171</v>
      </c>
      <c r="D762" s="1" t="s">
        <v>13</v>
      </c>
      <c r="E762" s="5">
        <v>43082</v>
      </c>
      <c r="F762" s="3" t="s">
        <v>41</v>
      </c>
      <c r="G762" s="1" t="s">
        <v>440</v>
      </c>
      <c r="H762" s="1">
        <v>30</v>
      </c>
      <c r="I762" s="1">
        <v>28</v>
      </c>
      <c r="J762" s="2">
        <v>6.6699999999999995E-2</v>
      </c>
      <c r="K762">
        <f t="shared" si="33"/>
        <v>1.8675999999999999</v>
      </c>
      <c r="L762">
        <f t="shared" si="34"/>
        <v>26.132400000000001</v>
      </c>
      <c r="M762" t="str">
        <f t="shared" si="35"/>
        <v>Dec-2017</v>
      </c>
    </row>
    <row r="763" spans="1:13" x14ac:dyDescent="0.3">
      <c r="A763" t="s">
        <v>1255</v>
      </c>
      <c r="B763" s="1" t="s">
        <v>221</v>
      </c>
      <c r="C763" s="1" t="s">
        <v>40</v>
      </c>
      <c r="D763" s="1" t="s">
        <v>35</v>
      </c>
      <c r="E763" s="5">
        <v>43397</v>
      </c>
      <c r="F763" s="3" t="s">
        <v>72</v>
      </c>
      <c r="G763" s="1" t="s">
        <v>245</v>
      </c>
      <c r="H763" s="1">
        <v>500</v>
      </c>
      <c r="I763" s="1">
        <v>500</v>
      </c>
      <c r="J763" s="2">
        <v>0</v>
      </c>
      <c r="K763">
        <f t="shared" si="33"/>
        <v>0</v>
      </c>
      <c r="L763">
        <f t="shared" si="34"/>
        <v>500</v>
      </c>
      <c r="M763" t="str">
        <f t="shared" si="35"/>
        <v>Oct-2018</v>
      </c>
    </row>
    <row r="764" spans="1:13" x14ac:dyDescent="0.3">
      <c r="A764" t="s">
        <v>1256</v>
      </c>
      <c r="B764" s="1" t="s">
        <v>64</v>
      </c>
      <c r="C764" s="1" t="s">
        <v>65</v>
      </c>
      <c r="D764" s="1" t="s">
        <v>35</v>
      </c>
      <c r="E764" s="5">
        <v>43094</v>
      </c>
      <c r="F764" s="3" t="s">
        <v>41</v>
      </c>
      <c r="G764" s="1" t="s">
        <v>872</v>
      </c>
      <c r="H764" s="1">
        <v>30</v>
      </c>
      <c r="I764" s="1">
        <v>29</v>
      </c>
      <c r="J764" s="2">
        <v>3.3300000000000003E-2</v>
      </c>
      <c r="K764">
        <f t="shared" si="33"/>
        <v>0.96570000000000011</v>
      </c>
      <c r="L764">
        <f t="shared" si="34"/>
        <v>28.034299999999998</v>
      </c>
      <c r="M764" t="str">
        <f t="shared" si="35"/>
        <v>Dec-2017</v>
      </c>
    </row>
    <row r="765" spans="1:13" x14ac:dyDescent="0.3">
      <c r="A765" t="s">
        <v>1257</v>
      </c>
      <c r="B765" s="1" t="s">
        <v>182</v>
      </c>
      <c r="C765" s="1" t="s">
        <v>108</v>
      </c>
      <c r="D765" s="1" t="s">
        <v>19</v>
      </c>
      <c r="E765" s="5">
        <v>41872</v>
      </c>
      <c r="F765" s="3" t="s">
        <v>30</v>
      </c>
      <c r="G765" s="1" t="s">
        <v>1258</v>
      </c>
      <c r="H765" s="1">
        <v>150</v>
      </c>
      <c r="I765" s="1">
        <v>110</v>
      </c>
      <c r="J765" s="2">
        <v>0.26669999999999999</v>
      </c>
      <c r="K765">
        <f t="shared" si="33"/>
        <v>29.337</v>
      </c>
      <c r="L765">
        <f t="shared" si="34"/>
        <v>80.662999999999997</v>
      </c>
      <c r="M765" t="str">
        <f t="shared" si="35"/>
        <v>Aug-2014</v>
      </c>
    </row>
    <row r="766" spans="1:13" x14ac:dyDescent="0.3">
      <c r="A766" t="s">
        <v>1259</v>
      </c>
      <c r="B766" s="1" t="s">
        <v>59</v>
      </c>
      <c r="C766" s="1" t="s">
        <v>60</v>
      </c>
      <c r="D766" s="1" t="s">
        <v>13</v>
      </c>
      <c r="E766" s="5">
        <v>42511</v>
      </c>
      <c r="F766" s="3" t="s">
        <v>104</v>
      </c>
      <c r="G766" s="1" t="s">
        <v>614</v>
      </c>
      <c r="H766" s="1">
        <v>70</v>
      </c>
      <c r="I766" s="1">
        <v>50</v>
      </c>
      <c r="J766" s="2">
        <v>0.28570000000000001</v>
      </c>
      <c r="K766">
        <f t="shared" si="33"/>
        <v>14.285</v>
      </c>
      <c r="L766">
        <f t="shared" si="34"/>
        <v>35.715000000000003</v>
      </c>
      <c r="M766" t="str">
        <f t="shared" si="35"/>
        <v>May-2016</v>
      </c>
    </row>
    <row r="767" spans="1:13" x14ac:dyDescent="0.3">
      <c r="A767" t="s">
        <v>1260</v>
      </c>
      <c r="B767" s="1" t="s">
        <v>127</v>
      </c>
      <c r="C767" s="1" t="s">
        <v>128</v>
      </c>
      <c r="D767" s="1" t="s">
        <v>13</v>
      </c>
      <c r="E767" s="5">
        <v>43067</v>
      </c>
      <c r="F767" s="3" t="s">
        <v>55</v>
      </c>
      <c r="G767" s="1" t="s">
        <v>1261</v>
      </c>
      <c r="H767" s="1">
        <v>800</v>
      </c>
      <c r="I767" s="1">
        <v>760</v>
      </c>
      <c r="J767" s="2">
        <v>0.05</v>
      </c>
      <c r="K767">
        <f t="shared" si="33"/>
        <v>38</v>
      </c>
      <c r="L767">
        <f t="shared" si="34"/>
        <v>722</v>
      </c>
      <c r="M767" t="str">
        <f t="shared" si="35"/>
        <v>Nov-2017</v>
      </c>
    </row>
    <row r="768" spans="1:13" x14ac:dyDescent="0.3">
      <c r="A768" t="s">
        <v>1262</v>
      </c>
      <c r="B768" s="1" t="s">
        <v>174</v>
      </c>
      <c r="C768" s="1" t="s">
        <v>175</v>
      </c>
      <c r="D768" s="1" t="s">
        <v>13</v>
      </c>
      <c r="E768" s="5">
        <v>43123</v>
      </c>
      <c r="F768" s="3" t="s">
        <v>104</v>
      </c>
      <c r="G768" s="1" t="s">
        <v>319</v>
      </c>
      <c r="H768" s="1">
        <v>70</v>
      </c>
      <c r="I768" s="1">
        <v>68</v>
      </c>
      <c r="J768" s="2">
        <v>2.86E-2</v>
      </c>
      <c r="K768">
        <f t="shared" si="33"/>
        <v>1.9448000000000001</v>
      </c>
      <c r="L768">
        <f t="shared" si="34"/>
        <v>66.055199999999999</v>
      </c>
      <c r="M768" t="str">
        <f t="shared" si="35"/>
        <v>Jan-2018</v>
      </c>
    </row>
    <row r="769" spans="1:13" x14ac:dyDescent="0.3">
      <c r="A769" t="s">
        <v>1263</v>
      </c>
      <c r="B769" s="1" t="s">
        <v>49</v>
      </c>
      <c r="C769" s="1" t="s">
        <v>50</v>
      </c>
      <c r="D769" s="1" t="s">
        <v>24</v>
      </c>
      <c r="E769" s="5">
        <v>43008</v>
      </c>
      <c r="F769" s="3" t="s">
        <v>61</v>
      </c>
      <c r="G769" s="1" t="s">
        <v>918</v>
      </c>
      <c r="H769" s="1">
        <v>1000</v>
      </c>
      <c r="I769" s="1">
        <v>960</v>
      </c>
      <c r="J769" s="2">
        <v>0.04</v>
      </c>
      <c r="K769">
        <f t="shared" si="33"/>
        <v>38.4</v>
      </c>
      <c r="L769">
        <f t="shared" si="34"/>
        <v>921.6</v>
      </c>
      <c r="M769" t="str">
        <f t="shared" si="35"/>
        <v>Sep-2017</v>
      </c>
    </row>
    <row r="770" spans="1:13" x14ac:dyDescent="0.3">
      <c r="A770" t="s">
        <v>1264</v>
      </c>
      <c r="B770" s="1" t="s">
        <v>114</v>
      </c>
      <c r="C770" s="1" t="s">
        <v>54</v>
      </c>
      <c r="D770" s="1" t="s">
        <v>13</v>
      </c>
      <c r="E770" s="5">
        <v>41967</v>
      </c>
      <c r="F770" s="3" t="s">
        <v>14</v>
      </c>
      <c r="G770" s="1" t="s">
        <v>1221</v>
      </c>
      <c r="H770" s="1">
        <v>80</v>
      </c>
      <c r="I770" s="1">
        <v>80</v>
      </c>
      <c r="J770" s="2">
        <v>0</v>
      </c>
      <c r="K770">
        <f t="shared" si="33"/>
        <v>0</v>
      </c>
      <c r="L770">
        <f t="shared" si="34"/>
        <v>80</v>
      </c>
      <c r="M770" t="str">
        <f t="shared" si="35"/>
        <v>Nov-2014</v>
      </c>
    </row>
    <row r="771" spans="1:13" x14ac:dyDescent="0.3">
      <c r="A771" t="s">
        <v>1265</v>
      </c>
      <c r="B771" s="1" t="s">
        <v>255</v>
      </c>
      <c r="C771" s="1" t="s">
        <v>256</v>
      </c>
      <c r="D771" s="1" t="s">
        <v>13</v>
      </c>
      <c r="E771" s="5">
        <v>43096</v>
      </c>
      <c r="F771" s="3" t="s">
        <v>55</v>
      </c>
      <c r="G771" s="1" t="s">
        <v>1266</v>
      </c>
      <c r="H771" s="1">
        <v>800</v>
      </c>
      <c r="I771" s="1">
        <v>776</v>
      </c>
      <c r="J771" s="2">
        <v>0.03</v>
      </c>
      <c r="K771">
        <f t="shared" si="33"/>
        <v>23.279999999999998</v>
      </c>
      <c r="L771">
        <f t="shared" si="34"/>
        <v>752.72</v>
      </c>
      <c r="M771" t="str">
        <f t="shared" si="35"/>
        <v>Dec-2017</v>
      </c>
    </row>
    <row r="772" spans="1:13" x14ac:dyDescent="0.3">
      <c r="A772" t="s">
        <v>1267</v>
      </c>
      <c r="B772" s="1" t="s">
        <v>134</v>
      </c>
      <c r="C772" s="1" t="s">
        <v>92</v>
      </c>
      <c r="D772" s="1" t="s">
        <v>35</v>
      </c>
      <c r="E772" s="5">
        <v>43178</v>
      </c>
      <c r="F772" s="3" t="s">
        <v>55</v>
      </c>
      <c r="G772" s="1" t="s">
        <v>849</v>
      </c>
      <c r="H772" s="1">
        <v>800</v>
      </c>
      <c r="I772" s="1">
        <v>560</v>
      </c>
      <c r="J772" s="2">
        <v>0.3</v>
      </c>
      <c r="K772">
        <f t="shared" ref="K772:K835" si="36">I772*J772</f>
        <v>168</v>
      </c>
      <c r="L772">
        <f t="shared" ref="L772:L835" si="37">I772-K772</f>
        <v>392</v>
      </c>
      <c r="M772" t="str">
        <f t="shared" ref="M772:M835" si="38">TEXT(E772, "mmm-yyyy")</f>
        <v>Mar-2018</v>
      </c>
    </row>
    <row r="773" spans="1:13" x14ac:dyDescent="0.3">
      <c r="A773" t="s">
        <v>1268</v>
      </c>
      <c r="B773" s="1" t="s">
        <v>114</v>
      </c>
      <c r="C773" s="1" t="s">
        <v>54</v>
      </c>
      <c r="D773" s="1" t="s">
        <v>13</v>
      </c>
      <c r="E773" s="5">
        <v>42885</v>
      </c>
      <c r="F773" s="3" t="s">
        <v>122</v>
      </c>
      <c r="G773" s="1" t="s">
        <v>168</v>
      </c>
      <c r="H773" s="1">
        <v>50</v>
      </c>
      <c r="I773" s="1">
        <v>46</v>
      </c>
      <c r="J773" s="2">
        <v>0.08</v>
      </c>
      <c r="K773">
        <f t="shared" si="36"/>
        <v>3.68</v>
      </c>
      <c r="L773">
        <f t="shared" si="37"/>
        <v>42.32</v>
      </c>
      <c r="M773" t="str">
        <f t="shared" si="38"/>
        <v>May-2017</v>
      </c>
    </row>
    <row r="774" spans="1:13" x14ac:dyDescent="0.3">
      <c r="A774" t="s">
        <v>1269</v>
      </c>
      <c r="B774" s="1" t="s">
        <v>154</v>
      </c>
      <c r="C774" s="1" t="s">
        <v>108</v>
      </c>
      <c r="D774" s="1" t="s">
        <v>19</v>
      </c>
      <c r="E774" s="5">
        <v>43037</v>
      </c>
      <c r="F774" s="3" t="s">
        <v>104</v>
      </c>
      <c r="G774" s="1" t="s">
        <v>737</v>
      </c>
      <c r="H774" s="1">
        <v>70</v>
      </c>
      <c r="I774" s="1">
        <v>57</v>
      </c>
      <c r="J774" s="2">
        <v>0.1857</v>
      </c>
      <c r="K774">
        <f t="shared" si="36"/>
        <v>10.584900000000001</v>
      </c>
      <c r="L774">
        <f t="shared" si="37"/>
        <v>46.415099999999995</v>
      </c>
      <c r="M774" t="str">
        <f t="shared" si="38"/>
        <v>Oct-2017</v>
      </c>
    </row>
    <row r="775" spans="1:13" x14ac:dyDescent="0.3">
      <c r="A775" t="s">
        <v>1270</v>
      </c>
      <c r="B775" s="1" t="s">
        <v>111</v>
      </c>
      <c r="C775" s="1" t="s">
        <v>82</v>
      </c>
      <c r="D775" s="1" t="s">
        <v>13</v>
      </c>
      <c r="E775" s="5">
        <v>43114</v>
      </c>
      <c r="F775" s="3" t="s">
        <v>14</v>
      </c>
      <c r="G775" s="1" t="s">
        <v>456</v>
      </c>
      <c r="H775" s="1">
        <v>80</v>
      </c>
      <c r="I775" s="1">
        <v>78</v>
      </c>
      <c r="J775" s="2">
        <v>2.5000000000000001E-2</v>
      </c>
      <c r="K775">
        <f t="shared" si="36"/>
        <v>1.9500000000000002</v>
      </c>
      <c r="L775">
        <f t="shared" si="37"/>
        <v>76.05</v>
      </c>
      <c r="M775" t="str">
        <f t="shared" si="38"/>
        <v>Jan-2018</v>
      </c>
    </row>
    <row r="776" spans="1:13" x14ac:dyDescent="0.3">
      <c r="A776" t="s">
        <v>1271</v>
      </c>
      <c r="B776" s="1" t="s">
        <v>95</v>
      </c>
      <c r="C776" s="1" t="s">
        <v>96</v>
      </c>
      <c r="D776" s="1" t="s">
        <v>13</v>
      </c>
      <c r="E776" s="5">
        <v>42687</v>
      </c>
      <c r="F776" s="3" t="s">
        <v>14</v>
      </c>
      <c r="G776" s="1" t="s">
        <v>180</v>
      </c>
      <c r="H776" s="1">
        <v>80</v>
      </c>
      <c r="I776" s="1">
        <v>78</v>
      </c>
      <c r="J776" s="2">
        <v>2.5000000000000001E-2</v>
      </c>
      <c r="K776">
        <f t="shared" si="36"/>
        <v>1.9500000000000002</v>
      </c>
      <c r="L776">
        <f t="shared" si="37"/>
        <v>76.05</v>
      </c>
      <c r="M776" t="str">
        <f t="shared" si="38"/>
        <v>Nov-2016</v>
      </c>
    </row>
    <row r="777" spans="1:13" x14ac:dyDescent="0.3">
      <c r="A777" t="s">
        <v>1272</v>
      </c>
      <c r="B777" s="1" t="s">
        <v>187</v>
      </c>
      <c r="C777" s="1" t="s">
        <v>188</v>
      </c>
      <c r="D777" s="1" t="s">
        <v>13</v>
      </c>
      <c r="E777" s="5">
        <v>43398</v>
      </c>
      <c r="F777" s="3" t="s">
        <v>115</v>
      </c>
      <c r="G777" s="1" t="s">
        <v>415</v>
      </c>
      <c r="H777" s="1">
        <v>250</v>
      </c>
      <c r="I777" s="1">
        <v>250</v>
      </c>
      <c r="J777" s="2">
        <v>0</v>
      </c>
      <c r="K777">
        <f t="shared" si="36"/>
        <v>0</v>
      </c>
      <c r="L777">
        <f t="shared" si="37"/>
        <v>250</v>
      </c>
      <c r="M777" t="str">
        <f t="shared" si="38"/>
        <v>Oct-2018</v>
      </c>
    </row>
    <row r="778" spans="1:13" x14ac:dyDescent="0.3">
      <c r="A778" t="s">
        <v>1273</v>
      </c>
      <c r="B778" s="1" t="s">
        <v>131</v>
      </c>
      <c r="C778" s="1" t="s">
        <v>108</v>
      </c>
      <c r="D778" s="1" t="s">
        <v>19</v>
      </c>
      <c r="E778" s="5">
        <v>42564</v>
      </c>
      <c r="F778" s="3" t="s">
        <v>41</v>
      </c>
      <c r="G778" s="1" t="s">
        <v>474</v>
      </c>
      <c r="H778" s="1">
        <v>30</v>
      </c>
      <c r="I778" s="1">
        <v>29</v>
      </c>
      <c r="J778" s="2">
        <v>3.3300000000000003E-2</v>
      </c>
      <c r="K778">
        <f t="shared" si="36"/>
        <v>0.96570000000000011</v>
      </c>
      <c r="L778">
        <f t="shared" si="37"/>
        <v>28.034299999999998</v>
      </c>
      <c r="M778" t="str">
        <f t="shared" si="38"/>
        <v>Jul-2016</v>
      </c>
    </row>
    <row r="779" spans="1:13" x14ac:dyDescent="0.3">
      <c r="A779" t="s">
        <v>1274</v>
      </c>
      <c r="B779" s="1" t="s">
        <v>95</v>
      </c>
      <c r="C779" s="1" t="s">
        <v>96</v>
      </c>
      <c r="D779" s="1" t="s">
        <v>13</v>
      </c>
      <c r="E779" s="5">
        <v>41667</v>
      </c>
      <c r="F779" s="3" t="s">
        <v>122</v>
      </c>
      <c r="G779" s="1" t="s">
        <v>1275</v>
      </c>
      <c r="H779" s="1">
        <v>50</v>
      </c>
      <c r="I779" s="1">
        <v>33</v>
      </c>
      <c r="J779" s="2">
        <v>0.34</v>
      </c>
      <c r="K779">
        <f t="shared" si="36"/>
        <v>11.22</v>
      </c>
      <c r="L779">
        <f t="shared" si="37"/>
        <v>21.78</v>
      </c>
      <c r="M779" t="str">
        <f t="shared" si="38"/>
        <v>Jan-2014</v>
      </c>
    </row>
    <row r="780" spans="1:13" x14ac:dyDescent="0.3">
      <c r="A780" t="s">
        <v>1276</v>
      </c>
      <c r="B780" s="1" t="s">
        <v>174</v>
      </c>
      <c r="C780" s="1" t="s">
        <v>175</v>
      </c>
      <c r="D780" s="1" t="s">
        <v>13</v>
      </c>
      <c r="E780" s="5">
        <v>42839</v>
      </c>
      <c r="F780" s="3" t="s">
        <v>61</v>
      </c>
      <c r="G780" s="1" t="s">
        <v>1277</v>
      </c>
      <c r="H780" s="1">
        <v>1000</v>
      </c>
      <c r="I780" s="1">
        <v>880</v>
      </c>
      <c r="J780" s="2">
        <v>0.12</v>
      </c>
      <c r="K780">
        <f t="shared" si="36"/>
        <v>105.6</v>
      </c>
      <c r="L780">
        <f t="shared" si="37"/>
        <v>774.4</v>
      </c>
      <c r="M780" t="str">
        <f t="shared" si="38"/>
        <v>Apr-2017</v>
      </c>
    </row>
    <row r="781" spans="1:13" x14ac:dyDescent="0.3">
      <c r="A781" t="s">
        <v>1278</v>
      </c>
      <c r="B781" s="1" t="s">
        <v>91</v>
      </c>
      <c r="C781" s="1" t="s">
        <v>92</v>
      </c>
      <c r="D781" s="1" t="s">
        <v>35</v>
      </c>
      <c r="E781" s="5">
        <v>42934</v>
      </c>
      <c r="F781" s="3" t="s">
        <v>46</v>
      </c>
      <c r="G781" s="1" t="s">
        <v>939</v>
      </c>
      <c r="H781" s="1">
        <v>500</v>
      </c>
      <c r="I781" s="1">
        <v>305</v>
      </c>
      <c r="J781" s="2">
        <v>0.39</v>
      </c>
      <c r="K781">
        <f t="shared" si="36"/>
        <v>118.95</v>
      </c>
      <c r="L781">
        <f t="shared" si="37"/>
        <v>186.05</v>
      </c>
      <c r="M781" t="str">
        <f t="shared" si="38"/>
        <v>Jul-2017</v>
      </c>
    </row>
    <row r="782" spans="1:13" x14ac:dyDescent="0.3">
      <c r="A782" t="s">
        <v>1279</v>
      </c>
      <c r="B782" s="1" t="s">
        <v>187</v>
      </c>
      <c r="C782" s="1" t="s">
        <v>188</v>
      </c>
      <c r="D782" s="1" t="s">
        <v>13</v>
      </c>
      <c r="E782" s="5">
        <v>41723</v>
      </c>
      <c r="F782" s="3" t="s">
        <v>25</v>
      </c>
      <c r="G782" s="1" t="s">
        <v>791</v>
      </c>
      <c r="H782" s="1">
        <v>700</v>
      </c>
      <c r="I782" s="1">
        <v>665</v>
      </c>
      <c r="J782" s="2">
        <v>0.05</v>
      </c>
      <c r="K782">
        <f t="shared" si="36"/>
        <v>33.25</v>
      </c>
      <c r="L782">
        <f t="shared" si="37"/>
        <v>631.75</v>
      </c>
      <c r="M782" t="str">
        <f t="shared" si="38"/>
        <v>Mar-2014</v>
      </c>
    </row>
    <row r="783" spans="1:13" x14ac:dyDescent="0.3">
      <c r="A783" t="s">
        <v>1280</v>
      </c>
      <c r="B783" s="1" t="s">
        <v>400</v>
      </c>
      <c r="C783" s="1" t="s">
        <v>401</v>
      </c>
      <c r="D783" s="1" t="s">
        <v>13</v>
      </c>
      <c r="E783" s="5">
        <v>42853</v>
      </c>
      <c r="F783" s="3" t="s">
        <v>46</v>
      </c>
      <c r="G783" s="1" t="s">
        <v>1281</v>
      </c>
      <c r="H783" s="1">
        <v>500</v>
      </c>
      <c r="I783" s="1">
        <v>100</v>
      </c>
      <c r="J783" s="2">
        <v>0.8</v>
      </c>
      <c r="K783">
        <f t="shared" si="36"/>
        <v>80</v>
      </c>
      <c r="L783">
        <f t="shared" si="37"/>
        <v>20</v>
      </c>
      <c r="M783" t="str">
        <f t="shared" si="38"/>
        <v>Apr-2017</v>
      </c>
    </row>
    <row r="784" spans="1:13" x14ac:dyDescent="0.3">
      <c r="A784" t="s">
        <v>1282</v>
      </c>
      <c r="B784" s="1" t="s">
        <v>99</v>
      </c>
      <c r="C784" s="1" t="s">
        <v>100</v>
      </c>
      <c r="D784" s="1" t="s">
        <v>13</v>
      </c>
      <c r="E784" s="5">
        <v>42662</v>
      </c>
      <c r="F784" s="3" t="s">
        <v>72</v>
      </c>
      <c r="G784" s="1" t="s">
        <v>752</v>
      </c>
      <c r="H784" s="1">
        <v>500</v>
      </c>
      <c r="I784" s="1">
        <v>500</v>
      </c>
      <c r="J784" s="2">
        <v>0</v>
      </c>
      <c r="K784">
        <f t="shared" si="36"/>
        <v>0</v>
      </c>
      <c r="L784">
        <f t="shared" si="37"/>
        <v>500</v>
      </c>
      <c r="M784" t="str">
        <f t="shared" si="38"/>
        <v>Oct-2016</v>
      </c>
    </row>
    <row r="785" spans="1:13" x14ac:dyDescent="0.3">
      <c r="A785" t="s">
        <v>1283</v>
      </c>
      <c r="B785" s="1" t="s">
        <v>39</v>
      </c>
      <c r="C785" s="1" t="s">
        <v>40</v>
      </c>
      <c r="D785" s="1" t="s">
        <v>35</v>
      </c>
      <c r="E785" s="5">
        <v>43124</v>
      </c>
      <c r="F785" s="3" t="s">
        <v>14</v>
      </c>
      <c r="G785" s="1" t="s">
        <v>1284</v>
      </c>
      <c r="H785" s="1">
        <v>80</v>
      </c>
      <c r="I785" s="1">
        <v>65</v>
      </c>
      <c r="J785" s="2">
        <v>0.1875</v>
      </c>
      <c r="K785">
        <f t="shared" si="36"/>
        <v>12.1875</v>
      </c>
      <c r="L785">
        <f t="shared" si="37"/>
        <v>52.8125</v>
      </c>
      <c r="M785" t="str">
        <f t="shared" si="38"/>
        <v>Jan-2018</v>
      </c>
    </row>
    <row r="786" spans="1:13" x14ac:dyDescent="0.3">
      <c r="A786" t="s">
        <v>1285</v>
      </c>
      <c r="B786" s="1" t="s">
        <v>157</v>
      </c>
      <c r="C786" s="1" t="s">
        <v>108</v>
      </c>
      <c r="D786" s="1" t="s">
        <v>19</v>
      </c>
      <c r="E786" s="5">
        <v>42303</v>
      </c>
      <c r="F786" s="3" t="s">
        <v>25</v>
      </c>
      <c r="G786" s="1" t="s">
        <v>1286</v>
      </c>
      <c r="H786" s="1">
        <v>700</v>
      </c>
      <c r="I786" s="1">
        <v>651</v>
      </c>
      <c r="J786" s="2">
        <v>7.0000000000000007E-2</v>
      </c>
      <c r="K786">
        <f t="shared" si="36"/>
        <v>45.570000000000007</v>
      </c>
      <c r="L786">
        <f t="shared" si="37"/>
        <v>605.42999999999995</v>
      </c>
      <c r="M786" t="str">
        <f t="shared" si="38"/>
        <v>Oct-2015</v>
      </c>
    </row>
    <row r="787" spans="1:13" x14ac:dyDescent="0.3">
      <c r="A787" t="s">
        <v>1287</v>
      </c>
      <c r="B787" s="1" t="s">
        <v>124</v>
      </c>
      <c r="C787" s="1" t="s">
        <v>40</v>
      </c>
      <c r="D787" s="1" t="s">
        <v>35</v>
      </c>
      <c r="E787" s="5">
        <v>43424</v>
      </c>
      <c r="F787" s="3" t="s">
        <v>30</v>
      </c>
      <c r="G787" s="1" t="s">
        <v>970</v>
      </c>
      <c r="H787" s="1">
        <v>150</v>
      </c>
      <c r="I787" s="1">
        <v>141</v>
      </c>
      <c r="J787" s="2">
        <v>0.06</v>
      </c>
      <c r="K787">
        <f t="shared" si="36"/>
        <v>8.4599999999999991</v>
      </c>
      <c r="L787">
        <f t="shared" si="37"/>
        <v>132.54</v>
      </c>
      <c r="M787" t="str">
        <f t="shared" si="38"/>
        <v>Nov-2018</v>
      </c>
    </row>
    <row r="788" spans="1:13" x14ac:dyDescent="0.3">
      <c r="A788" t="s">
        <v>1288</v>
      </c>
      <c r="B788" s="1" t="s">
        <v>124</v>
      </c>
      <c r="C788" s="1" t="s">
        <v>40</v>
      </c>
      <c r="D788" s="1" t="s">
        <v>35</v>
      </c>
      <c r="E788" s="5">
        <v>43434</v>
      </c>
      <c r="F788" s="3" t="s">
        <v>115</v>
      </c>
      <c r="G788" s="1" t="s">
        <v>863</v>
      </c>
      <c r="H788" s="1">
        <v>250</v>
      </c>
      <c r="I788" s="1">
        <v>240</v>
      </c>
      <c r="J788" s="2">
        <v>0.04</v>
      </c>
      <c r="K788">
        <f t="shared" si="36"/>
        <v>9.6</v>
      </c>
      <c r="L788">
        <f t="shared" si="37"/>
        <v>230.4</v>
      </c>
      <c r="M788" t="str">
        <f t="shared" si="38"/>
        <v>Nov-2018</v>
      </c>
    </row>
    <row r="789" spans="1:13" x14ac:dyDescent="0.3">
      <c r="A789" t="s">
        <v>1289</v>
      </c>
      <c r="B789" s="1" t="s">
        <v>39</v>
      </c>
      <c r="C789" s="1" t="s">
        <v>40</v>
      </c>
      <c r="D789" s="1" t="s">
        <v>35</v>
      </c>
      <c r="E789" s="5">
        <v>43188</v>
      </c>
      <c r="F789" s="3" t="s">
        <v>104</v>
      </c>
      <c r="G789" s="1" t="s">
        <v>1290</v>
      </c>
      <c r="H789" s="1">
        <v>70</v>
      </c>
      <c r="I789" s="1">
        <v>57</v>
      </c>
      <c r="J789" s="2">
        <v>0.1857</v>
      </c>
      <c r="K789">
        <f t="shared" si="36"/>
        <v>10.584900000000001</v>
      </c>
      <c r="L789">
        <f t="shared" si="37"/>
        <v>46.415099999999995</v>
      </c>
      <c r="M789" t="str">
        <f t="shared" si="38"/>
        <v>Mar-2018</v>
      </c>
    </row>
    <row r="790" spans="1:13" x14ac:dyDescent="0.3">
      <c r="A790" t="s">
        <v>1291</v>
      </c>
      <c r="B790" s="1" t="s">
        <v>154</v>
      </c>
      <c r="C790" s="1" t="s">
        <v>108</v>
      </c>
      <c r="D790" s="1" t="s">
        <v>19</v>
      </c>
      <c r="E790" s="5">
        <v>41866</v>
      </c>
      <c r="F790" s="3" t="s">
        <v>72</v>
      </c>
      <c r="G790" s="1" t="s">
        <v>1292</v>
      </c>
      <c r="H790" s="1">
        <v>500</v>
      </c>
      <c r="I790" s="1">
        <v>495</v>
      </c>
      <c r="J790" s="2">
        <v>0.01</v>
      </c>
      <c r="K790">
        <f t="shared" si="36"/>
        <v>4.95</v>
      </c>
      <c r="L790">
        <f t="shared" si="37"/>
        <v>490.05</v>
      </c>
      <c r="M790" t="str">
        <f t="shared" si="38"/>
        <v>Aug-2014</v>
      </c>
    </row>
    <row r="791" spans="1:13" x14ac:dyDescent="0.3">
      <c r="A791" t="s">
        <v>1293</v>
      </c>
      <c r="B791" s="1" t="s">
        <v>118</v>
      </c>
      <c r="C791" s="1" t="s">
        <v>119</v>
      </c>
      <c r="D791" s="1" t="s">
        <v>35</v>
      </c>
      <c r="E791" s="5">
        <v>42932</v>
      </c>
      <c r="F791" s="3" t="s">
        <v>41</v>
      </c>
      <c r="G791" s="1" t="s">
        <v>847</v>
      </c>
      <c r="H791" s="1">
        <v>30</v>
      </c>
      <c r="I791" s="1">
        <v>29</v>
      </c>
      <c r="J791" s="2">
        <v>3.3300000000000003E-2</v>
      </c>
      <c r="K791">
        <f t="shared" si="36"/>
        <v>0.96570000000000011</v>
      </c>
      <c r="L791">
        <f t="shared" si="37"/>
        <v>28.034299999999998</v>
      </c>
      <c r="M791" t="str">
        <f t="shared" si="38"/>
        <v>Jul-2017</v>
      </c>
    </row>
    <row r="792" spans="1:13" x14ac:dyDescent="0.3">
      <c r="A792" t="s">
        <v>1294</v>
      </c>
      <c r="B792" s="1" t="s">
        <v>182</v>
      </c>
      <c r="C792" s="1" t="s">
        <v>108</v>
      </c>
      <c r="D792" s="1" t="s">
        <v>19</v>
      </c>
      <c r="E792" s="5">
        <v>41812</v>
      </c>
      <c r="F792" s="3" t="s">
        <v>25</v>
      </c>
      <c r="G792" s="1" t="s">
        <v>1295</v>
      </c>
      <c r="H792" s="1">
        <v>700</v>
      </c>
      <c r="I792" s="1">
        <v>595</v>
      </c>
      <c r="J792" s="2">
        <v>0.15</v>
      </c>
      <c r="K792">
        <f t="shared" si="36"/>
        <v>89.25</v>
      </c>
      <c r="L792">
        <f t="shared" si="37"/>
        <v>505.75</v>
      </c>
      <c r="M792" t="str">
        <f t="shared" si="38"/>
        <v>Jun-2014</v>
      </c>
    </row>
    <row r="793" spans="1:13" x14ac:dyDescent="0.3">
      <c r="A793" t="s">
        <v>1296</v>
      </c>
      <c r="B793" s="1" t="s">
        <v>150</v>
      </c>
      <c r="C793" s="1" t="s">
        <v>151</v>
      </c>
      <c r="D793" s="1" t="s">
        <v>13</v>
      </c>
      <c r="E793" s="5">
        <v>43452</v>
      </c>
      <c r="F793" s="3" t="s">
        <v>115</v>
      </c>
      <c r="G793" s="1" t="s">
        <v>409</v>
      </c>
      <c r="H793" s="1">
        <v>250</v>
      </c>
      <c r="I793" s="1">
        <v>213</v>
      </c>
      <c r="J793" s="2">
        <v>0.14799999999999999</v>
      </c>
      <c r="K793">
        <f t="shared" si="36"/>
        <v>31.523999999999997</v>
      </c>
      <c r="L793">
        <f t="shared" si="37"/>
        <v>181.476</v>
      </c>
      <c r="M793" t="str">
        <f t="shared" si="38"/>
        <v>Dec-2018</v>
      </c>
    </row>
    <row r="794" spans="1:13" x14ac:dyDescent="0.3">
      <c r="A794" t="s">
        <v>1297</v>
      </c>
      <c r="B794" s="1" t="s">
        <v>70</v>
      </c>
      <c r="C794" s="1" t="s">
        <v>71</v>
      </c>
      <c r="D794" s="1" t="s">
        <v>35</v>
      </c>
      <c r="E794" s="5">
        <v>42053</v>
      </c>
      <c r="F794" s="3" t="s">
        <v>30</v>
      </c>
      <c r="G794" s="1" t="s">
        <v>962</v>
      </c>
      <c r="H794" s="1">
        <v>150</v>
      </c>
      <c r="I794" s="1">
        <v>129</v>
      </c>
      <c r="J794" s="2">
        <v>0.14000000000000001</v>
      </c>
      <c r="K794">
        <f t="shared" si="36"/>
        <v>18.060000000000002</v>
      </c>
      <c r="L794">
        <f t="shared" si="37"/>
        <v>110.94</v>
      </c>
      <c r="M794" t="str">
        <f t="shared" si="38"/>
        <v>Feb-2015</v>
      </c>
    </row>
    <row r="795" spans="1:13" x14ac:dyDescent="0.3">
      <c r="A795" t="s">
        <v>1298</v>
      </c>
      <c r="B795" s="1" t="s">
        <v>118</v>
      </c>
      <c r="C795" s="1" t="s">
        <v>119</v>
      </c>
      <c r="D795" s="1" t="s">
        <v>35</v>
      </c>
      <c r="E795" s="5">
        <v>42137</v>
      </c>
      <c r="F795" s="3" t="s">
        <v>41</v>
      </c>
      <c r="G795" s="1" t="s">
        <v>909</v>
      </c>
      <c r="H795" s="1">
        <v>30</v>
      </c>
      <c r="I795" s="1">
        <v>29</v>
      </c>
      <c r="J795" s="2">
        <v>3.3300000000000003E-2</v>
      </c>
      <c r="K795">
        <f t="shared" si="36"/>
        <v>0.96570000000000011</v>
      </c>
      <c r="L795">
        <f t="shared" si="37"/>
        <v>28.034299999999998</v>
      </c>
      <c r="M795" t="str">
        <f t="shared" si="38"/>
        <v>May-2015</v>
      </c>
    </row>
    <row r="796" spans="1:13" x14ac:dyDescent="0.3">
      <c r="A796" t="s">
        <v>1299</v>
      </c>
      <c r="B796" s="1" t="s">
        <v>11</v>
      </c>
      <c r="C796" s="1" t="s">
        <v>12</v>
      </c>
      <c r="D796" s="1" t="s">
        <v>13</v>
      </c>
      <c r="E796" s="5">
        <v>42459</v>
      </c>
      <c r="F796" s="3" t="s">
        <v>122</v>
      </c>
      <c r="G796" s="1" t="s">
        <v>348</v>
      </c>
      <c r="H796" s="1">
        <v>50</v>
      </c>
      <c r="I796" s="1">
        <v>49</v>
      </c>
      <c r="J796" s="2">
        <v>0.02</v>
      </c>
      <c r="K796">
        <f t="shared" si="36"/>
        <v>0.98</v>
      </c>
      <c r="L796">
        <f t="shared" si="37"/>
        <v>48.02</v>
      </c>
      <c r="M796" t="str">
        <f t="shared" si="38"/>
        <v>Mar-2016</v>
      </c>
    </row>
    <row r="797" spans="1:13" x14ac:dyDescent="0.3">
      <c r="A797" t="s">
        <v>1300</v>
      </c>
      <c r="B797" s="1" t="s">
        <v>146</v>
      </c>
      <c r="C797" s="1" t="s">
        <v>147</v>
      </c>
      <c r="D797" s="1" t="s">
        <v>13</v>
      </c>
      <c r="E797" s="5">
        <v>42936</v>
      </c>
      <c r="F797" s="3" t="s">
        <v>46</v>
      </c>
      <c r="G797" s="1" t="s">
        <v>358</v>
      </c>
      <c r="H797" s="1">
        <v>500</v>
      </c>
      <c r="I797" s="1">
        <v>370</v>
      </c>
      <c r="J797" s="2">
        <v>0.26</v>
      </c>
      <c r="K797">
        <f t="shared" si="36"/>
        <v>96.2</v>
      </c>
      <c r="L797">
        <f t="shared" si="37"/>
        <v>273.8</v>
      </c>
      <c r="M797" t="str">
        <f t="shared" si="38"/>
        <v>Jul-2017</v>
      </c>
    </row>
    <row r="798" spans="1:13" x14ac:dyDescent="0.3">
      <c r="A798" t="s">
        <v>1301</v>
      </c>
      <c r="B798" s="1" t="s">
        <v>17</v>
      </c>
      <c r="C798" s="1" t="s">
        <v>18</v>
      </c>
      <c r="D798" s="1" t="s">
        <v>19</v>
      </c>
      <c r="E798" s="5">
        <v>42076</v>
      </c>
      <c r="F798" s="3" t="s">
        <v>41</v>
      </c>
      <c r="G798" s="1" t="s">
        <v>493</v>
      </c>
      <c r="H798" s="1">
        <v>30</v>
      </c>
      <c r="I798" s="1">
        <v>26</v>
      </c>
      <c r="J798" s="2">
        <v>0.1333</v>
      </c>
      <c r="K798">
        <f t="shared" si="36"/>
        <v>3.4658000000000002</v>
      </c>
      <c r="L798">
        <f t="shared" si="37"/>
        <v>22.534199999999998</v>
      </c>
      <c r="M798" t="str">
        <f t="shared" si="38"/>
        <v>Mar-2015</v>
      </c>
    </row>
    <row r="799" spans="1:13" x14ac:dyDescent="0.3">
      <c r="A799" t="s">
        <v>1302</v>
      </c>
      <c r="B799" s="1" t="s">
        <v>127</v>
      </c>
      <c r="C799" s="1" t="s">
        <v>128</v>
      </c>
      <c r="D799" s="1" t="s">
        <v>13</v>
      </c>
      <c r="E799" s="5">
        <v>43386</v>
      </c>
      <c r="F799" s="3" t="s">
        <v>115</v>
      </c>
      <c r="G799" s="1" t="s">
        <v>385</v>
      </c>
      <c r="H799" s="1">
        <v>250</v>
      </c>
      <c r="I799" s="1">
        <v>243</v>
      </c>
      <c r="J799" s="2">
        <v>2.8000000000000001E-2</v>
      </c>
      <c r="K799">
        <f t="shared" si="36"/>
        <v>6.8040000000000003</v>
      </c>
      <c r="L799">
        <f t="shared" si="37"/>
        <v>236.196</v>
      </c>
      <c r="M799" t="str">
        <f t="shared" si="38"/>
        <v>Oct-2018</v>
      </c>
    </row>
    <row r="800" spans="1:13" x14ac:dyDescent="0.3">
      <c r="A800" t="s">
        <v>1303</v>
      </c>
      <c r="B800" s="1" t="s">
        <v>39</v>
      </c>
      <c r="C800" s="1" t="s">
        <v>40</v>
      </c>
      <c r="D800" s="1" t="s">
        <v>35</v>
      </c>
      <c r="E800" s="5">
        <v>42884</v>
      </c>
      <c r="F800" s="3" t="s">
        <v>61</v>
      </c>
      <c r="G800" s="1" t="s">
        <v>1304</v>
      </c>
      <c r="H800" s="1">
        <v>1000</v>
      </c>
      <c r="I800" s="1">
        <v>700</v>
      </c>
      <c r="J800" s="2">
        <v>0.3</v>
      </c>
      <c r="K800">
        <f t="shared" si="36"/>
        <v>210</v>
      </c>
      <c r="L800">
        <f t="shared" si="37"/>
        <v>490</v>
      </c>
      <c r="M800" t="str">
        <f t="shared" si="38"/>
        <v>May-2017</v>
      </c>
    </row>
    <row r="801" spans="1:13" x14ac:dyDescent="0.3">
      <c r="A801" t="s">
        <v>1305</v>
      </c>
      <c r="B801" s="1" t="s">
        <v>182</v>
      </c>
      <c r="C801" s="1" t="s">
        <v>108</v>
      </c>
      <c r="D801" s="1" t="s">
        <v>19</v>
      </c>
      <c r="E801" s="5">
        <v>41908</v>
      </c>
      <c r="F801" s="3" t="s">
        <v>122</v>
      </c>
      <c r="G801" s="1" t="s">
        <v>673</v>
      </c>
      <c r="H801" s="1">
        <v>50</v>
      </c>
      <c r="I801" s="1">
        <v>43</v>
      </c>
      <c r="J801" s="2">
        <v>0.14000000000000001</v>
      </c>
      <c r="K801">
        <f t="shared" si="36"/>
        <v>6.0200000000000005</v>
      </c>
      <c r="L801">
        <f t="shared" si="37"/>
        <v>36.979999999999997</v>
      </c>
      <c r="M801" t="str">
        <f t="shared" si="38"/>
        <v>Sep-2014</v>
      </c>
    </row>
    <row r="802" spans="1:13" x14ac:dyDescent="0.3">
      <c r="A802" t="s">
        <v>1306</v>
      </c>
      <c r="B802" s="1" t="s">
        <v>227</v>
      </c>
      <c r="C802" s="1" t="s">
        <v>228</v>
      </c>
      <c r="D802" s="1" t="s">
        <v>24</v>
      </c>
      <c r="E802" s="5">
        <v>43428</v>
      </c>
      <c r="F802" s="3" t="s">
        <v>55</v>
      </c>
      <c r="G802" s="1" t="s">
        <v>937</v>
      </c>
      <c r="H802" s="1">
        <v>800</v>
      </c>
      <c r="I802" s="1">
        <v>440</v>
      </c>
      <c r="J802" s="2">
        <v>0.45</v>
      </c>
      <c r="K802">
        <f t="shared" si="36"/>
        <v>198</v>
      </c>
      <c r="L802">
        <f t="shared" si="37"/>
        <v>242</v>
      </c>
      <c r="M802" t="str">
        <f t="shared" si="38"/>
        <v>Nov-2018</v>
      </c>
    </row>
    <row r="803" spans="1:13" x14ac:dyDescent="0.3">
      <c r="A803" t="s">
        <v>1307</v>
      </c>
      <c r="B803" s="1" t="s">
        <v>53</v>
      </c>
      <c r="C803" s="1" t="s">
        <v>54</v>
      </c>
      <c r="D803" s="1" t="s">
        <v>13</v>
      </c>
      <c r="E803" s="5">
        <v>42147</v>
      </c>
      <c r="F803" s="3" t="s">
        <v>14</v>
      </c>
      <c r="G803" s="1" t="s">
        <v>795</v>
      </c>
      <c r="H803" s="1">
        <v>80</v>
      </c>
      <c r="I803" s="1">
        <v>80</v>
      </c>
      <c r="J803" s="2">
        <v>0</v>
      </c>
      <c r="K803">
        <f t="shared" si="36"/>
        <v>0</v>
      </c>
      <c r="L803">
        <f t="shared" si="37"/>
        <v>80</v>
      </c>
      <c r="M803" t="str">
        <f t="shared" si="38"/>
        <v>May-2015</v>
      </c>
    </row>
    <row r="804" spans="1:13" x14ac:dyDescent="0.3">
      <c r="A804" t="s">
        <v>1308</v>
      </c>
      <c r="B804" s="1" t="s">
        <v>131</v>
      </c>
      <c r="C804" s="1" t="s">
        <v>108</v>
      </c>
      <c r="D804" s="1" t="s">
        <v>19</v>
      </c>
      <c r="E804" s="5">
        <v>43022</v>
      </c>
      <c r="F804" s="3" t="s">
        <v>104</v>
      </c>
      <c r="G804" s="1" t="s">
        <v>793</v>
      </c>
      <c r="H804" s="1">
        <v>70</v>
      </c>
      <c r="I804" s="1">
        <v>63</v>
      </c>
      <c r="J804" s="2">
        <v>0.1</v>
      </c>
      <c r="K804">
        <f t="shared" si="36"/>
        <v>6.3000000000000007</v>
      </c>
      <c r="L804">
        <f t="shared" si="37"/>
        <v>56.7</v>
      </c>
      <c r="M804" t="str">
        <f t="shared" si="38"/>
        <v>Oct-2017</v>
      </c>
    </row>
    <row r="805" spans="1:13" x14ac:dyDescent="0.3">
      <c r="A805" t="s">
        <v>1309</v>
      </c>
      <c r="B805" s="1" t="s">
        <v>81</v>
      </c>
      <c r="C805" s="1" t="s">
        <v>82</v>
      </c>
      <c r="D805" s="1" t="s">
        <v>13</v>
      </c>
      <c r="E805" s="5">
        <v>43250</v>
      </c>
      <c r="F805" s="3" t="s">
        <v>25</v>
      </c>
      <c r="G805" s="1" t="s">
        <v>1047</v>
      </c>
      <c r="H805" s="1">
        <v>700</v>
      </c>
      <c r="I805" s="1">
        <v>672</v>
      </c>
      <c r="J805" s="2">
        <v>0.04</v>
      </c>
      <c r="K805">
        <f t="shared" si="36"/>
        <v>26.88</v>
      </c>
      <c r="L805">
        <f t="shared" si="37"/>
        <v>645.12</v>
      </c>
      <c r="M805" t="str">
        <f t="shared" si="38"/>
        <v>May-2018</v>
      </c>
    </row>
    <row r="806" spans="1:13" x14ac:dyDescent="0.3">
      <c r="A806" t="s">
        <v>1310</v>
      </c>
      <c r="B806" s="1" t="s">
        <v>22</v>
      </c>
      <c r="C806" s="1" t="s">
        <v>23</v>
      </c>
      <c r="D806" s="1" t="s">
        <v>24</v>
      </c>
      <c r="E806" s="5">
        <v>42301</v>
      </c>
      <c r="F806" s="3" t="s">
        <v>72</v>
      </c>
      <c r="G806" s="1" t="s">
        <v>144</v>
      </c>
      <c r="H806" s="1">
        <v>500</v>
      </c>
      <c r="I806" s="1">
        <v>490</v>
      </c>
      <c r="J806" s="2">
        <v>0.02</v>
      </c>
      <c r="K806">
        <f t="shared" si="36"/>
        <v>9.8000000000000007</v>
      </c>
      <c r="L806">
        <f t="shared" si="37"/>
        <v>480.2</v>
      </c>
      <c r="M806" t="str">
        <f t="shared" si="38"/>
        <v>Oct-2015</v>
      </c>
    </row>
    <row r="807" spans="1:13" x14ac:dyDescent="0.3">
      <c r="A807" t="s">
        <v>1311</v>
      </c>
      <c r="B807" s="1" t="s">
        <v>127</v>
      </c>
      <c r="C807" s="1" t="s">
        <v>128</v>
      </c>
      <c r="D807" s="1" t="s">
        <v>13</v>
      </c>
      <c r="E807" s="5">
        <v>43126</v>
      </c>
      <c r="F807" s="3" t="s">
        <v>55</v>
      </c>
      <c r="G807" s="1" t="s">
        <v>1261</v>
      </c>
      <c r="H807" s="1">
        <v>800</v>
      </c>
      <c r="I807" s="1">
        <v>592</v>
      </c>
      <c r="J807" s="2">
        <v>0.26</v>
      </c>
      <c r="K807">
        <f t="shared" si="36"/>
        <v>153.92000000000002</v>
      </c>
      <c r="L807">
        <f t="shared" si="37"/>
        <v>438.08</v>
      </c>
      <c r="M807" t="str">
        <f t="shared" si="38"/>
        <v>Jan-2018</v>
      </c>
    </row>
    <row r="808" spans="1:13" x14ac:dyDescent="0.3">
      <c r="A808" t="s">
        <v>1312</v>
      </c>
      <c r="B808" s="1" t="s">
        <v>127</v>
      </c>
      <c r="C808" s="1" t="s">
        <v>128</v>
      </c>
      <c r="D808" s="1" t="s">
        <v>13</v>
      </c>
      <c r="E808" s="5">
        <v>43266</v>
      </c>
      <c r="F808" s="3" t="s">
        <v>36</v>
      </c>
      <c r="G808" s="1" t="s">
        <v>920</v>
      </c>
      <c r="H808" s="1">
        <v>50</v>
      </c>
      <c r="I808" s="1">
        <v>46</v>
      </c>
      <c r="J808" s="2">
        <v>0.08</v>
      </c>
      <c r="K808">
        <f t="shared" si="36"/>
        <v>3.68</v>
      </c>
      <c r="L808">
        <f t="shared" si="37"/>
        <v>42.32</v>
      </c>
      <c r="M808" t="str">
        <f t="shared" si="38"/>
        <v>Jun-2018</v>
      </c>
    </row>
    <row r="809" spans="1:13" x14ac:dyDescent="0.3">
      <c r="A809" t="s">
        <v>1313</v>
      </c>
      <c r="B809" s="1" t="s">
        <v>44</v>
      </c>
      <c r="C809" s="1" t="s">
        <v>45</v>
      </c>
      <c r="D809" s="1" t="s">
        <v>24</v>
      </c>
      <c r="E809" s="5">
        <v>42915</v>
      </c>
      <c r="F809" s="3" t="s">
        <v>122</v>
      </c>
      <c r="G809" s="1" t="s">
        <v>301</v>
      </c>
      <c r="H809" s="1">
        <v>50</v>
      </c>
      <c r="I809" s="1">
        <v>50</v>
      </c>
      <c r="J809" s="2">
        <v>0</v>
      </c>
      <c r="K809">
        <f t="shared" si="36"/>
        <v>0</v>
      </c>
      <c r="L809">
        <f t="shared" si="37"/>
        <v>50</v>
      </c>
      <c r="M809" t="str">
        <f t="shared" si="38"/>
        <v>Jun-2017</v>
      </c>
    </row>
    <row r="810" spans="1:13" x14ac:dyDescent="0.3">
      <c r="A810" t="s">
        <v>1314</v>
      </c>
      <c r="B810" s="1" t="s">
        <v>157</v>
      </c>
      <c r="C810" s="1" t="s">
        <v>108</v>
      </c>
      <c r="D810" s="1" t="s">
        <v>19</v>
      </c>
      <c r="E810" s="5">
        <v>42580</v>
      </c>
      <c r="F810" s="3" t="s">
        <v>122</v>
      </c>
      <c r="G810" s="1" t="s">
        <v>1286</v>
      </c>
      <c r="H810" s="1">
        <v>50</v>
      </c>
      <c r="I810" s="1">
        <v>48</v>
      </c>
      <c r="J810" s="2">
        <v>0.04</v>
      </c>
      <c r="K810">
        <f t="shared" si="36"/>
        <v>1.92</v>
      </c>
      <c r="L810">
        <f t="shared" si="37"/>
        <v>46.08</v>
      </c>
      <c r="M810" t="str">
        <f t="shared" si="38"/>
        <v>Jul-2016</v>
      </c>
    </row>
    <row r="811" spans="1:13" x14ac:dyDescent="0.3">
      <c r="A811" t="s">
        <v>1315</v>
      </c>
      <c r="B811" s="1" t="s">
        <v>33</v>
      </c>
      <c r="C811" s="1" t="s">
        <v>34</v>
      </c>
      <c r="D811" s="1" t="s">
        <v>35</v>
      </c>
      <c r="E811" s="5">
        <v>42509</v>
      </c>
      <c r="F811" s="3" t="s">
        <v>122</v>
      </c>
      <c r="G811" s="1" t="s">
        <v>1243</v>
      </c>
      <c r="H811" s="1">
        <v>50</v>
      </c>
      <c r="I811" s="1">
        <v>47</v>
      </c>
      <c r="J811" s="2">
        <v>0.06</v>
      </c>
      <c r="K811">
        <f t="shared" si="36"/>
        <v>2.82</v>
      </c>
      <c r="L811">
        <f t="shared" si="37"/>
        <v>44.18</v>
      </c>
      <c r="M811" t="str">
        <f t="shared" si="38"/>
        <v>May-2016</v>
      </c>
    </row>
    <row r="812" spans="1:13" x14ac:dyDescent="0.3">
      <c r="A812" t="s">
        <v>1316</v>
      </c>
      <c r="B812" s="1" t="s">
        <v>44</v>
      </c>
      <c r="C812" s="1" t="s">
        <v>45</v>
      </c>
      <c r="D812" s="1" t="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t="0.3">
      <c r="A813" t="s">
        <v>1317</v>
      </c>
      <c r="B813" s="1" t="s">
        <v>146</v>
      </c>
      <c r="C813" s="1" t="s">
        <v>147</v>
      </c>
      <c r="D813" s="1" t="s">
        <v>13</v>
      </c>
      <c r="E813" s="5">
        <v>42305</v>
      </c>
      <c r="F813" s="3" t="s">
        <v>115</v>
      </c>
      <c r="G813" s="1" t="s">
        <v>1318</v>
      </c>
      <c r="H813" s="1">
        <v>250</v>
      </c>
      <c r="I813" s="1">
        <v>243</v>
      </c>
      <c r="J813" s="2">
        <v>2.8000000000000001E-2</v>
      </c>
      <c r="K813">
        <f t="shared" si="36"/>
        <v>6.8040000000000003</v>
      </c>
      <c r="L813">
        <f t="shared" si="37"/>
        <v>236.196</v>
      </c>
      <c r="M813" t="str">
        <f t="shared" si="38"/>
        <v>Oct-2015</v>
      </c>
    </row>
    <row r="814" spans="1:13" x14ac:dyDescent="0.3">
      <c r="A814" t="s">
        <v>1319</v>
      </c>
      <c r="B814" s="1" t="s">
        <v>182</v>
      </c>
      <c r="C814" s="1" t="s">
        <v>108</v>
      </c>
      <c r="D814" s="1" t="s">
        <v>19</v>
      </c>
      <c r="E814" s="5">
        <v>42170</v>
      </c>
      <c r="F814" s="3" t="s">
        <v>72</v>
      </c>
      <c r="G814" s="1" t="s">
        <v>505</v>
      </c>
      <c r="H814" s="1">
        <v>500</v>
      </c>
      <c r="I814" s="1">
        <v>500</v>
      </c>
      <c r="J814" s="2">
        <v>0</v>
      </c>
      <c r="K814">
        <f t="shared" si="36"/>
        <v>0</v>
      </c>
      <c r="L814">
        <f t="shared" si="37"/>
        <v>500</v>
      </c>
      <c r="M814" t="str">
        <f t="shared" si="38"/>
        <v>Jun-2015</v>
      </c>
    </row>
    <row r="815" spans="1:13" x14ac:dyDescent="0.3">
      <c r="A815" t="s">
        <v>1320</v>
      </c>
      <c r="B815" s="1" t="s">
        <v>95</v>
      </c>
      <c r="C815" s="1" t="s">
        <v>96</v>
      </c>
      <c r="D815" s="1" t="s">
        <v>13</v>
      </c>
      <c r="E815" s="5">
        <v>43402</v>
      </c>
      <c r="F815" s="3" t="s">
        <v>72</v>
      </c>
      <c r="G815" s="1" t="s">
        <v>769</v>
      </c>
      <c r="H815" s="1">
        <v>500</v>
      </c>
      <c r="I815" s="1">
        <v>495</v>
      </c>
      <c r="J815" s="2">
        <v>0.01</v>
      </c>
      <c r="K815">
        <f t="shared" si="36"/>
        <v>4.95</v>
      </c>
      <c r="L815">
        <f t="shared" si="37"/>
        <v>490.05</v>
      </c>
      <c r="M815" t="str">
        <f t="shared" si="38"/>
        <v>Oct-2018</v>
      </c>
    </row>
    <row r="816" spans="1:13" x14ac:dyDescent="0.3">
      <c r="A816" t="s">
        <v>1321</v>
      </c>
      <c r="B816" s="1" t="s">
        <v>221</v>
      </c>
      <c r="C816" s="1" t="s">
        <v>40</v>
      </c>
      <c r="D816" s="1" t="s">
        <v>35</v>
      </c>
      <c r="E816" s="5">
        <v>42819</v>
      </c>
      <c r="F816" s="3" t="s">
        <v>55</v>
      </c>
      <c r="G816" s="1" t="s">
        <v>1322</v>
      </c>
      <c r="H816" s="1">
        <v>800</v>
      </c>
      <c r="I816" s="1">
        <v>648</v>
      </c>
      <c r="J816" s="2">
        <v>0.19</v>
      </c>
      <c r="K816">
        <f t="shared" si="36"/>
        <v>123.12</v>
      </c>
      <c r="L816">
        <f t="shared" si="37"/>
        <v>524.88</v>
      </c>
      <c r="M816" t="str">
        <f t="shared" si="38"/>
        <v>Mar-2017</v>
      </c>
    </row>
    <row r="817" spans="1:13" x14ac:dyDescent="0.3">
      <c r="A817" t="s">
        <v>1323</v>
      </c>
      <c r="B817" s="1" t="s">
        <v>227</v>
      </c>
      <c r="C817" s="1" t="s">
        <v>228</v>
      </c>
      <c r="D817" s="1" t="s">
        <v>24</v>
      </c>
      <c r="E817" s="5">
        <v>42912</v>
      </c>
      <c r="F817" s="3" t="s">
        <v>41</v>
      </c>
      <c r="G817" s="1" t="s">
        <v>438</v>
      </c>
      <c r="H817" s="1">
        <v>30</v>
      </c>
      <c r="I817" s="1">
        <v>20</v>
      </c>
      <c r="J817" s="2">
        <v>0.33329999999999999</v>
      </c>
      <c r="K817">
        <f t="shared" si="36"/>
        <v>6.6659999999999995</v>
      </c>
      <c r="L817">
        <f t="shared" si="37"/>
        <v>13.334</v>
      </c>
      <c r="M817" t="str">
        <f t="shared" si="38"/>
        <v>Jun-2017</v>
      </c>
    </row>
    <row r="818" spans="1:13" x14ac:dyDescent="0.3">
      <c r="A818" t="s">
        <v>1324</v>
      </c>
      <c r="B818" s="1" t="s">
        <v>124</v>
      </c>
      <c r="C818" s="1" t="s">
        <v>40</v>
      </c>
      <c r="D818" s="1" t="s">
        <v>35</v>
      </c>
      <c r="E818" s="5">
        <v>41847</v>
      </c>
      <c r="F818" s="3" t="s">
        <v>25</v>
      </c>
      <c r="G818" s="1" t="s">
        <v>1017</v>
      </c>
      <c r="H818" s="1">
        <v>700</v>
      </c>
      <c r="I818" s="1">
        <v>462</v>
      </c>
      <c r="J818" s="2">
        <v>0.34</v>
      </c>
      <c r="K818">
        <f t="shared" si="36"/>
        <v>157.08000000000001</v>
      </c>
      <c r="L818">
        <f t="shared" si="37"/>
        <v>304.91999999999996</v>
      </c>
      <c r="M818" t="str">
        <f t="shared" si="38"/>
        <v>Jul-2014</v>
      </c>
    </row>
    <row r="819" spans="1:13" x14ac:dyDescent="0.3">
      <c r="A819" t="s">
        <v>1325</v>
      </c>
      <c r="B819" s="1" t="s">
        <v>400</v>
      </c>
      <c r="C819" s="1" t="s">
        <v>401</v>
      </c>
      <c r="D819" s="1" t="s">
        <v>13</v>
      </c>
      <c r="E819" s="5">
        <v>42076</v>
      </c>
      <c r="F819" s="3" t="s">
        <v>41</v>
      </c>
      <c r="G819" s="1" t="s">
        <v>856</v>
      </c>
      <c r="H819" s="1">
        <v>30</v>
      </c>
      <c r="I819" s="1">
        <v>29</v>
      </c>
      <c r="J819" s="2">
        <v>3.3300000000000003E-2</v>
      </c>
      <c r="K819">
        <f t="shared" si="36"/>
        <v>0.96570000000000011</v>
      </c>
      <c r="L819">
        <f t="shared" si="37"/>
        <v>28.034299999999998</v>
      </c>
      <c r="M819" t="str">
        <f t="shared" si="38"/>
        <v>Mar-2015</v>
      </c>
    </row>
    <row r="820" spans="1:13" x14ac:dyDescent="0.3">
      <c r="A820" t="s">
        <v>1326</v>
      </c>
      <c r="B820" s="1" t="s">
        <v>127</v>
      </c>
      <c r="C820" s="1" t="s">
        <v>128</v>
      </c>
      <c r="D820" s="1" t="s">
        <v>13</v>
      </c>
      <c r="E820" s="5">
        <v>41989</v>
      </c>
      <c r="F820" s="3" t="s">
        <v>104</v>
      </c>
      <c r="G820" s="1" t="s">
        <v>920</v>
      </c>
      <c r="H820" s="1">
        <v>70</v>
      </c>
      <c r="I820" s="1">
        <v>66</v>
      </c>
      <c r="J820" s="2">
        <v>5.7099999999999998E-2</v>
      </c>
      <c r="K820">
        <f t="shared" si="36"/>
        <v>3.7685999999999997</v>
      </c>
      <c r="L820">
        <f t="shared" si="37"/>
        <v>62.231400000000001</v>
      </c>
      <c r="M820" t="str">
        <f t="shared" si="38"/>
        <v>Dec-2014</v>
      </c>
    </row>
    <row r="821" spans="1:13" x14ac:dyDescent="0.3">
      <c r="A821" t="s">
        <v>1327</v>
      </c>
      <c r="B821" s="1" t="s">
        <v>400</v>
      </c>
      <c r="C821" s="1" t="s">
        <v>401</v>
      </c>
      <c r="D821" s="1" t="s">
        <v>13</v>
      </c>
      <c r="E821" s="5">
        <v>43063</v>
      </c>
      <c r="F821" s="3" t="s">
        <v>61</v>
      </c>
      <c r="G821" s="1" t="s">
        <v>693</v>
      </c>
      <c r="H821" s="1">
        <v>1000</v>
      </c>
      <c r="I821" s="1">
        <v>690</v>
      </c>
      <c r="J821" s="2">
        <v>0.31</v>
      </c>
      <c r="K821">
        <f t="shared" si="36"/>
        <v>213.9</v>
      </c>
      <c r="L821">
        <f t="shared" si="37"/>
        <v>476.1</v>
      </c>
      <c r="M821" t="str">
        <f t="shared" si="38"/>
        <v>Nov-2017</v>
      </c>
    </row>
    <row r="822" spans="1:13" x14ac:dyDescent="0.3">
      <c r="A822" t="s">
        <v>1328</v>
      </c>
      <c r="B822" s="1" t="s">
        <v>224</v>
      </c>
      <c r="C822" s="1" t="s">
        <v>50</v>
      </c>
      <c r="D822" s="1" t="s">
        <v>24</v>
      </c>
      <c r="E822" s="5">
        <v>42364</v>
      </c>
      <c r="F822" s="3" t="s">
        <v>104</v>
      </c>
      <c r="G822" s="1" t="s">
        <v>225</v>
      </c>
      <c r="H822" s="1">
        <v>70</v>
      </c>
      <c r="I822" s="1">
        <v>69</v>
      </c>
      <c r="J822" s="2">
        <v>1.43E-2</v>
      </c>
      <c r="K822">
        <f t="shared" si="36"/>
        <v>0.98670000000000002</v>
      </c>
      <c r="L822">
        <f t="shared" si="37"/>
        <v>68.013300000000001</v>
      </c>
      <c r="M822" t="str">
        <f t="shared" si="38"/>
        <v>Dec-2015</v>
      </c>
    </row>
    <row r="823" spans="1:13" x14ac:dyDescent="0.3">
      <c r="A823" t="s">
        <v>1329</v>
      </c>
      <c r="B823" s="1" t="s">
        <v>170</v>
      </c>
      <c r="C823" s="1" t="s">
        <v>171</v>
      </c>
      <c r="D823" s="1" t="s">
        <v>13</v>
      </c>
      <c r="E823" s="5">
        <v>42425</v>
      </c>
      <c r="F823" s="3" t="s">
        <v>41</v>
      </c>
      <c r="G823" s="1" t="s">
        <v>172</v>
      </c>
      <c r="H823" s="1">
        <v>30</v>
      </c>
      <c r="I823" s="1">
        <v>27</v>
      </c>
      <c r="J823" s="2">
        <v>0.1</v>
      </c>
      <c r="K823">
        <f t="shared" si="36"/>
        <v>2.7</v>
      </c>
      <c r="L823">
        <f t="shared" si="37"/>
        <v>24.3</v>
      </c>
      <c r="M823" t="str">
        <f t="shared" si="38"/>
        <v>Feb-2016</v>
      </c>
    </row>
    <row r="824" spans="1:13" x14ac:dyDescent="0.3">
      <c r="A824" t="s">
        <v>1330</v>
      </c>
      <c r="B824" s="1" t="s">
        <v>221</v>
      </c>
      <c r="C824" s="1" t="s">
        <v>40</v>
      </c>
      <c r="D824" s="1" t="s">
        <v>35</v>
      </c>
      <c r="E824" s="5">
        <v>42172</v>
      </c>
      <c r="F824" s="3" t="s">
        <v>115</v>
      </c>
      <c r="G824" s="1" t="s">
        <v>260</v>
      </c>
      <c r="H824" s="1">
        <v>250</v>
      </c>
      <c r="I824" s="1">
        <v>225</v>
      </c>
      <c r="J824" s="2">
        <v>0.1</v>
      </c>
      <c r="K824">
        <f t="shared" si="36"/>
        <v>22.5</v>
      </c>
      <c r="L824">
        <f t="shared" si="37"/>
        <v>202.5</v>
      </c>
      <c r="M824" t="str">
        <f t="shared" si="38"/>
        <v>Jun-2015</v>
      </c>
    </row>
    <row r="825" spans="1:13" x14ac:dyDescent="0.3">
      <c r="A825" t="s">
        <v>1331</v>
      </c>
      <c r="B825" s="1" t="s">
        <v>227</v>
      </c>
      <c r="C825" s="1" t="s">
        <v>228</v>
      </c>
      <c r="D825" s="1" t="s">
        <v>24</v>
      </c>
      <c r="E825" s="5">
        <v>41907</v>
      </c>
      <c r="F825" s="3" t="s">
        <v>72</v>
      </c>
      <c r="G825" s="1" t="s">
        <v>870</v>
      </c>
      <c r="H825" s="1">
        <v>500</v>
      </c>
      <c r="I825" s="1">
        <v>500</v>
      </c>
      <c r="J825" s="2">
        <v>0</v>
      </c>
      <c r="K825">
        <f t="shared" si="36"/>
        <v>0</v>
      </c>
      <c r="L825">
        <f t="shared" si="37"/>
        <v>500</v>
      </c>
      <c r="M825" t="str">
        <f t="shared" si="38"/>
        <v>Sep-2014</v>
      </c>
    </row>
    <row r="826" spans="1:13" x14ac:dyDescent="0.3">
      <c r="A826" t="s">
        <v>1332</v>
      </c>
      <c r="B826" s="1" t="s">
        <v>111</v>
      </c>
      <c r="C826" s="1" t="s">
        <v>82</v>
      </c>
      <c r="D826" s="1" t="s">
        <v>13</v>
      </c>
      <c r="E826" s="5">
        <v>42171</v>
      </c>
      <c r="F826" s="3" t="s">
        <v>122</v>
      </c>
      <c r="G826" s="1" t="s">
        <v>456</v>
      </c>
      <c r="H826" s="1">
        <v>50</v>
      </c>
      <c r="I826" s="1">
        <v>45</v>
      </c>
      <c r="J826" s="2">
        <v>0.1</v>
      </c>
      <c r="K826">
        <f t="shared" si="36"/>
        <v>4.5</v>
      </c>
      <c r="L826">
        <f t="shared" si="37"/>
        <v>40.5</v>
      </c>
      <c r="M826" t="str">
        <f t="shared" si="38"/>
        <v>Jun-2015</v>
      </c>
    </row>
    <row r="827" spans="1:13" x14ac:dyDescent="0.3">
      <c r="A827" t="s">
        <v>1333</v>
      </c>
      <c r="B827" s="1" t="s">
        <v>146</v>
      </c>
      <c r="C827" s="1" t="s">
        <v>147</v>
      </c>
      <c r="D827" s="1" t="s">
        <v>13</v>
      </c>
      <c r="E827" s="5">
        <v>42448</v>
      </c>
      <c r="F827" s="3" t="s">
        <v>30</v>
      </c>
      <c r="G827" s="1" t="s">
        <v>1334</v>
      </c>
      <c r="H827" s="1">
        <v>150</v>
      </c>
      <c r="I827" s="1">
        <v>137</v>
      </c>
      <c r="J827" s="2">
        <v>8.6699999999999999E-2</v>
      </c>
      <c r="K827">
        <f t="shared" si="36"/>
        <v>11.8779</v>
      </c>
      <c r="L827">
        <f t="shared" si="37"/>
        <v>125.1221</v>
      </c>
      <c r="M827" t="str">
        <f t="shared" si="38"/>
        <v>Mar-2016</v>
      </c>
    </row>
    <row r="828" spans="1:13" x14ac:dyDescent="0.3">
      <c r="A828" t="s">
        <v>1335</v>
      </c>
      <c r="B828" s="1" t="s">
        <v>28</v>
      </c>
      <c r="C828" s="1" t="s">
        <v>29</v>
      </c>
      <c r="D828" s="1" t="s">
        <v>13</v>
      </c>
      <c r="E828" s="5">
        <v>41970</v>
      </c>
      <c r="F828" s="3" t="s">
        <v>46</v>
      </c>
      <c r="G828" s="1" t="s">
        <v>249</v>
      </c>
      <c r="H828" s="1">
        <v>500</v>
      </c>
      <c r="I828" s="1">
        <v>455</v>
      </c>
      <c r="J828" s="2">
        <v>0.09</v>
      </c>
      <c r="K828">
        <f t="shared" si="36"/>
        <v>40.949999999999996</v>
      </c>
      <c r="L828">
        <f t="shared" si="37"/>
        <v>414.05</v>
      </c>
      <c r="M828" t="str">
        <f t="shared" si="38"/>
        <v>Nov-2014</v>
      </c>
    </row>
    <row r="829" spans="1:13" x14ac:dyDescent="0.3">
      <c r="A829" t="s">
        <v>1336</v>
      </c>
      <c r="B829" s="1" t="s">
        <v>114</v>
      </c>
      <c r="C829" s="1" t="s">
        <v>54</v>
      </c>
      <c r="D829" s="1" t="s">
        <v>13</v>
      </c>
      <c r="E829" s="5">
        <v>42022</v>
      </c>
      <c r="F829" s="3" t="s">
        <v>72</v>
      </c>
      <c r="G829" s="1" t="s">
        <v>168</v>
      </c>
      <c r="H829" s="1">
        <v>500</v>
      </c>
      <c r="I829" s="1">
        <v>500</v>
      </c>
      <c r="J829" s="2">
        <v>0</v>
      </c>
      <c r="K829">
        <f t="shared" si="36"/>
        <v>0</v>
      </c>
      <c r="L829">
        <f t="shared" si="37"/>
        <v>500</v>
      </c>
      <c r="M829" t="str">
        <f t="shared" si="38"/>
        <v>Jan-2015</v>
      </c>
    </row>
    <row r="830" spans="1:13" x14ac:dyDescent="0.3">
      <c r="A830" t="s">
        <v>1337</v>
      </c>
      <c r="B830" s="1" t="s">
        <v>134</v>
      </c>
      <c r="C830" s="1" t="s">
        <v>92</v>
      </c>
      <c r="D830" s="1" t="s">
        <v>35</v>
      </c>
      <c r="E830" s="5">
        <v>42994</v>
      </c>
      <c r="F830" s="3" t="s">
        <v>25</v>
      </c>
      <c r="G830" s="1" t="s">
        <v>702</v>
      </c>
      <c r="H830" s="1">
        <v>700</v>
      </c>
      <c r="I830" s="1">
        <v>644</v>
      </c>
      <c r="J830" s="2">
        <v>0.08</v>
      </c>
      <c r="K830">
        <f t="shared" si="36"/>
        <v>51.52</v>
      </c>
      <c r="L830">
        <f t="shared" si="37"/>
        <v>592.48</v>
      </c>
      <c r="M830" t="str">
        <f t="shared" si="38"/>
        <v>Sep-2017</v>
      </c>
    </row>
    <row r="831" spans="1:13" x14ac:dyDescent="0.3">
      <c r="A831" t="s">
        <v>1338</v>
      </c>
      <c r="B831" s="1" t="s">
        <v>124</v>
      </c>
      <c r="C831" s="1" t="s">
        <v>40</v>
      </c>
      <c r="D831" s="1" t="s">
        <v>35</v>
      </c>
      <c r="E831" s="5">
        <v>42698</v>
      </c>
      <c r="F831" s="3" t="s">
        <v>30</v>
      </c>
      <c r="G831" s="1" t="s">
        <v>863</v>
      </c>
      <c r="H831" s="1">
        <v>150</v>
      </c>
      <c r="I831" s="1">
        <v>123</v>
      </c>
      <c r="J831" s="2">
        <v>0.18</v>
      </c>
      <c r="K831">
        <f t="shared" si="36"/>
        <v>22.14</v>
      </c>
      <c r="L831">
        <f t="shared" si="37"/>
        <v>100.86</v>
      </c>
      <c r="M831" t="str">
        <f t="shared" si="38"/>
        <v>Nov-2016</v>
      </c>
    </row>
    <row r="832" spans="1:13" x14ac:dyDescent="0.3">
      <c r="A832" t="s">
        <v>1339</v>
      </c>
      <c r="B832" s="1" t="s">
        <v>11</v>
      </c>
      <c r="C832" s="1" t="s">
        <v>12</v>
      </c>
      <c r="D832" s="1" t="s">
        <v>13</v>
      </c>
      <c r="E832" s="5">
        <v>43373</v>
      </c>
      <c r="F832" s="3" t="s">
        <v>46</v>
      </c>
      <c r="G832" s="1" t="s">
        <v>193</v>
      </c>
      <c r="H832" s="1">
        <v>500</v>
      </c>
      <c r="I832" s="1">
        <v>475</v>
      </c>
      <c r="J832" s="2">
        <v>0.05</v>
      </c>
      <c r="K832">
        <f t="shared" si="36"/>
        <v>23.75</v>
      </c>
      <c r="L832">
        <f t="shared" si="37"/>
        <v>451.25</v>
      </c>
      <c r="M832" t="str">
        <f t="shared" si="38"/>
        <v>Sep-2018</v>
      </c>
    </row>
    <row r="833" spans="1:13" x14ac:dyDescent="0.3">
      <c r="A833" t="s">
        <v>1340</v>
      </c>
      <c r="B833" s="1" t="s">
        <v>255</v>
      </c>
      <c r="C833" s="1" t="s">
        <v>256</v>
      </c>
      <c r="D833" s="1" t="s">
        <v>13</v>
      </c>
      <c r="E833" s="5">
        <v>42418</v>
      </c>
      <c r="F833" s="3" t="s">
        <v>61</v>
      </c>
      <c r="G833" s="1" t="s">
        <v>1341</v>
      </c>
      <c r="H833" s="1">
        <v>1000</v>
      </c>
      <c r="I833" s="1">
        <v>750</v>
      </c>
      <c r="J833" s="2">
        <v>0.25</v>
      </c>
      <c r="K833">
        <f t="shared" si="36"/>
        <v>187.5</v>
      </c>
      <c r="L833">
        <f t="shared" si="37"/>
        <v>562.5</v>
      </c>
      <c r="M833" t="str">
        <f t="shared" si="38"/>
        <v>Feb-2016</v>
      </c>
    </row>
    <row r="834" spans="1:13" x14ac:dyDescent="0.3">
      <c r="A834" t="s">
        <v>1342</v>
      </c>
      <c r="B834" s="1" t="s">
        <v>91</v>
      </c>
      <c r="C834" s="1" t="s">
        <v>92</v>
      </c>
      <c r="D834" s="1" t="s">
        <v>35</v>
      </c>
      <c r="E834" s="5">
        <v>42120</v>
      </c>
      <c r="F834" s="3" t="s">
        <v>30</v>
      </c>
      <c r="G834" s="1" t="s">
        <v>1343</v>
      </c>
      <c r="H834" s="1">
        <v>150</v>
      </c>
      <c r="I834" s="1">
        <v>150</v>
      </c>
      <c r="J834" s="2">
        <v>0</v>
      </c>
      <c r="K834">
        <f t="shared" si="36"/>
        <v>0</v>
      </c>
      <c r="L834">
        <f t="shared" si="37"/>
        <v>150</v>
      </c>
      <c r="M834" t="str">
        <f t="shared" si="38"/>
        <v>Apr-2015</v>
      </c>
    </row>
    <row r="835" spans="1:13" x14ac:dyDescent="0.3">
      <c r="A835" t="s">
        <v>1344</v>
      </c>
      <c r="B835" s="1" t="s">
        <v>255</v>
      </c>
      <c r="C835" s="1" t="s">
        <v>256</v>
      </c>
      <c r="D835" s="1" t="s">
        <v>13</v>
      </c>
      <c r="E835" s="5">
        <v>43126</v>
      </c>
      <c r="F835" s="3" t="s">
        <v>104</v>
      </c>
      <c r="G835" s="1" t="s">
        <v>1345</v>
      </c>
      <c r="H835" s="1">
        <v>70</v>
      </c>
      <c r="I835" s="1">
        <v>63</v>
      </c>
      <c r="J835" s="2">
        <v>0.1</v>
      </c>
      <c r="K835">
        <f t="shared" si="36"/>
        <v>6.3000000000000007</v>
      </c>
      <c r="L835">
        <f t="shared" si="37"/>
        <v>56.7</v>
      </c>
      <c r="M835" t="str">
        <f t="shared" si="38"/>
        <v>Jan-2018</v>
      </c>
    </row>
    <row r="836" spans="1:13" x14ac:dyDescent="0.3">
      <c r="A836" t="s">
        <v>1346</v>
      </c>
      <c r="B836" s="1" t="s">
        <v>95</v>
      </c>
      <c r="C836" s="1" t="s">
        <v>96</v>
      </c>
      <c r="D836" s="1" t="s">
        <v>13</v>
      </c>
      <c r="E836" s="5">
        <v>42488</v>
      </c>
      <c r="F836" s="3" t="s">
        <v>104</v>
      </c>
      <c r="G836" s="1" t="s">
        <v>460</v>
      </c>
      <c r="H836" s="1">
        <v>70</v>
      </c>
      <c r="I836" s="1">
        <v>57</v>
      </c>
      <c r="J836" s="2">
        <v>0.1857</v>
      </c>
      <c r="K836">
        <f t="shared" ref="K836:K899" si="39">I836*J836</f>
        <v>10.584900000000001</v>
      </c>
      <c r="L836">
        <f t="shared" ref="L836:L899" si="40">I836-K836</f>
        <v>46.415099999999995</v>
      </c>
      <c r="M836" t="str">
        <f t="shared" ref="M836:M899" si="41">TEXT(E836, "mmm-yyyy")</f>
        <v>Apr-2016</v>
      </c>
    </row>
    <row r="837" spans="1:13" x14ac:dyDescent="0.3">
      <c r="A837" t="s">
        <v>1347</v>
      </c>
      <c r="B837" s="1" t="s">
        <v>146</v>
      </c>
      <c r="C837" s="1" t="s">
        <v>147</v>
      </c>
      <c r="D837" s="1" t="s">
        <v>13</v>
      </c>
      <c r="E837" s="5">
        <v>42077</v>
      </c>
      <c r="F837" s="3" t="s">
        <v>30</v>
      </c>
      <c r="G837" s="1" t="s">
        <v>1348</v>
      </c>
      <c r="H837" s="1">
        <v>150</v>
      </c>
      <c r="I837" s="1">
        <v>143</v>
      </c>
      <c r="J837" s="2">
        <v>4.6699999999999998E-2</v>
      </c>
      <c r="K837">
        <f t="shared" si="39"/>
        <v>6.6780999999999997</v>
      </c>
      <c r="L837">
        <f t="shared" si="40"/>
        <v>136.3219</v>
      </c>
      <c r="M837" t="str">
        <f t="shared" si="41"/>
        <v>Mar-2015</v>
      </c>
    </row>
    <row r="838" spans="1:13" x14ac:dyDescent="0.3">
      <c r="A838" t="s">
        <v>1349</v>
      </c>
      <c r="B838" s="1" t="s">
        <v>17</v>
      </c>
      <c r="C838" s="1" t="s">
        <v>18</v>
      </c>
      <c r="D838" s="1" t="s">
        <v>19</v>
      </c>
      <c r="E838" s="5">
        <v>42170</v>
      </c>
      <c r="F838" s="3" t="s">
        <v>41</v>
      </c>
      <c r="G838" s="1" t="s">
        <v>89</v>
      </c>
      <c r="H838" s="1">
        <v>30</v>
      </c>
      <c r="I838" s="1">
        <v>27</v>
      </c>
      <c r="J838" s="2">
        <v>0.1</v>
      </c>
      <c r="K838">
        <f t="shared" si="39"/>
        <v>2.7</v>
      </c>
      <c r="L838">
        <f t="shared" si="40"/>
        <v>24.3</v>
      </c>
      <c r="M838" t="str">
        <f t="shared" si="41"/>
        <v>Jun-2015</v>
      </c>
    </row>
    <row r="839" spans="1:13" x14ac:dyDescent="0.3">
      <c r="A839" t="s">
        <v>1350</v>
      </c>
      <c r="B839" s="1" t="s">
        <v>150</v>
      </c>
      <c r="C839" s="1" t="s">
        <v>151</v>
      </c>
      <c r="D839" s="1" t="s">
        <v>13</v>
      </c>
      <c r="E839" s="5">
        <v>42539</v>
      </c>
      <c r="F839" s="3" t="s">
        <v>55</v>
      </c>
      <c r="G839" s="1" t="s">
        <v>1351</v>
      </c>
      <c r="H839" s="1">
        <v>800</v>
      </c>
      <c r="I839" s="1">
        <v>648</v>
      </c>
      <c r="J839" s="2">
        <v>0.19</v>
      </c>
      <c r="K839">
        <f t="shared" si="39"/>
        <v>123.12</v>
      </c>
      <c r="L839">
        <f t="shared" si="40"/>
        <v>524.88</v>
      </c>
      <c r="M839" t="str">
        <f t="shared" si="41"/>
        <v>Jun-2016</v>
      </c>
    </row>
    <row r="840" spans="1:13" x14ac:dyDescent="0.3">
      <c r="A840" t="s">
        <v>1352</v>
      </c>
      <c r="B840" s="1" t="s">
        <v>187</v>
      </c>
      <c r="C840" s="1" t="s">
        <v>188</v>
      </c>
      <c r="D840" s="1" t="s">
        <v>13</v>
      </c>
      <c r="E840" s="5">
        <v>42969</v>
      </c>
      <c r="F840" s="3" t="s">
        <v>61</v>
      </c>
      <c r="G840" s="1" t="s">
        <v>797</v>
      </c>
      <c r="H840" s="1">
        <v>1000</v>
      </c>
      <c r="I840" s="1">
        <v>970</v>
      </c>
      <c r="J840" s="2">
        <v>0.03</v>
      </c>
      <c r="K840">
        <f t="shared" si="39"/>
        <v>29.099999999999998</v>
      </c>
      <c r="L840">
        <f t="shared" si="40"/>
        <v>940.9</v>
      </c>
      <c r="M840" t="str">
        <f t="shared" si="41"/>
        <v>Aug-2017</v>
      </c>
    </row>
    <row r="841" spans="1:13" x14ac:dyDescent="0.3">
      <c r="A841" t="s">
        <v>1353</v>
      </c>
      <c r="B841" s="1" t="s">
        <v>205</v>
      </c>
      <c r="C841" s="1" t="s">
        <v>206</v>
      </c>
      <c r="D841" s="1" t="s">
        <v>24</v>
      </c>
      <c r="E841" s="5">
        <v>42207</v>
      </c>
      <c r="F841" s="3" t="s">
        <v>104</v>
      </c>
      <c r="G841" s="1" t="s">
        <v>759</v>
      </c>
      <c r="H841" s="1">
        <v>70</v>
      </c>
      <c r="I841" s="1">
        <v>67</v>
      </c>
      <c r="J841" s="2">
        <v>4.2900000000000001E-2</v>
      </c>
      <c r="K841">
        <f t="shared" si="39"/>
        <v>2.8742999999999999</v>
      </c>
      <c r="L841">
        <f t="shared" si="40"/>
        <v>64.125699999999995</v>
      </c>
      <c r="M841" t="str">
        <f t="shared" si="41"/>
        <v>Jul-2015</v>
      </c>
    </row>
    <row r="842" spans="1:13" x14ac:dyDescent="0.3">
      <c r="A842" t="s">
        <v>1354</v>
      </c>
      <c r="B842" s="1" t="s">
        <v>134</v>
      </c>
      <c r="C842" s="1" t="s">
        <v>92</v>
      </c>
      <c r="D842" s="1" t="s">
        <v>35</v>
      </c>
      <c r="E842" s="5">
        <v>42901</v>
      </c>
      <c r="F842" s="3" t="s">
        <v>61</v>
      </c>
      <c r="G842" s="1" t="s">
        <v>538</v>
      </c>
      <c r="H842" s="1">
        <v>1000</v>
      </c>
      <c r="I842" s="1">
        <v>890</v>
      </c>
      <c r="J842" s="2">
        <v>0.11</v>
      </c>
      <c r="K842">
        <f t="shared" si="39"/>
        <v>97.9</v>
      </c>
      <c r="L842">
        <f t="shared" si="40"/>
        <v>792.1</v>
      </c>
      <c r="M842" t="str">
        <f t="shared" si="41"/>
        <v>Jun-2017</v>
      </c>
    </row>
    <row r="843" spans="1:13" x14ac:dyDescent="0.3">
      <c r="A843" t="s">
        <v>1355</v>
      </c>
      <c r="B843" s="1" t="s">
        <v>157</v>
      </c>
      <c r="C843" s="1" t="s">
        <v>108</v>
      </c>
      <c r="D843" s="1" t="s">
        <v>19</v>
      </c>
      <c r="E843" s="5">
        <v>42182</v>
      </c>
      <c r="F843" s="3" t="s">
        <v>25</v>
      </c>
      <c r="G843" s="1" t="s">
        <v>304</v>
      </c>
      <c r="H843" s="1">
        <v>700</v>
      </c>
      <c r="I843" s="1">
        <v>476</v>
      </c>
      <c r="J843" s="2">
        <v>0.32</v>
      </c>
      <c r="K843">
        <f t="shared" si="39"/>
        <v>152.32</v>
      </c>
      <c r="L843">
        <f t="shared" si="40"/>
        <v>323.68</v>
      </c>
      <c r="M843" t="str">
        <f t="shared" si="41"/>
        <v>Jun-2015</v>
      </c>
    </row>
    <row r="844" spans="1:13" x14ac:dyDescent="0.3">
      <c r="A844" t="s">
        <v>1356</v>
      </c>
      <c r="B844" s="1" t="s">
        <v>99</v>
      </c>
      <c r="C844" s="1" t="s">
        <v>100</v>
      </c>
      <c r="D844" s="1" t="s">
        <v>13</v>
      </c>
      <c r="E844" s="5">
        <v>42975</v>
      </c>
      <c r="F844" s="3" t="s">
        <v>104</v>
      </c>
      <c r="G844" s="1" t="s">
        <v>1090</v>
      </c>
      <c r="H844" s="1">
        <v>70</v>
      </c>
      <c r="I844" s="1">
        <v>52</v>
      </c>
      <c r="J844" s="2">
        <v>0.2571</v>
      </c>
      <c r="K844">
        <f t="shared" si="39"/>
        <v>13.369199999999999</v>
      </c>
      <c r="L844">
        <f t="shared" si="40"/>
        <v>38.630800000000001</v>
      </c>
      <c r="M844" t="str">
        <f t="shared" si="41"/>
        <v>Aug-2017</v>
      </c>
    </row>
    <row r="845" spans="1:13" x14ac:dyDescent="0.3">
      <c r="A845" t="s">
        <v>1357</v>
      </c>
      <c r="B845" s="1" t="s">
        <v>134</v>
      </c>
      <c r="C845" s="1" t="s">
        <v>92</v>
      </c>
      <c r="D845" s="1" t="s">
        <v>35</v>
      </c>
      <c r="E845" s="5">
        <v>41715</v>
      </c>
      <c r="F845" s="3" t="s">
        <v>25</v>
      </c>
      <c r="G845" s="1" t="s">
        <v>1135</v>
      </c>
      <c r="H845" s="1">
        <v>700</v>
      </c>
      <c r="I845" s="1">
        <v>686</v>
      </c>
      <c r="J845" s="2">
        <v>0.02</v>
      </c>
      <c r="K845">
        <f t="shared" si="39"/>
        <v>13.72</v>
      </c>
      <c r="L845">
        <f t="shared" si="40"/>
        <v>672.28</v>
      </c>
      <c r="M845" t="str">
        <f t="shared" si="41"/>
        <v>Mar-2014</v>
      </c>
    </row>
    <row r="846" spans="1:13" x14ac:dyDescent="0.3">
      <c r="A846" t="s">
        <v>1358</v>
      </c>
      <c r="B846" s="1" t="s">
        <v>157</v>
      </c>
      <c r="C846" s="1" t="s">
        <v>108</v>
      </c>
      <c r="D846" s="1" t="s">
        <v>19</v>
      </c>
      <c r="E846" s="5">
        <v>42083</v>
      </c>
      <c r="F846" s="3" t="s">
        <v>61</v>
      </c>
      <c r="G846" s="1" t="s">
        <v>464</v>
      </c>
      <c r="H846" s="1">
        <v>1000</v>
      </c>
      <c r="I846" s="1">
        <v>640</v>
      </c>
      <c r="J846" s="2">
        <v>0.36</v>
      </c>
      <c r="K846">
        <f t="shared" si="39"/>
        <v>230.39999999999998</v>
      </c>
      <c r="L846">
        <f t="shared" si="40"/>
        <v>409.6</v>
      </c>
      <c r="M846" t="str">
        <f t="shared" si="41"/>
        <v>Mar-2015</v>
      </c>
    </row>
    <row r="847" spans="1:13" x14ac:dyDescent="0.3">
      <c r="A847" t="s">
        <v>1359</v>
      </c>
      <c r="B847" s="1" t="s">
        <v>134</v>
      </c>
      <c r="C847" s="1" t="s">
        <v>92</v>
      </c>
      <c r="D847" s="1" t="s">
        <v>35</v>
      </c>
      <c r="E847" s="5">
        <v>42202</v>
      </c>
      <c r="F847" s="3" t="s">
        <v>46</v>
      </c>
      <c r="G847" s="1" t="s">
        <v>1019</v>
      </c>
      <c r="H847" s="1">
        <v>500</v>
      </c>
      <c r="I847" s="1">
        <v>440</v>
      </c>
      <c r="J847" s="2">
        <v>0.12</v>
      </c>
      <c r="K847">
        <f t="shared" si="39"/>
        <v>52.8</v>
      </c>
      <c r="L847">
        <f t="shared" si="40"/>
        <v>387.2</v>
      </c>
      <c r="M847" t="str">
        <f t="shared" si="41"/>
        <v>Jul-2015</v>
      </c>
    </row>
    <row r="848" spans="1:13" x14ac:dyDescent="0.3">
      <c r="A848" t="s">
        <v>1360</v>
      </c>
      <c r="B848" s="1" t="s">
        <v>77</v>
      </c>
      <c r="C848" s="1" t="s">
        <v>78</v>
      </c>
      <c r="D848" s="1" t="s">
        <v>35</v>
      </c>
      <c r="E848" s="5">
        <v>43356</v>
      </c>
      <c r="F848" s="3" t="s">
        <v>14</v>
      </c>
      <c r="G848" s="1" t="s">
        <v>317</v>
      </c>
      <c r="H848" s="1">
        <v>80</v>
      </c>
      <c r="I848" s="1">
        <v>75</v>
      </c>
      <c r="J848" s="2">
        <v>6.25E-2</v>
      </c>
      <c r="K848">
        <f t="shared" si="39"/>
        <v>4.6875</v>
      </c>
      <c r="L848">
        <f t="shared" si="40"/>
        <v>70.3125</v>
      </c>
      <c r="M848" t="str">
        <f t="shared" si="41"/>
        <v>Sep-2018</v>
      </c>
    </row>
    <row r="849" spans="1:13" x14ac:dyDescent="0.3">
      <c r="A849" t="s">
        <v>1361</v>
      </c>
      <c r="B849" s="1" t="s">
        <v>28</v>
      </c>
      <c r="C849" s="1" t="s">
        <v>29</v>
      </c>
      <c r="D849" s="1" t="s">
        <v>13</v>
      </c>
      <c r="E849" s="5">
        <v>42454</v>
      </c>
      <c r="F849" s="3" t="s">
        <v>30</v>
      </c>
      <c r="G849" s="1" t="s">
        <v>445</v>
      </c>
      <c r="H849" s="1">
        <v>150</v>
      </c>
      <c r="I849" s="1">
        <v>144</v>
      </c>
      <c r="J849" s="2">
        <v>0.04</v>
      </c>
      <c r="K849">
        <f t="shared" si="39"/>
        <v>5.76</v>
      </c>
      <c r="L849">
        <f t="shared" si="40"/>
        <v>138.24</v>
      </c>
      <c r="M849" t="str">
        <f t="shared" si="41"/>
        <v>Mar-2016</v>
      </c>
    </row>
    <row r="850" spans="1:13" x14ac:dyDescent="0.3">
      <c r="A850" t="s">
        <v>1362</v>
      </c>
      <c r="B850" s="1" t="s">
        <v>434</v>
      </c>
      <c r="C850" s="1" t="s">
        <v>435</v>
      </c>
      <c r="D850" s="1" t="s">
        <v>24</v>
      </c>
      <c r="E850" s="5">
        <v>42138</v>
      </c>
      <c r="F850" s="3" t="s">
        <v>41</v>
      </c>
      <c r="G850" s="1" t="s">
        <v>436</v>
      </c>
      <c r="H850" s="1">
        <v>30</v>
      </c>
      <c r="I850" s="1">
        <v>26</v>
      </c>
      <c r="J850" s="2">
        <v>0.1333</v>
      </c>
      <c r="K850">
        <f t="shared" si="39"/>
        <v>3.4658000000000002</v>
      </c>
      <c r="L850">
        <f t="shared" si="40"/>
        <v>22.534199999999998</v>
      </c>
      <c r="M850" t="str">
        <f t="shared" si="41"/>
        <v>May-2015</v>
      </c>
    </row>
    <row r="851" spans="1:13" x14ac:dyDescent="0.3">
      <c r="A851" t="s">
        <v>1363</v>
      </c>
      <c r="B851" s="1" t="s">
        <v>134</v>
      </c>
      <c r="C851" s="1" t="s">
        <v>92</v>
      </c>
      <c r="D851" s="1" t="s">
        <v>35</v>
      </c>
      <c r="E851" s="5">
        <v>42460</v>
      </c>
      <c r="F851" s="3" t="s">
        <v>14</v>
      </c>
      <c r="G851" s="1" t="s">
        <v>1062</v>
      </c>
      <c r="H851" s="1">
        <v>80</v>
      </c>
      <c r="I851" s="1">
        <v>74</v>
      </c>
      <c r="J851" s="2">
        <v>7.4999999999999997E-2</v>
      </c>
      <c r="K851">
        <f t="shared" si="39"/>
        <v>5.55</v>
      </c>
      <c r="L851">
        <f t="shared" si="40"/>
        <v>68.45</v>
      </c>
      <c r="M851" t="str">
        <f t="shared" si="41"/>
        <v>Mar-2016</v>
      </c>
    </row>
    <row r="852" spans="1:13" x14ac:dyDescent="0.3">
      <c r="A852" t="s">
        <v>1364</v>
      </c>
      <c r="B852" s="1" t="s">
        <v>124</v>
      </c>
      <c r="C852" s="1" t="s">
        <v>40</v>
      </c>
      <c r="D852" s="1" t="s">
        <v>35</v>
      </c>
      <c r="E852" s="5">
        <v>43209</v>
      </c>
      <c r="F852" s="3" t="s">
        <v>115</v>
      </c>
      <c r="G852" s="1" t="s">
        <v>125</v>
      </c>
      <c r="H852" s="1">
        <v>250</v>
      </c>
      <c r="I852" s="1">
        <v>245</v>
      </c>
      <c r="J852" s="2">
        <v>0.02</v>
      </c>
      <c r="K852">
        <f t="shared" si="39"/>
        <v>4.9000000000000004</v>
      </c>
      <c r="L852">
        <f t="shared" si="40"/>
        <v>240.1</v>
      </c>
      <c r="M852" t="str">
        <f t="shared" si="41"/>
        <v>Apr-2018</v>
      </c>
    </row>
    <row r="853" spans="1:13" x14ac:dyDescent="0.3">
      <c r="A853" t="s">
        <v>1365</v>
      </c>
      <c r="B853" s="1" t="s">
        <v>127</v>
      </c>
      <c r="C853" s="1" t="s">
        <v>128</v>
      </c>
      <c r="D853" s="1" t="s">
        <v>13</v>
      </c>
      <c r="E853" s="5">
        <v>43280</v>
      </c>
      <c r="F853" s="3" t="s">
        <v>61</v>
      </c>
      <c r="G853" s="1" t="s">
        <v>526</v>
      </c>
      <c r="H853" s="1">
        <v>1000</v>
      </c>
      <c r="I853" s="1">
        <v>940</v>
      </c>
      <c r="J853" s="2">
        <v>0.06</v>
      </c>
      <c r="K853">
        <f t="shared" si="39"/>
        <v>56.4</v>
      </c>
      <c r="L853">
        <f t="shared" si="40"/>
        <v>883.6</v>
      </c>
      <c r="M853" t="str">
        <f t="shared" si="41"/>
        <v>Jun-2018</v>
      </c>
    </row>
    <row r="854" spans="1:13" x14ac:dyDescent="0.3">
      <c r="A854" t="s">
        <v>1366</v>
      </c>
      <c r="B854" s="1" t="s">
        <v>255</v>
      </c>
      <c r="C854" s="1" t="s">
        <v>256</v>
      </c>
      <c r="D854" s="1" t="s">
        <v>13</v>
      </c>
      <c r="E854" s="5">
        <v>43176</v>
      </c>
      <c r="F854" s="3" t="s">
        <v>36</v>
      </c>
      <c r="G854" s="1" t="s">
        <v>805</v>
      </c>
      <c r="H854" s="1">
        <v>50</v>
      </c>
      <c r="I854" s="1">
        <v>50</v>
      </c>
      <c r="J854" s="2">
        <v>0</v>
      </c>
      <c r="K854">
        <f t="shared" si="39"/>
        <v>0</v>
      </c>
      <c r="L854">
        <f t="shared" si="40"/>
        <v>50</v>
      </c>
      <c r="M854" t="str">
        <f t="shared" si="41"/>
        <v>Mar-2018</v>
      </c>
    </row>
    <row r="855" spans="1:13" x14ac:dyDescent="0.3">
      <c r="A855" t="s">
        <v>1367</v>
      </c>
      <c r="B855" s="1" t="s">
        <v>77</v>
      </c>
      <c r="C855" s="1" t="s">
        <v>78</v>
      </c>
      <c r="D855" s="1" t="s">
        <v>35</v>
      </c>
      <c r="E855" s="5">
        <v>42845</v>
      </c>
      <c r="F855" s="3" t="s">
        <v>36</v>
      </c>
      <c r="G855" s="1" t="s">
        <v>1072</v>
      </c>
      <c r="H855" s="1">
        <v>50</v>
      </c>
      <c r="I855" s="1">
        <v>46</v>
      </c>
      <c r="J855" s="2">
        <v>0.08</v>
      </c>
      <c r="K855">
        <f t="shared" si="39"/>
        <v>3.68</v>
      </c>
      <c r="L855">
        <f t="shared" si="40"/>
        <v>42.32</v>
      </c>
      <c r="M855" t="str">
        <f t="shared" si="41"/>
        <v>Apr-2017</v>
      </c>
    </row>
    <row r="856" spans="1:13" x14ac:dyDescent="0.3">
      <c r="A856" t="s">
        <v>1368</v>
      </c>
      <c r="B856" s="1" t="s">
        <v>400</v>
      </c>
      <c r="C856" s="1" t="s">
        <v>401</v>
      </c>
      <c r="D856" s="1" t="s">
        <v>13</v>
      </c>
      <c r="E856" s="5">
        <v>42516</v>
      </c>
      <c r="F856" s="3" t="s">
        <v>25</v>
      </c>
      <c r="G856" s="1" t="s">
        <v>486</v>
      </c>
      <c r="H856" s="1">
        <v>700</v>
      </c>
      <c r="I856" s="1">
        <v>665</v>
      </c>
      <c r="J856" s="2">
        <v>0.05</v>
      </c>
      <c r="K856">
        <f t="shared" si="39"/>
        <v>33.25</v>
      </c>
      <c r="L856">
        <f t="shared" si="40"/>
        <v>631.75</v>
      </c>
      <c r="M856" t="str">
        <f t="shared" si="41"/>
        <v>May-2016</v>
      </c>
    </row>
    <row r="857" spans="1:13" x14ac:dyDescent="0.3">
      <c r="A857" t="s">
        <v>1369</v>
      </c>
      <c r="B857" s="1" t="s">
        <v>114</v>
      </c>
      <c r="C857" s="1" t="s">
        <v>54</v>
      </c>
      <c r="D857" s="1" t="s">
        <v>13</v>
      </c>
      <c r="E857" s="5">
        <v>41787</v>
      </c>
      <c r="F857" s="3" t="s">
        <v>61</v>
      </c>
      <c r="G857" s="1" t="s">
        <v>1068</v>
      </c>
      <c r="H857" s="1">
        <v>1000</v>
      </c>
      <c r="I857" s="1">
        <v>950</v>
      </c>
      <c r="J857" s="2">
        <v>0.05</v>
      </c>
      <c r="K857">
        <f t="shared" si="39"/>
        <v>47.5</v>
      </c>
      <c r="L857">
        <f t="shared" si="40"/>
        <v>902.5</v>
      </c>
      <c r="M857" t="str">
        <f t="shared" si="41"/>
        <v>May-2014</v>
      </c>
    </row>
    <row r="858" spans="1:13" x14ac:dyDescent="0.3">
      <c r="A858" t="s">
        <v>1370</v>
      </c>
      <c r="B858" s="1" t="s">
        <v>170</v>
      </c>
      <c r="C858" s="1" t="s">
        <v>171</v>
      </c>
      <c r="D858" s="1" t="s">
        <v>13</v>
      </c>
      <c r="E858" s="5">
        <v>41806</v>
      </c>
      <c r="F858" s="3" t="s">
        <v>30</v>
      </c>
      <c r="G858" s="1" t="s">
        <v>941</v>
      </c>
      <c r="H858" s="1">
        <v>150</v>
      </c>
      <c r="I858" s="1">
        <v>135</v>
      </c>
      <c r="J858" s="2">
        <v>0.1</v>
      </c>
      <c r="K858">
        <f t="shared" si="39"/>
        <v>13.5</v>
      </c>
      <c r="L858">
        <f t="shared" si="40"/>
        <v>121.5</v>
      </c>
      <c r="M858" t="str">
        <f t="shared" si="41"/>
        <v>Jun-2014</v>
      </c>
    </row>
    <row r="859" spans="1:13" x14ac:dyDescent="0.3">
      <c r="A859" t="s">
        <v>1371</v>
      </c>
      <c r="B859" s="1" t="s">
        <v>131</v>
      </c>
      <c r="C859" s="1" t="s">
        <v>108</v>
      </c>
      <c r="D859" s="1" t="s">
        <v>19</v>
      </c>
      <c r="E859" s="5">
        <v>43063</v>
      </c>
      <c r="F859" s="3" t="s">
        <v>41</v>
      </c>
      <c r="G859" s="1" t="s">
        <v>132</v>
      </c>
      <c r="H859" s="1">
        <v>30</v>
      </c>
      <c r="I859" s="1">
        <v>29</v>
      </c>
      <c r="J859" s="2">
        <v>3.3300000000000003E-2</v>
      </c>
      <c r="K859">
        <f t="shared" si="39"/>
        <v>0.96570000000000011</v>
      </c>
      <c r="L859">
        <f t="shared" si="40"/>
        <v>28.034299999999998</v>
      </c>
      <c r="M859" t="str">
        <f t="shared" si="41"/>
        <v>Nov-2017</v>
      </c>
    </row>
    <row r="860" spans="1:13" x14ac:dyDescent="0.3">
      <c r="A860" t="s">
        <v>1372</v>
      </c>
      <c r="B860" s="1" t="s">
        <v>255</v>
      </c>
      <c r="C860" s="1" t="s">
        <v>256</v>
      </c>
      <c r="D860" s="1" t="s">
        <v>13</v>
      </c>
      <c r="E860" s="5">
        <v>42417</v>
      </c>
      <c r="F860" s="3" t="s">
        <v>115</v>
      </c>
      <c r="G860" s="1" t="s">
        <v>1373</v>
      </c>
      <c r="H860" s="1">
        <v>250</v>
      </c>
      <c r="I860" s="1">
        <v>243</v>
      </c>
      <c r="J860" s="2">
        <v>2.8000000000000001E-2</v>
      </c>
      <c r="K860">
        <f t="shared" si="39"/>
        <v>6.8040000000000003</v>
      </c>
      <c r="L860">
        <f t="shared" si="40"/>
        <v>236.196</v>
      </c>
      <c r="M860" t="str">
        <f t="shared" si="41"/>
        <v>Feb-2016</v>
      </c>
    </row>
    <row r="861" spans="1:13" x14ac:dyDescent="0.3">
      <c r="A861" t="s">
        <v>1374</v>
      </c>
      <c r="B861" s="1" t="s">
        <v>134</v>
      </c>
      <c r="C861" s="1" t="s">
        <v>92</v>
      </c>
      <c r="D861" s="1" t="s">
        <v>35</v>
      </c>
      <c r="E861" s="5">
        <v>43356</v>
      </c>
      <c r="F861" s="3" t="s">
        <v>41</v>
      </c>
      <c r="G861" s="1" t="s">
        <v>135</v>
      </c>
      <c r="H861" s="1">
        <v>30</v>
      </c>
      <c r="I861" s="1">
        <v>29</v>
      </c>
      <c r="J861" s="2">
        <v>3.3300000000000003E-2</v>
      </c>
      <c r="K861">
        <f t="shared" si="39"/>
        <v>0.96570000000000011</v>
      </c>
      <c r="L861">
        <f t="shared" si="40"/>
        <v>28.034299999999998</v>
      </c>
      <c r="M861" t="str">
        <f t="shared" si="41"/>
        <v>Sep-2018</v>
      </c>
    </row>
    <row r="862" spans="1:13" x14ac:dyDescent="0.3">
      <c r="A862" t="s">
        <v>1375</v>
      </c>
      <c r="B862" s="1" t="s">
        <v>124</v>
      </c>
      <c r="C862" s="1" t="s">
        <v>40</v>
      </c>
      <c r="D862" s="1" t="s">
        <v>35</v>
      </c>
      <c r="E862" s="5">
        <v>42420</v>
      </c>
      <c r="F862" s="3" t="s">
        <v>46</v>
      </c>
      <c r="G862" s="1" t="s">
        <v>970</v>
      </c>
      <c r="H862" s="1">
        <v>500</v>
      </c>
      <c r="I862" s="1">
        <v>490</v>
      </c>
      <c r="J862" s="2">
        <v>0.02</v>
      </c>
      <c r="K862">
        <f t="shared" si="39"/>
        <v>9.8000000000000007</v>
      </c>
      <c r="L862">
        <f t="shared" si="40"/>
        <v>480.2</v>
      </c>
      <c r="M862" t="str">
        <f t="shared" si="41"/>
        <v>Feb-2016</v>
      </c>
    </row>
    <row r="863" spans="1:13" x14ac:dyDescent="0.3">
      <c r="A863" t="s">
        <v>1376</v>
      </c>
      <c r="B863" s="1" t="s">
        <v>17</v>
      </c>
      <c r="C863" s="1" t="s">
        <v>18</v>
      </c>
      <c r="D863" s="1" t="s">
        <v>19</v>
      </c>
      <c r="E863" s="5">
        <v>41660</v>
      </c>
      <c r="F863" s="3" t="s">
        <v>25</v>
      </c>
      <c r="G863" s="1" t="s">
        <v>89</v>
      </c>
      <c r="H863" s="1">
        <v>700</v>
      </c>
      <c r="I863" s="1">
        <v>686</v>
      </c>
      <c r="J863" s="2">
        <v>0.02</v>
      </c>
      <c r="K863">
        <f t="shared" si="39"/>
        <v>13.72</v>
      </c>
      <c r="L863">
        <f t="shared" si="40"/>
        <v>672.28</v>
      </c>
      <c r="M863" t="str">
        <f t="shared" si="41"/>
        <v>Jan-2014</v>
      </c>
    </row>
    <row r="864" spans="1:13" x14ac:dyDescent="0.3">
      <c r="A864" t="s">
        <v>1377</v>
      </c>
      <c r="B864" s="1" t="s">
        <v>103</v>
      </c>
      <c r="C864" s="1" t="s">
        <v>71</v>
      </c>
      <c r="D864" s="1" t="s">
        <v>35</v>
      </c>
      <c r="E864" s="5">
        <v>42943</v>
      </c>
      <c r="F864" s="3" t="s">
        <v>14</v>
      </c>
      <c r="G864" s="1" t="s">
        <v>603</v>
      </c>
      <c r="H864" s="1">
        <v>80</v>
      </c>
      <c r="I864" s="1">
        <v>75</v>
      </c>
      <c r="J864" s="2">
        <v>6.25E-2</v>
      </c>
      <c r="K864">
        <f t="shared" si="39"/>
        <v>4.6875</v>
      </c>
      <c r="L864">
        <f t="shared" si="40"/>
        <v>70.3125</v>
      </c>
      <c r="M864" t="str">
        <f t="shared" si="41"/>
        <v>Jul-2017</v>
      </c>
    </row>
    <row r="865" spans="1:13" x14ac:dyDescent="0.3">
      <c r="A865" t="s">
        <v>1378</v>
      </c>
      <c r="B865" s="1" t="s">
        <v>70</v>
      </c>
      <c r="C865" s="1" t="s">
        <v>71</v>
      </c>
      <c r="D865" s="1" t="s">
        <v>35</v>
      </c>
      <c r="E865" s="5">
        <v>42031</v>
      </c>
      <c r="F865" s="3" t="s">
        <v>115</v>
      </c>
      <c r="G865" s="1" t="s">
        <v>670</v>
      </c>
      <c r="H865" s="1">
        <v>250</v>
      </c>
      <c r="I865" s="1">
        <v>223</v>
      </c>
      <c r="J865" s="2">
        <v>0.108</v>
      </c>
      <c r="K865">
        <f t="shared" si="39"/>
        <v>24.084</v>
      </c>
      <c r="L865">
        <f t="shared" si="40"/>
        <v>198.916</v>
      </c>
      <c r="M865" t="str">
        <f t="shared" si="41"/>
        <v>Jan-2015</v>
      </c>
    </row>
    <row r="866" spans="1:13" x14ac:dyDescent="0.3">
      <c r="A866" t="s">
        <v>1379</v>
      </c>
      <c r="B866" s="1" t="s">
        <v>114</v>
      </c>
      <c r="C866" s="1" t="s">
        <v>54</v>
      </c>
      <c r="D866" s="1" t="s">
        <v>13</v>
      </c>
      <c r="E866" s="5">
        <v>43218</v>
      </c>
      <c r="F866" s="3" t="s">
        <v>46</v>
      </c>
      <c r="G866" s="1" t="s">
        <v>1068</v>
      </c>
      <c r="H866" s="1">
        <v>500</v>
      </c>
      <c r="I866" s="1">
        <v>480</v>
      </c>
      <c r="J866" s="2">
        <v>0.04</v>
      </c>
      <c r="K866">
        <f t="shared" si="39"/>
        <v>19.2</v>
      </c>
      <c r="L866">
        <f t="shared" si="40"/>
        <v>460.8</v>
      </c>
      <c r="M866" t="str">
        <f t="shared" si="41"/>
        <v>Apr-2018</v>
      </c>
    </row>
    <row r="867" spans="1:13" x14ac:dyDescent="0.3">
      <c r="A867" t="s">
        <v>1380</v>
      </c>
      <c r="B867" s="1" t="s">
        <v>91</v>
      </c>
      <c r="C867" s="1" t="s">
        <v>92</v>
      </c>
      <c r="D867" s="1" t="s">
        <v>35</v>
      </c>
      <c r="E867" s="5">
        <v>42212</v>
      </c>
      <c r="F867" s="3" t="s">
        <v>122</v>
      </c>
      <c r="G867" s="1" t="s">
        <v>93</v>
      </c>
      <c r="H867" s="1">
        <v>50</v>
      </c>
      <c r="I867" s="1">
        <v>50</v>
      </c>
      <c r="J867" s="2">
        <v>0</v>
      </c>
      <c r="K867">
        <f t="shared" si="39"/>
        <v>0</v>
      </c>
      <c r="L867">
        <f t="shared" si="40"/>
        <v>50</v>
      </c>
      <c r="M867" t="str">
        <f t="shared" si="41"/>
        <v>Jul-2015</v>
      </c>
    </row>
    <row r="868" spans="1:13" x14ac:dyDescent="0.3">
      <c r="A868" t="s">
        <v>1381</v>
      </c>
      <c r="B868" s="1" t="s">
        <v>124</v>
      </c>
      <c r="C868" s="1" t="s">
        <v>40</v>
      </c>
      <c r="D868" s="1" t="s">
        <v>35</v>
      </c>
      <c r="E868" s="5">
        <v>43216</v>
      </c>
      <c r="F868" s="3" t="s">
        <v>36</v>
      </c>
      <c r="G868" s="1" t="s">
        <v>863</v>
      </c>
      <c r="H868" s="1">
        <v>50</v>
      </c>
      <c r="I868" s="1">
        <v>42</v>
      </c>
      <c r="J868" s="2">
        <v>0.16</v>
      </c>
      <c r="K868">
        <f t="shared" si="39"/>
        <v>6.72</v>
      </c>
      <c r="L868">
        <f t="shared" si="40"/>
        <v>35.28</v>
      </c>
      <c r="M868" t="str">
        <f t="shared" si="41"/>
        <v>Apr-2018</v>
      </c>
    </row>
    <row r="869" spans="1:13" x14ac:dyDescent="0.3">
      <c r="A869" t="s">
        <v>1382</v>
      </c>
      <c r="B869" s="1" t="s">
        <v>17</v>
      </c>
      <c r="C869" s="1" t="s">
        <v>18</v>
      </c>
      <c r="D869" s="1" t="s">
        <v>19</v>
      </c>
      <c r="E869" s="5">
        <v>43115</v>
      </c>
      <c r="F869" s="3" t="s">
        <v>41</v>
      </c>
      <c r="G869" s="1" t="s">
        <v>493</v>
      </c>
      <c r="H869" s="1">
        <v>30</v>
      </c>
      <c r="I869" s="1">
        <v>21</v>
      </c>
      <c r="J869" s="2">
        <v>0.3</v>
      </c>
      <c r="K869">
        <f t="shared" si="39"/>
        <v>6.3</v>
      </c>
      <c r="L869">
        <f t="shared" si="40"/>
        <v>14.7</v>
      </c>
      <c r="M869" t="str">
        <f t="shared" si="41"/>
        <v>Jan-2018</v>
      </c>
    </row>
    <row r="870" spans="1:13" x14ac:dyDescent="0.3">
      <c r="A870" t="s">
        <v>1383</v>
      </c>
      <c r="B870" s="1" t="s">
        <v>182</v>
      </c>
      <c r="C870" s="1" t="s">
        <v>108</v>
      </c>
      <c r="D870" s="1" t="s">
        <v>19</v>
      </c>
      <c r="E870" s="5">
        <v>43145</v>
      </c>
      <c r="F870" s="3" t="s">
        <v>72</v>
      </c>
      <c r="G870" s="1" t="s">
        <v>203</v>
      </c>
      <c r="H870" s="1">
        <v>500</v>
      </c>
      <c r="I870" s="1">
        <v>500</v>
      </c>
      <c r="J870" s="2">
        <v>0</v>
      </c>
      <c r="K870">
        <f t="shared" si="39"/>
        <v>0</v>
      </c>
      <c r="L870">
        <f t="shared" si="40"/>
        <v>500</v>
      </c>
      <c r="M870" t="str">
        <f t="shared" si="41"/>
        <v>Feb-2018</v>
      </c>
    </row>
    <row r="871" spans="1:13" x14ac:dyDescent="0.3">
      <c r="A871" t="s">
        <v>1384</v>
      </c>
      <c r="B871" s="1" t="s">
        <v>182</v>
      </c>
      <c r="C871" s="1" t="s">
        <v>108</v>
      </c>
      <c r="D871" s="1" t="s">
        <v>19</v>
      </c>
      <c r="E871" s="5">
        <v>43205</v>
      </c>
      <c r="F871" s="3" t="s">
        <v>55</v>
      </c>
      <c r="G871" s="1" t="s">
        <v>505</v>
      </c>
      <c r="H871" s="1">
        <v>800</v>
      </c>
      <c r="I871" s="1">
        <v>632</v>
      </c>
      <c r="J871" s="2">
        <v>0.21</v>
      </c>
      <c r="K871">
        <f t="shared" si="39"/>
        <v>132.72</v>
      </c>
      <c r="L871">
        <f t="shared" si="40"/>
        <v>499.28</v>
      </c>
      <c r="M871" t="str">
        <f t="shared" si="41"/>
        <v>Apr-2018</v>
      </c>
    </row>
    <row r="872" spans="1:13" x14ac:dyDescent="0.3">
      <c r="A872" t="s">
        <v>1385</v>
      </c>
      <c r="B872" s="1" t="s">
        <v>134</v>
      </c>
      <c r="C872" s="1" t="s">
        <v>92</v>
      </c>
      <c r="D872" s="1" t="s">
        <v>35</v>
      </c>
      <c r="E872" s="5">
        <v>41658</v>
      </c>
      <c r="F872" s="3" t="s">
        <v>122</v>
      </c>
      <c r="G872" s="1" t="s">
        <v>678</v>
      </c>
      <c r="H872" s="1">
        <v>50</v>
      </c>
      <c r="I872" s="1">
        <v>46</v>
      </c>
      <c r="J872" s="2">
        <v>0.08</v>
      </c>
      <c r="K872">
        <f t="shared" si="39"/>
        <v>3.68</v>
      </c>
      <c r="L872">
        <f t="shared" si="40"/>
        <v>42.32</v>
      </c>
      <c r="M872" t="str">
        <f t="shared" si="41"/>
        <v>Jan-2014</v>
      </c>
    </row>
    <row r="873" spans="1:13" x14ac:dyDescent="0.3">
      <c r="A873" t="s">
        <v>1386</v>
      </c>
      <c r="B873" s="1" t="s">
        <v>124</v>
      </c>
      <c r="C873" s="1" t="s">
        <v>40</v>
      </c>
      <c r="D873" s="1" t="s">
        <v>35</v>
      </c>
      <c r="E873" s="5">
        <v>43215</v>
      </c>
      <c r="F873" s="3" t="s">
        <v>36</v>
      </c>
      <c r="G873" s="1" t="s">
        <v>125</v>
      </c>
      <c r="H873" s="1">
        <v>50</v>
      </c>
      <c r="I873" s="1">
        <v>48</v>
      </c>
      <c r="J873" s="2">
        <v>0.04</v>
      </c>
      <c r="K873">
        <f t="shared" si="39"/>
        <v>1.92</v>
      </c>
      <c r="L873">
        <f t="shared" si="40"/>
        <v>46.08</v>
      </c>
      <c r="M873" t="str">
        <f t="shared" si="41"/>
        <v>Apr-2018</v>
      </c>
    </row>
    <row r="874" spans="1:13" x14ac:dyDescent="0.3">
      <c r="A874" t="s">
        <v>1387</v>
      </c>
      <c r="B874" s="1" t="s">
        <v>154</v>
      </c>
      <c r="C874" s="1" t="s">
        <v>108</v>
      </c>
      <c r="D874" s="1" t="s">
        <v>19</v>
      </c>
      <c r="E874" s="5">
        <v>43434</v>
      </c>
      <c r="F874" s="3" t="s">
        <v>55</v>
      </c>
      <c r="G874" s="1" t="s">
        <v>155</v>
      </c>
      <c r="H874" s="1">
        <v>800</v>
      </c>
      <c r="I874" s="1">
        <v>528</v>
      </c>
      <c r="J874" s="2">
        <v>0.34</v>
      </c>
      <c r="K874">
        <f t="shared" si="39"/>
        <v>179.52</v>
      </c>
      <c r="L874">
        <f t="shared" si="40"/>
        <v>348.48</v>
      </c>
      <c r="M874" t="str">
        <f t="shared" si="41"/>
        <v>Nov-2018</v>
      </c>
    </row>
    <row r="875" spans="1:13" x14ac:dyDescent="0.3">
      <c r="A875" t="s">
        <v>1388</v>
      </c>
      <c r="B875" s="1" t="s">
        <v>187</v>
      </c>
      <c r="C875" s="1" t="s">
        <v>188</v>
      </c>
      <c r="D875" s="1" t="s">
        <v>13</v>
      </c>
      <c r="E875" s="5">
        <v>42323</v>
      </c>
      <c r="F875" s="3" t="s">
        <v>122</v>
      </c>
      <c r="G875" s="1" t="s">
        <v>1150</v>
      </c>
      <c r="H875" s="1">
        <v>50</v>
      </c>
      <c r="I875" s="1">
        <v>47</v>
      </c>
      <c r="J875" s="2">
        <v>0.06</v>
      </c>
      <c r="K875">
        <f t="shared" si="39"/>
        <v>2.82</v>
      </c>
      <c r="L875">
        <f t="shared" si="40"/>
        <v>44.18</v>
      </c>
      <c r="M875" t="str">
        <f t="shared" si="41"/>
        <v>Nov-2015</v>
      </c>
    </row>
    <row r="876" spans="1:13" x14ac:dyDescent="0.3">
      <c r="A876" t="s">
        <v>1389</v>
      </c>
      <c r="B876" s="1" t="s">
        <v>221</v>
      </c>
      <c r="C876" s="1" t="s">
        <v>40</v>
      </c>
      <c r="D876" s="1" t="s">
        <v>35</v>
      </c>
      <c r="E876" s="5">
        <v>42578</v>
      </c>
      <c r="F876" s="3" t="s">
        <v>30</v>
      </c>
      <c r="G876" s="1" t="s">
        <v>1179</v>
      </c>
      <c r="H876" s="1">
        <v>150</v>
      </c>
      <c r="I876" s="1">
        <v>129</v>
      </c>
      <c r="J876" s="2">
        <v>0.14000000000000001</v>
      </c>
      <c r="K876">
        <f t="shared" si="39"/>
        <v>18.060000000000002</v>
      </c>
      <c r="L876">
        <f t="shared" si="40"/>
        <v>110.94</v>
      </c>
      <c r="M876" t="str">
        <f t="shared" si="41"/>
        <v>Jul-2016</v>
      </c>
    </row>
    <row r="877" spans="1:13" x14ac:dyDescent="0.3">
      <c r="A877" t="s">
        <v>1390</v>
      </c>
      <c r="B877" s="1" t="s">
        <v>227</v>
      </c>
      <c r="C877" s="1" t="s">
        <v>228</v>
      </c>
      <c r="D877" s="1" t="s">
        <v>24</v>
      </c>
      <c r="E877" s="5">
        <v>42793</v>
      </c>
      <c r="F877" s="3" t="s">
        <v>25</v>
      </c>
      <c r="G877" s="1" t="s">
        <v>229</v>
      </c>
      <c r="H877" s="1">
        <v>700</v>
      </c>
      <c r="I877" s="1">
        <v>581</v>
      </c>
      <c r="J877" s="2">
        <v>0.17</v>
      </c>
      <c r="K877">
        <f t="shared" si="39"/>
        <v>98.77000000000001</v>
      </c>
      <c r="L877">
        <f t="shared" si="40"/>
        <v>482.23</v>
      </c>
      <c r="M877" t="str">
        <f t="shared" si="41"/>
        <v>Feb-2017</v>
      </c>
    </row>
    <row r="878" spans="1:13" x14ac:dyDescent="0.3">
      <c r="A878" t="s">
        <v>1391</v>
      </c>
      <c r="B878" s="1" t="s">
        <v>221</v>
      </c>
      <c r="C878" s="1" t="s">
        <v>40</v>
      </c>
      <c r="D878" s="1" t="s">
        <v>35</v>
      </c>
      <c r="E878" s="5">
        <v>42453</v>
      </c>
      <c r="F878" s="3" t="s">
        <v>41</v>
      </c>
      <c r="G878" s="1" t="s">
        <v>260</v>
      </c>
      <c r="H878" s="1">
        <v>30</v>
      </c>
      <c r="I878" s="1">
        <v>27</v>
      </c>
      <c r="J878" s="2">
        <v>0.1</v>
      </c>
      <c r="K878">
        <f t="shared" si="39"/>
        <v>2.7</v>
      </c>
      <c r="L878">
        <f t="shared" si="40"/>
        <v>24.3</v>
      </c>
      <c r="M878" t="str">
        <f t="shared" si="41"/>
        <v>Mar-2016</v>
      </c>
    </row>
    <row r="879" spans="1:13" x14ac:dyDescent="0.3">
      <c r="A879" t="s">
        <v>1392</v>
      </c>
      <c r="B879" s="1" t="s">
        <v>134</v>
      </c>
      <c r="C879" s="1" t="s">
        <v>92</v>
      </c>
      <c r="D879" s="1" t="s">
        <v>35</v>
      </c>
      <c r="E879" s="5">
        <v>41772</v>
      </c>
      <c r="F879" s="3" t="s">
        <v>14</v>
      </c>
      <c r="G879" s="1" t="s">
        <v>1062</v>
      </c>
      <c r="H879" s="1">
        <v>80</v>
      </c>
      <c r="I879" s="1">
        <v>75</v>
      </c>
      <c r="J879" s="2">
        <v>6.25E-2</v>
      </c>
      <c r="K879">
        <f t="shared" si="39"/>
        <v>4.6875</v>
      </c>
      <c r="L879">
        <f t="shared" si="40"/>
        <v>70.3125</v>
      </c>
      <c r="M879" t="str">
        <f t="shared" si="41"/>
        <v>May-2014</v>
      </c>
    </row>
    <row r="880" spans="1:13" x14ac:dyDescent="0.3">
      <c r="A880" t="s">
        <v>1393</v>
      </c>
      <c r="B880" s="1" t="s">
        <v>134</v>
      </c>
      <c r="C880" s="1" t="s">
        <v>92</v>
      </c>
      <c r="D880" s="1" t="s">
        <v>35</v>
      </c>
      <c r="E880" s="5">
        <v>42215</v>
      </c>
      <c r="F880" s="3" t="s">
        <v>55</v>
      </c>
      <c r="G880" s="1" t="s">
        <v>849</v>
      </c>
      <c r="H880" s="1">
        <v>800</v>
      </c>
      <c r="I880" s="1">
        <v>736</v>
      </c>
      <c r="J880" s="2">
        <v>0.08</v>
      </c>
      <c r="K880">
        <f t="shared" si="39"/>
        <v>58.88</v>
      </c>
      <c r="L880">
        <f t="shared" si="40"/>
        <v>677.12</v>
      </c>
      <c r="M880" t="str">
        <f t="shared" si="41"/>
        <v>Jul-2015</v>
      </c>
    </row>
    <row r="881" spans="1:13" x14ac:dyDescent="0.3">
      <c r="A881" t="s">
        <v>1394</v>
      </c>
      <c r="B881" s="1" t="s">
        <v>118</v>
      </c>
      <c r="C881" s="1" t="s">
        <v>119</v>
      </c>
      <c r="D881" s="1" t="s">
        <v>35</v>
      </c>
      <c r="E881" s="5">
        <v>41693</v>
      </c>
      <c r="F881" s="3" t="s">
        <v>61</v>
      </c>
      <c r="G881" s="1" t="s">
        <v>909</v>
      </c>
      <c r="H881" s="1">
        <v>1000</v>
      </c>
      <c r="I881" s="1">
        <v>880</v>
      </c>
      <c r="J881" s="2">
        <v>0.12</v>
      </c>
      <c r="K881">
        <f t="shared" si="39"/>
        <v>105.6</v>
      </c>
      <c r="L881">
        <f t="shared" si="40"/>
        <v>774.4</v>
      </c>
      <c r="M881" t="str">
        <f t="shared" si="41"/>
        <v>Feb-2014</v>
      </c>
    </row>
    <row r="882" spans="1:13" x14ac:dyDescent="0.3">
      <c r="A882" t="s">
        <v>1395</v>
      </c>
      <c r="B882" s="1" t="s">
        <v>85</v>
      </c>
      <c r="C882" s="1" t="s">
        <v>86</v>
      </c>
      <c r="D882" s="1" t="s">
        <v>13</v>
      </c>
      <c r="E882" s="5">
        <v>42486</v>
      </c>
      <c r="F882" s="3" t="s">
        <v>36</v>
      </c>
      <c r="G882" s="1" t="s">
        <v>516</v>
      </c>
      <c r="H882" s="1">
        <v>50</v>
      </c>
      <c r="I882" s="1">
        <v>48</v>
      </c>
      <c r="J882" s="2">
        <v>0.04</v>
      </c>
      <c r="K882">
        <f t="shared" si="39"/>
        <v>1.92</v>
      </c>
      <c r="L882">
        <f t="shared" si="40"/>
        <v>46.08</v>
      </c>
      <c r="M882" t="str">
        <f t="shared" si="41"/>
        <v>Apr-2016</v>
      </c>
    </row>
    <row r="883" spans="1:13" x14ac:dyDescent="0.3">
      <c r="A883" t="s">
        <v>1396</v>
      </c>
      <c r="B883" s="1" t="s">
        <v>224</v>
      </c>
      <c r="C883" s="1" t="s">
        <v>50</v>
      </c>
      <c r="D883" s="1" t="s">
        <v>24</v>
      </c>
      <c r="E883" s="5">
        <v>43372</v>
      </c>
      <c r="F883" s="3" t="s">
        <v>122</v>
      </c>
      <c r="G883" s="1" t="s">
        <v>225</v>
      </c>
      <c r="H883" s="1">
        <v>50</v>
      </c>
      <c r="I883" s="1">
        <v>49</v>
      </c>
      <c r="J883" s="2">
        <v>0.02</v>
      </c>
      <c r="K883">
        <f t="shared" si="39"/>
        <v>0.98</v>
      </c>
      <c r="L883">
        <f t="shared" si="40"/>
        <v>48.02</v>
      </c>
      <c r="M883" t="str">
        <f t="shared" si="41"/>
        <v>Sep-2018</v>
      </c>
    </row>
    <row r="884" spans="1:13" x14ac:dyDescent="0.3">
      <c r="A884" t="s">
        <v>1397</v>
      </c>
      <c r="B884" s="1" t="s">
        <v>44</v>
      </c>
      <c r="C884" s="1" t="s">
        <v>45</v>
      </c>
      <c r="D884" s="1" t="s">
        <v>24</v>
      </c>
      <c r="E884" s="5">
        <v>42483</v>
      </c>
      <c r="F884" s="3" t="s">
        <v>41</v>
      </c>
      <c r="G884" s="1" t="s">
        <v>321</v>
      </c>
      <c r="H884" s="1">
        <v>30</v>
      </c>
      <c r="I884" s="1">
        <v>27</v>
      </c>
      <c r="J884" s="2">
        <v>0.1</v>
      </c>
      <c r="K884">
        <f t="shared" si="39"/>
        <v>2.7</v>
      </c>
      <c r="L884">
        <f t="shared" si="40"/>
        <v>24.3</v>
      </c>
      <c r="M884" t="str">
        <f t="shared" si="41"/>
        <v>Apr-2016</v>
      </c>
    </row>
    <row r="885" spans="1:13" x14ac:dyDescent="0.3">
      <c r="A885" t="s">
        <v>1398</v>
      </c>
      <c r="B885" s="1" t="s">
        <v>81</v>
      </c>
      <c r="C885" s="1" t="s">
        <v>82</v>
      </c>
      <c r="D885" s="1" t="s">
        <v>13</v>
      </c>
      <c r="E885" s="5">
        <v>42365</v>
      </c>
      <c r="F885" s="3" t="s">
        <v>61</v>
      </c>
      <c r="G885" s="1" t="s">
        <v>195</v>
      </c>
      <c r="H885" s="1">
        <v>1000</v>
      </c>
      <c r="I885" s="1">
        <v>850</v>
      </c>
      <c r="J885" s="2">
        <v>0.15</v>
      </c>
      <c r="K885">
        <f t="shared" si="39"/>
        <v>127.5</v>
      </c>
      <c r="L885">
        <f t="shared" si="40"/>
        <v>722.5</v>
      </c>
      <c r="M885" t="str">
        <f t="shared" si="41"/>
        <v>Dec-2015</v>
      </c>
    </row>
    <row r="886" spans="1:13" x14ac:dyDescent="0.3">
      <c r="A886" t="s">
        <v>1399</v>
      </c>
      <c r="B886" s="1" t="s">
        <v>227</v>
      </c>
      <c r="C886" s="1" t="s">
        <v>228</v>
      </c>
      <c r="D886" s="1" t="s">
        <v>24</v>
      </c>
      <c r="E886" s="5">
        <v>42261</v>
      </c>
      <c r="F886" s="3" t="s">
        <v>61</v>
      </c>
      <c r="G886" s="1" t="s">
        <v>1400</v>
      </c>
      <c r="H886" s="1">
        <v>1000</v>
      </c>
      <c r="I886" s="1">
        <v>560</v>
      </c>
      <c r="J886" s="2">
        <v>0.44</v>
      </c>
      <c r="K886">
        <f t="shared" si="39"/>
        <v>246.4</v>
      </c>
      <c r="L886">
        <f t="shared" si="40"/>
        <v>313.60000000000002</v>
      </c>
      <c r="M886" t="str">
        <f t="shared" si="41"/>
        <v>Sep-2015</v>
      </c>
    </row>
    <row r="887" spans="1:13" x14ac:dyDescent="0.3">
      <c r="A887" t="s">
        <v>1401</v>
      </c>
      <c r="B887" s="1" t="s">
        <v>103</v>
      </c>
      <c r="C887" s="1" t="s">
        <v>71</v>
      </c>
      <c r="D887" s="1" t="s">
        <v>35</v>
      </c>
      <c r="E887" s="5">
        <v>42266</v>
      </c>
      <c r="F887" s="3" t="s">
        <v>41</v>
      </c>
      <c r="G887" s="1" t="s">
        <v>603</v>
      </c>
      <c r="H887" s="1">
        <v>30</v>
      </c>
      <c r="I887" s="1">
        <v>25</v>
      </c>
      <c r="J887" s="2">
        <v>0.16669999999999999</v>
      </c>
      <c r="K887">
        <f t="shared" si="39"/>
        <v>4.1674999999999995</v>
      </c>
      <c r="L887">
        <f t="shared" si="40"/>
        <v>20.8325</v>
      </c>
      <c r="M887" t="str">
        <f t="shared" si="41"/>
        <v>Sep-2015</v>
      </c>
    </row>
    <row r="888" spans="1:13" x14ac:dyDescent="0.3">
      <c r="A888" t="s">
        <v>1402</v>
      </c>
      <c r="B888" s="1" t="s">
        <v>91</v>
      </c>
      <c r="C888" s="1" t="s">
        <v>92</v>
      </c>
      <c r="D888" s="1" t="s">
        <v>35</v>
      </c>
      <c r="E888" s="5">
        <v>42390</v>
      </c>
      <c r="F888" s="3" t="s">
        <v>36</v>
      </c>
      <c r="G888" s="1" t="s">
        <v>1403</v>
      </c>
      <c r="H888" s="1">
        <v>50</v>
      </c>
      <c r="I888" s="1">
        <v>46</v>
      </c>
      <c r="J888" s="2">
        <v>0.08</v>
      </c>
      <c r="K888">
        <f t="shared" si="39"/>
        <v>3.68</v>
      </c>
      <c r="L888">
        <f t="shared" si="40"/>
        <v>42.32</v>
      </c>
      <c r="M888" t="str">
        <f t="shared" si="41"/>
        <v>Jan-2016</v>
      </c>
    </row>
    <row r="889" spans="1:13" x14ac:dyDescent="0.3">
      <c r="A889" t="s">
        <v>1404</v>
      </c>
      <c r="B889" s="1" t="s">
        <v>224</v>
      </c>
      <c r="C889" s="1" t="s">
        <v>50</v>
      </c>
      <c r="D889" s="1" t="s">
        <v>24</v>
      </c>
      <c r="E889" s="5">
        <v>42582</v>
      </c>
      <c r="F889" s="3" t="s">
        <v>46</v>
      </c>
      <c r="G889" s="1" t="s">
        <v>1405</v>
      </c>
      <c r="H889" s="1">
        <v>500</v>
      </c>
      <c r="I889" s="1">
        <v>305</v>
      </c>
      <c r="J889" s="2">
        <v>0.39</v>
      </c>
      <c r="K889">
        <f t="shared" si="39"/>
        <v>118.95</v>
      </c>
      <c r="L889">
        <f t="shared" si="40"/>
        <v>186.05</v>
      </c>
      <c r="M889" t="str">
        <f t="shared" si="41"/>
        <v>Jul-2016</v>
      </c>
    </row>
    <row r="890" spans="1:13" x14ac:dyDescent="0.3">
      <c r="A890" t="s">
        <v>1406</v>
      </c>
      <c r="B890" s="1" t="s">
        <v>270</v>
      </c>
      <c r="C890" s="1" t="s">
        <v>271</v>
      </c>
      <c r="D890" s="1" t="s">
        <v>35</v>
      </c>
      <c r="E890" s="5">
        <v>43095</v>
      </c>
      <c r="F890" s="3" t="s">
        <v>122</v>
      </c>
      <c r="G890" s="1" t="s">
        <v>272</v>
      </c>
      <c r="H890" s="1">
        <v>50</v>
      </c>
      <c r="I890" s="1">
        <v>48</v>
      </c>
      <c r="J890" s="2">
        <v>0.04</v>
      </c>
      <c r="K890">
        <f t="shared" si="39"/>
        <v>1.92</v>
      </c>
      <c r="L890">
        <f t="shared" si="40"/>
        <v>46.08</v>
      </c>
      <c r="M890" t="str">
        <f t="shared" si="41"/>
        <v>Dec-2017</v>
      </c>
    </row>
    <row r="891" spans="1:13" x14ac:dyDescent="0.3">
      <c r="A891" t="s">
        <v>1407</v>
      </c>
      <c r="B891" s="1" t="s">
        <v>95</v>
      </c>
      <c r="C891" s="1" t="s">
        <v>96</v>
      </c>
      <c r="D891" s="1" t="s">
        <v>13</v>
      </c>
      <c r="E891" s="5">
        <v>43329</v>
      </c>
      <c r="F891" s="3" t="s">
        <v>46</v>
      </c>
      <c r="G891" s="1" t="s">
        <v>1408</v>
      </c>
      <c r="H891" s="1">
        <v>500</v>
      </c>
      <c r="I891" s="1">
        <v>435</v>
      </c>
      <c r="J891" s="2">
        <v>0.13</v>
      </c>
      <c r="K891">
        <f t="shared" si="39"/>
        <v>56.550000000000004</v>
      </c>
      <c r="L891">
        <f t="shared" si="40"/>
        <v>378.45</v>
      </c>
      <c r="M891" t="str">
        <f t="shared" si="41"/>
        <v>Aug-2018</v>
      </c>
    </row>
    <row r="892" spans="1:13" x14ac:dyDescent="0.3">
      <c r="A892" t="s">
        <v>1409</v>
      </c>
      <c r="B892" s="1" t="s">
        <v>28</v>
      </c>
      <c r="C892" s="1" t="s">
        <v>29</v>
      </c>
      <c r="D892" s="1" t="s">
        <v>13</v>
      </c>
      <c r="E892" s="5">
        <v>42838</v>
      </c>
      <c r="F892" s="3" t="s">
        <v>72</v>
      </c>
      <c r="G892" s="1" t="s">
        <v>249</v>
      </c>
      <c r="H892" s="1">
        <v>500</v>
      </c>
      <c r="I892" s="1">
        <v>500</v>
      </c>
      <c r="J892" s="2">
        <v>0</v>
      </c>
      <c r="K892">
        <f t="shared" si="39"/>
        <v>0</v>
      </c>
      <c r="L892">
        <f t="shared" si="40"/>
        <v>500</v>
      </c>
      <c r="M892" t="str">
        <f t="shared" si="41"/>
        <v>Apr-2017</v>
      </c>
    </row>
    <row r="893" spans="1:13" x14ac:dyDescent="0.3">
      <c r="A893" t="s">
        <v>1410</v>
      </c>
      <c r="B893" s="1" t="s">
        <v>154</v>
      </c>
      <c r="C893" s="1" t="s">
        <v>108</v>
      </c>
      <c r="D893" s="1" t="s">
        <v>19</v>
      </c>
      <c r="E893" s="5">
        <v>42931</v>
      </c>
      <c r="F893" s="3" t="s">
        <v>104</v>
      </c>
      <c r="G893" s="1" t="s">
        <v>1411</v>
      </c>
      <c r="H893" s="1">
        <v>70</v>
      </c>
      <c r="I893" s="1">
        <v>66</v>
      </c>
      <c r="J893" s="2">
        <v>5.7099999999999998E-2</v>
      </c>
      <c r="K893">
        <f t="shared" si="39"/>
        <v>3.7685999999999997</v>
      </c>
      <c r="L893">
        <f t="shared" si="40"/>
        <v>62.231400000000001</v>
      </c>
      <c r="M893" t="str">
        <f t="shared" si="41"/>
        <v>Jul-2017</v>
      </c>
    </row>
    <row r="894" spans="1:13" x14ac:dyDescent="0.3">
      <c r="A894" t="s">
        <v>1412</v>
      </c>
      <c r="B894" s="1" t="s">
        <v>33</v>
      </c>
      <c r="C894" s="1" t="s">
        <v>34</v>
      </c>
      <c r="D894" s="1" t="s">
        <v>35</v>
      </c>
      <c r="E894" s="5">
        <v>43329</v>
      </c>
      <c r="F894" s="3" t="s">
        <v>104</v>
      </c>
      <c r="G894" s="1" t="s">
        <v>160</v>
      </c>
      <c r="H894" s="1">
        <v>70</v>
      </c>
      <c r="I894" s="1">
        <v>70</v>
      </c>
      <c r="J894" s="2">
        <v>0</v>
      </c>
      <c r="K894">
        <f t="shared" si="39"/>
        <v>0</v>
      </c>
      <c r="L894">
        <f t="shared" si="40"/>
        <v>70</v>
      </c>
      <c r="M894" t="str">
        <f t="shared" si="41"/>
        <v>Aug-2018</v>
      </c>
    </row>
    <row r="895" spans="1:13" x14ac:dyDescent="0.3">
      <c r="A895" t="s">
        <v>1413</v>
      </c>
      <c r="B895" s="1" t="s">
        <v>70</v>
      </c>
      <c r="C895" s="1" t="s">
        <v>71</v>
      </c>
      <c r="D895" s="1" t="s">
        <v>35</v>
      </c>
      <c r="E895" s="5">
        <v>43056</v>
      </c>
      <c r="F895" s="3" t="s">
        <v>14</v>
      </c>
      <c r="G895" s="1" t="s">
        <v>1414</v>
      </c>
      <c r="H895" s="1">
        <v>80</v>
      </c>
      <c r="I895" s="1">
        <v>79</v>
      </c>
      <c r="J895" s="2">
        <v>1.2500000000000001E-2</v>
      </c>
      <c r="K895">
        <f t="shared" si="39"/>
        <v>0.98750000000000004</v>
      </c>
      <c r="L895">
        <f t="shared" si="40"/>
        <v>78.012500000000003</v>
      </c>
      <c r="M895" t="str">
        <f t="shared" si="41"/>
        <v>Nov-2017</v>
      </c>
    </row>
    <row r="896" spans="1:13" x14ac:dyDescent="0.3">
      <c r="A896" t="s">
        <v>1415</v>
      </c>
      <c r="B896" s="1" t="s">
        <v>146</v>
      </c>
      <c r="C896" s="1" t="s">
        <v>147</v>
      </c>
      <c r="D896" s="1" t="s">
        <v>13</v>
      </c>
      <c r="E896" s="5">
        <v>42936</v>
      </c>
      <c r="F896" s="3" t="s">
        <v>41</v>
      </c>
      <c r="G896" s="1" t="s">
        <v>148</v>
      </c>
      <c r="H896" s="1">
        <v>30</v>
      </c>
      <c r="I896" s="1">
        <v>28</v>
      </c>
      <c r="J896" s="2">
        <v>6.6699999999999995E-2</v>
      </c>
      <c r="K896">
        <f t="shared" si="39"/>
        <v>1.8675999999999999</v>
      </c>
      <c r="L896">
        <f t="shared" si="40"/>
        <v>26.132400000000001</v>
      </c>
      <c r="M896" t="str">
        <f t="shared" si="41"/>
        <v>Jul-2017</v>
      </c>
    </row>
    <row r="897" spans="1:13" x14ac:dyDescent="0.3">
      <c r="A897" t="s">
        <v>1416</v>
      </c>
      <c r="B897" s="1" t="s">
        <v>146</v>
      </c>
      <c r="C897" s="1" t="s">
        <v>147</v>
      </c>
      <c r="D897" s="1" t="s">
        <v>13</v>
      </c>
      <c r="E897" s="5">
        <v>43456</v>
      </c>
      <c r="F897" s="3" t="s">
        <v>46</v>
      </c>
      <c r="G897" s="1" t="s">
        <v>1033</v>
      </c>
      <c r="H897" s="1">
        <v>500</v>
      </c>
      <c r="I897" s="1">
        <v>485</v>
      </c>
      <c r="J897" s="2">
        <v>0.03</v>
      </c>
      <c r="K897">
        <f t="shared" si="39"/>
        <v>14.549999999999999</v>
      </c>
      <c r="L897">
        <f t="shared" si="40"/>
        <v>470.45</v>
      </c>
      <c r="M897" t="str">
        <f t="shared" si="41"/>
        <v>Dec-2018</v>
      </c>
    </row>
    <row r="898" spans="1:13" x14ac:dyDescent="0.3">
      <c r="A898" t="s">
        <v>1417</v>
      </c>
      <c r="B898" s="1" t="s">
        <v>241</v>
      </c>
      <c r="C898" s="1" t="s">
        <v>242</v>
      </c>
      <c r="D898" s="1" t="s">
        <v>13</v>
      </c>
      <c r="E898" s="5">
        <v>41663</v>
      </c>
      <c r="F898" s="3" t="s">
        <v>104</v>
      </c>
      <c r="G898" s="1" t="s">
        <v>779</v>
      </c>
      <c r="H898" s="1">
        <v>70</v>
      </c>
      <c r="I898" s="1">
        <v>67</v>
      </c>
      <c r="J898" s="2">
        <v>4.2900000000000001E-2</v>
      </c>
      <c r="K898">
        <f t="shared" si="39"/>
        <v>2.8742999999999999</v>
      </c>
      <c r="L898">
        <f t="shared" si="40"/>
        <v>64.125699999999995</v>
      </c>
      <c r="M898" t="str">
        <f t="shared" si="41"/>
        <v>Jan-2014</v>
      </c>
    </row>
    <row r="899" spans="1:13" x14ac:dyDescent="0.3">
      <c r="A899" t="s">
        <v>1418</v>
      </c>
      <c r="B899" s="1" t="s">
        <v>187</v>
      </c>
      <c r="C899" s="1" t="s">
        <v>188</v>
      </c>
      <c r="D899" s="1" t="s">
        <v>13</v>
      </c>
      <c r="E899" s="5">
        <v>42701</v>
      </c>
      <c r="F899" s="3" t="s">
        <v>30</v>
      </c>
      <c r="G899" s="1" t="s">
        <v>189</v>
      </c>
      <c r="H899" s="1">
        <v>150</v>
      </c>
      <c r="I899" s="1">
        <v>143</v>
      </c>
      <c r="J899" s="2">
        <v>4.6699999999999998E-2</v>
      </c>
      <c r="K899">
        <f t="shared" si="39"/>
        <v>6.6780999999999997</v>
      </c>
      <c r="L899">
        <f t="shared" si="40"/>
        <v>136.3219</v>
      </c>
      <c r="M899" t="str">
        <f t="shared" si="41"/>
        <v>Nov-2016</v>
      </c>
    </row>
    <row r="900" spans="1:13" x14ac:dyDescent="0.3">
      <c r="A900" t="s">
        <v>1419</v>
      </c>
      <c r="B900" s="1" t="s">
        <v>33</v>
      </c>
      <c r="C900" s="1" t="s">
        <v>34</v>
      </c>
      <c r="D900" s="1" t="s">
        <v>35</v>
      </c>
      <c r="E900" s="5">
        <v>42630</v>
      </c>
      <c r="F900" s="3" t="s">
        <v>61</v>
      </c>
      <c r="G900" s="1" t="s">
        <v>160</v>
      </c>
      <c r="H900" s="1">
        <v>1000</v>
      </c>
      <c r="I900" s="1">
        <v>570</v>
      </c>
      <c r="J900" s="2">
        <v>0.43</v>
      </c>
      <c r="K900">
        <f t="shared" ref="K900:K963" si="42">I900*J900</f>
        <v>245.1</v>
      </c>
      <c r="L900">
        <f t="shared" ref="L900:L963" si="43">I900-K900</f>
        <v>324.89999999999998</v>
      </c>
      <c r="M900" t="str">
        <f t="shared" ref="M900:M963" si="44">TEXT(E900, "mmm-yyyy")</f>
        <v>Sep-2016</v>
      </c>
    </row>
    <row r="901" spans="1:13" x14ac:dyDescent="0.3">
      <c r="A901" t="s">
        <v>1420</v>
      </c>
      <c r="B901" s="1" t="s">
        <v>170</v>
      </c>
      <c r="C901" s="1" t="s">
        <v>171</v>
      </c>
      <c r="D901" s="1" t="s">
        <v>13</v>
      </c>
      <c r="E901" s="5">
        <v>42669</v>
      </c>
      <c r="F901" s="3" t="s">
        <v>115</v>
      </c>
      <c r="G901" s="1" t="s">
        <v>1421</v>
      </c>
      <c r="H901" s="1">
        <v>250</v>
      </c>
      <c r="I901" s="1">
        <v>235</v>
      </c>
      <c r="J901" s="2">
        <v>0.06</v>
      </c>
      <c r="K901">
        <f t="shared" si="42"/>
        <v>14.1</v>
      </c>
      <c r="L901">
        <f t="shared" si="43"/>
        <v>220.9</v>
      </c>
      <c r="M901" t="str">
        <f t="shared" si="44"/>
        <v>Oct-2016</v>
      </c>
    </row>
    <row r="902" spans="1:13" x14ac:dyDescent="0.3">
      <c r="A902" t="s">
        <v>1422</v>
      </c>
      <c r="B902" s="1" t="s">
        <v>264</v>
      </c>
      <c r="C902" s="1" t="s">
        <v>265</v>
      </c>
      <c r="D902" s="1" t="s">
        <v>13</v>
      </c>
      <c r="E902" s="5">
        <v>41784</v>
      </c>
      <c r="F902" s="3" t="s">
        <v>55</v>
      </c>
      <c r="G902" s="1" t="s">
        <v>802</v>
      </c>
      <c r="H902" s="1">
        <v>800</v>
      </c>
      <c r="I902" s="1">
        <v>760</v>
      </c>
      <c r="J902" s="2">
        <v>0.05</v>
      </c>
      <c r="K902">
        <f t="shared" si="42"/>
        <v>38</v>
      </c>
      <c r="L902">
        <f t="shared" si="43"/>
        <v>722</v>
      </c>
      <c r="M902" t="str">
        <f t="shared" si="44"/>
        <v>May-2014</v>
      </c>
    </row>
    <row r="903" spans="1:13" x14ac:dyDescent="0.3">
      <c r="A903" t="s">
        <v>1423</v>
      </c>
      <c r="B903" s="1" t="s">
        <v>111</v>
      </c>
      <c r="C903" s="1" t="s">
        <v>82</v>
      </c>
      <c r="D903" s="1" t="s">
        <v>13</v>
      </c>
      <c r="E903" s="5">
        <v>42879</v>
      </c>
      <c r="F903" s="3" t="s">
        <v>41</v>
      </c>
      <c r="G903" s="1" t="s">
        <v>1424</v>
      </c>
      <c r="H903" s="1">
        <v>30</v>
      </c>
      <c r="I903" s="1">
        <v>23</v>
      </c>
      <c r="J903" s="2">
        <v>0.23330000000000001</v>
      </c>
      <c r="K903">
        <f t="shared" si="42"/>
        <v>5.3658999999999999</v>
      </c>
      <c r="L903">
        <f t="shared" si="43"/>
        <v>17.6341</v>
      </c>
      <c r="M903" t="str">
        <f t="shared" si="44"/>
        <v>May-2017</v>
      </c>
    </row>
    <row r="904" spans="1:13" x14ac:dyDescent="0.3">
      <c r="A904" t="s">
        <v>1425</v>
      </c>
      <c r="B904" s="1" t="s">
        <v>157</v>
      </c>
      <c r="C904" s="1" t="s">
        <v>108</v>
      </c>
      <c r="D904" s="1" t="s">
        <v>19</v>
      </c>
      <c r="E904" s="5">
        <v>41901</v>
      </c>
      <c r="F904" s="3" t="s">
        <v>41</v>
      </c>
      <c r="G904" s="1" t="s">
        <v>925</v>
      </c>
      <c r="H904" s="1">
        <v>30</v>
      </c>
      <c r="I904" s="1">
        <v>26</v>
      </c>
      <c r="J904" s="2">
        <v>0.1333</v>
      </c>
      <c r="K904">
        <f t="shared" si="42"/>
        <v>3.4658000000000002</v>
      </c>
      <c r="L904">
        <f t="shared" si="43"/>
        <v>22.534199999999998</v>
      </c>
      <c r="M904" t="str">
        <f t="shared" si="44"/>
        <v>Sep-2014</v>
      </c>
    </row>
    <row r="905" spans="1:13" x14ac:dyDescent="0.3">
      <c r="A905" t="s">
        <v>1426</v>
      </c>
      <c r="B905" s="1" t="s">
        <v>39</v>
      </c>
      <c r="C905" s="1" t="s">
        <v>40</v>
      </c>
      <c r="D905" s="1" t="s">
        <v>35</v>
      </c>
      <c r="E905" s="5">
        <v>43279</v>
      </c>
      <c r="F905" s="3" t="s">
        <v>104</v>
      </c>
      <c r="G905" s="1" t="s">
        <v>1284</v>
      </c>
      <c r="H905" s="1">
        <v>70</v>
      </c>
      <c r="I905" s="1">
        <v>57</v>
      </c>
      <c r="J905" s="2">
        <v>0.1857</v>
      </c>
      <c r="K905">
        <f t="shared" si="42"/>
        <v>10.584900000000001</v>
      </c>
      <c r="L905">
        <f t="shared" si="43"/>
        <v>46.415099999999995</v>
      </c>
      <c r="M905" t="str">
        <f t="shared" si="44"/>
        <v>Jun-2018</v>
      </c>
    </row>
    <row r="906" spans="1:13" x14ac:dyDescent="0.3">
      <c r="A906" t="s">
        <v>1427</v>
      </c>
      <c r="B906" s="1" t="s">
        <v>28</v>
      </c>
      <c r="C906" s="1" t="s">
        <v>29</v>
      </c>
      <c r="D906" s="1" t="s">
        <v>13</v>
      </c>
      <c r="E906" s="5">
        <v>41690</v>
      </c>
      <c r="F906" s="3" t="s">
        <v>55</v>
      </c>
      <c r="G906" s="1" t="s">
        <v>469</v>
      </c>
      <c r="H906" s="1">
        <v>800</v>
      </c>
      <c r="I906" s="1">
        <v>512</v>
      </c>
      <c r="J906" s="2">
        <v>0.36</v>
      </c>
      <c r="K906">
        <f t="shared" si="42"/>
        <v>184.32</v>
      </c>
      <c r="L906">
        <f t="shared" si="43"/>
        <v>327.68</v>
      </c>
      <c r="M906" t="str">
        <f t="shared" si="44"/>
        <v>Feb-2014</v>
      </c>
    </row>
    <row r="907" spans="1:13" x14ac:dyDescent="0.3">
      <c r="A907" t="s">
        <v>1428</v>
      </c>
      <c r="B907" s="1" t="s">
        <v>33</v>
      </c>
      <c r="C907" s="1" t="s">
        <v>34</v>
      </c>
      <c r="D907" s="1" t="s">
        <v>35</v>
      </c>
      <c r="E907" s="5">
        <v>42475</v>
      </c>
      <c r="F907" s="3" t="s">
        <v>72</v>
      </c>
      <c r="G907" s="1" t="s">
        <v>1131</v>
      </c>
      <c r="H907" s="1">
        <v>500</v>
      </c>
      <c r="I907" s="1">
        <v>500</v>
      </c>
      <c r="J907" s="2">
        <v>0</v>
      </c>
      <c r="K907">
        <f t="shared" si="42"/>
        <v>0</v>
      </c>
      <c r="L907">
        <f t="shared" si="43"/>
        <v>500</v>
      </c>
      <c r="M907" t="str">
        <f t="shared" si="44"/>
        <v>Apr-2016</v>
      </c>
    </row>
    <row r="908" spans="1:13" x14ac:dyDescent="0.3">
      <c r="A908" t="s">
        <v>1429</v>
      </c>
      <c r="B908" s="1" t="s">
        <v>182</v>
      </c>
      <c r="C908" s="1" t="s">
        <v>108</v>
      </c>
      <c r="D908" s="1" t="s">
        <v>19</v>
      </c>
      <c r="E908" s="5">
        <v>43190</v>
      </c>
      <c r="F908" s="3" t="s">
        <v>25</v>
      </c>
      <c r="G908" s="1" t="s">
        <v>1157</v>
      </c>
      <c r="H908" s="1">
        <v>700</v>
      </c>
      <c r="I908" s="1">
        <v>609</v>
      </c>
      <c r="J908" s="2">
        <v>0.13</v>
      </c>
      <c r="K908">
        <f t="shared" si="42"/>
        <v>79.17</v>
      </c>
      <c r="L908">
        <f t="shared" si="43"/>
        <v>529.83000000000004</v>
      </c>
      <c r="M908" t="str">
        <f t="shared" si="44"/>
        <v>Mar-2018</v>
      </c>
    </row>
    <row r="909" spans="1:13" x14ac:dyDescent="0.3">
      <c r="A909" t="s">
        <v>1430</v>
      </c>
      <c r="B909" s="1" t="s">
        <v>255</v>
      </c>
      <c r="C909" s="1" t="s">
        <v>256</v>
      </c>
      <c r="D909" s="1" t="s">
        <v>13</v>
      </c>
      <c r="E909" s="5">
        <v>43242</v>
      </c>
      <c r="F909" s="3" t="s">
        <v>36</v>
      </c>
      <c r="G909" s="1" t="s">
        <v>1266</v>
      </c>
      <c r="H909" s="1">
        <v>50</v>
      </c>
      <c r="I909" s="1">
        <v>48</v>
      </c>
      <c r="J909" s="2">
        <v>0.04</v>
      </c>
      <c r="K909">
        <f t="shared" si="42"/>
        <v>1.92</v>
      </c>
      <c r="L909">
        <f t="shared" si="43"/>
        <v>46.08</v>
      </c>
      <c r="M909" t="str">
        <f t="shared" si="44"/>
        <v>May-2018</v>
      </c>
    </row>
    <row r="910" spans="1:13" x14ac:dyDescent="0.3">
      <c r="A910" t="s">
        <v>1431</v>
      </c>
      <c r="B910" s="1" t="s">
        <v>182</v>
      </c>
      <c r="C910" s="1" t="s">
        <v>108</v>
      </c>
      <c r="D910" s="1" t="s">
        <v>19</v>
      </c>
      <c r="E910" s="5">
        <v>41690</v>
      </c>
      <c r="F910" s="3" t="s">
        <v>41</v>
      </c>
      <c r="G910" s="1" t="s">
        <v>1432</v>
      </c>
      <c r="H910" s="1">
        <v>30</v>
      </c>
      <c r="I910" s="1">
        <v>26</v>
      </c>
      <c r="J910" s="2">
        <v>0.1333</v>
      </c>
      <c r="K910">
        <f t="shared" si="42"/>
        <v>3.4658000000000002</v>
      </c>
      <c r="L910">
        <f t="shared" si="43"/>
        <v>22.534199999999998</v>
      </c>
      <c r="M910" t="str">
        <f t="shared" si="44"/>
        <v>Feb-2014</v>
      </c>
    </row>
    <row r="911" spans="1:13" x14ac:dyDescent="0.3">
      <c r="A911" t="s">
        <v>1433</v>
      </c>
      <c r="B911" s="1" t="s">
        <v>224</v>
      </c>
      <c r="C911" s="1" t="s">
        <v>50</v>
      </c>
      <c r="D911" s="1" t="s">
        <v>24</v>
      </c>
      <c r="E911" s="5">
        <v>42487</v>
      </c>
      <c r="F911" s="3" t="s">
        <v>72</v>
      </c>
      <c r="G911" s="1" t="s">
        <v>1038</v>
      </c>
      <c r="H911" s="1">
        <v>500</v>
      </c>
      <c r="I911" s="1">
        <v>500</v>
      </c>
      <c r="J911" s="2">
        <v>0</v>
      </c>
      <c r="K911">
        <f t="shared" si="42"/>
        <v>0</v>
      </c>
      <c r="L911">
        <f t="shared" si="43"/>
        <v>500</v>
      </c>
      <c r="M911" t="str">
        <f t="shared" si="44"/>
        <v>Apr-2016</v>
      </c>
    </row>
    <row r="912" spans="1:13" x14ac:dyDescent="0.3">
      <c r="A912" t="s">
        <v>1434</v>
      </c>
      <c r="B912" s="1" t="s">
        <v>64</v>
      </c>
      <c r="C912" s="1" t="s">
        <v>65</v>
      </c>
      <c r="D912" s="1" t="s">
        <v>35</v>
      </c>
      <c r="E912" s="5">
        <v>42185</v>
      </c>
      <c r="F912" s="3" t="s">
        <v>55</v>
      </c>
      <c r="G912" s="1" t="s">
        <v>66</v>
      </c>
      <c r="H912" s="1">
        <v>800</v>
      </c>
      <c r="I912" s="1">
        <v>664</v>
      </c>
      <c r="J912" s="2">
        <v>0.17</v>
      </c>
      <c r="K912">
        <f t="shared" si="42"/>
        <v>112.88000000000001</v>
      </c>
      <c r="L912">
        <f t="shared" si="43"/>
        <v>551.12</v>
      </c>
      <c r="M912" t="str">
        <f t="shared" si="44"/>
        <v>Jun-2015</v>
      </c>
    </row>
    <row r="913" spans="1:13" x14ac:dyDescent="0.3">
      <c r="A913" t="s">
        <v>1435</v>
      </c>
      <c r="B913" s="1" t="s">
        <v>324</v>
      </c>
      <c r="C913" s="1" t="s">
        <v>325</v>
      </c>
      <c r="D913" s="1" t="s">
        <v>13</v>
      </c>
      <c r="E913" s="5">
        <v>42268</v>
      </c>
      <c r="F913" s="3" t="s">
        <v>25</v>
      </c>
      <c r="G913" s="1" t="s">
        <v>453</v>
      </c>
      <c r="H913" s="1">
        <v>700</v>
      </c>
      <c r="I913" s="1">
        <v>679</v>
      </c>
      <c r="J913" s="2">
        <v>0.03</v>
      </c>
      <c r="K913">
        <f t="shared" si="42"/>
        <v>20.37</v>
      </c>
      <c r="L913">
        <f t="shared" si="43"/>
        <v>658.63</v>
      </c>
      <c r="M913" t="str">
        <f t="shared" si="44"/>
        <v>Sep-2015</v>
      </c>
    </row>
    <row r="914" spans="1:13" x14ac:dyDescent="0.3">
      <c r="A914" t="s">
        <v>1436</v>
      </c>
      <c r="B914" s="1" t="s">
        <v>107</v>
      </c>
      <c r="C914" s="1" t="s">
        <v>108</v>
      </c>
      <c r="D914" s="1" t="s">
        <v>19</v>
      </c>
      <c r="E914" s="5">
        <v>42114</v>
      </c>
      <c r="F914" s="3" t="s">
        <v>115</v>
      </c>
      <c r="G914" s="1" t="s">
        <v>1437</v>
      </c>
      <c r="H914" s="1">
        <v>250</v>
      </c>
      <c r="I914" s="1">
        <v>198</v>
      </c>
      <c r="J914" s="2">
        <v>0.20799999999999999</v>
      </c>
      <c r="K914">
        <f t="shared" si="42"/>
        <v>41.183999999999997</v>
      </c>
      <c r="L914">
        <f t="shared" si="43"/>
        <v>156.816</v>
      </c>
      <c r="M914" t="str">
        <f t="shared" si="44"/>
        <v>Apr-2015</v>
      </c>
    </row>
    <row r="915" spans="1:13" x14ac:dyDescent="0.3">
      <c r="A915" t="s">
        <v>1438</v>
      </c>
      <c r="B915" s="1" t="s">
        <v>227</v>
      </c>
      <c r="C915" s="1" t="s">
        <v>228</v>
      </c>
      <c r="D915" s="1" t="s">
        <v>24</v>
      </c>
      <c r="E915" s="5">
        <v>42121</v>
      </c>
      <c r="F915" s="3" t="s">
        <v>72</v>
      </c>
      <c r="G915" s="1" t="s">
        <v>438</v>
      </c>
      <c r="H915" s="1">
        <v>500</v>
      </c>
      <c r="I915" s="1">
        <v>500</v>
      </c>
      <c r="J915" s="2">
        <v>0</v>
      </c>
      <c r="K915">
        <f t="shared" si="42"/>
        <v>0</v>
      </c>
      <c r="L915">
        <f t="shared" si="43"/>
        <v>500</v>
      </c>
      <c r="M915" t="str">
        <f t="shared" si="44"/>
        <v>Apr-2015</v>
      </c>
    </row>
    <row r="916" spans="1:13" x14ac:dyDescent="0.3">
      <c r="A916" t="s">
        <v>1439</v>
      </c>
      <c r="B916" s="1" t="s">
        <v>53</v>
      </c>
      <c r="C916" s="1" t="s">
        <v>54</v>
      </c>
      <c r="D916" s="1" t="s">
        <v>13</v>
      </c>
      <c r="E916" s="5">
        <v>42512</v>
      </c>
      <c r="F916" s="3" t="s">
        <v>72</v>
      </c>
      <c r="G916" s="1" t="s">
        <v>814</v>
      </c>
      <c r="H916" s="1">
        <v>500</v>
      </c>
      <c r="I916" s="1">
        <v>500</v>
      </c>
      <c r="J916" s="2">
        <v>0</v>
      </c>
      <c r="K916">
        <f t="shared" si="42"/>
        <v>0</v>
      </c>
      <c r="L916">
        <f t="shared" si="43"/>
        <v>500</v>
      </c>
      <c r="M916" t="str">
        <f t="shared" si="44"/>
        <v>May-2016</v>
      </c>
    </row>
    <row r="917" spans="1:13" x14ac:dyDescent="0.3">
      <c r="A917" t="s">
        <v>1440</v>
      </c>
      <c r="B917" s="1" t="s">
        <v>224</v>
      </c>
      <c r="C917" s="1" t="s">
        <v>50</v>
      </c>
      <c r="D917" s="1" t="s">
        <v>24</v>
      </c>
      <c r="E917" s="5">
        <v>42914</v>
      </c>
      <c r="F917" s="3" t="s">
        <v>46</v>
      </c>
      <c r="G917" s="1" t="s">
        <v>774</v>
      </c>
      <c r="H917" s="1">
        <v>500</v>
      </c>
      <c r="I917" s="1">
        <v>450</v>
      </c>
      <c r="J917" s="2">
        <v>0.1</v>
      </c>
      <c r="K917">
        <f t="shared" si="42"/>
        <v>45</v>
      </c>
      <c r="L917">
        <f t="shared" si="43"/>
        <v>405</v>
      </c>
      <c r="M917" t="str">
        <f t="shared" si="44"/>
        <v>Jun-2017</v>
      </c>
    </row>
    <row r="918" spans="1:13" x14ac:dyDescent="0.3">
      <c r="A918" t="s">
        <v>1441</v>
      </c>
      <c r="B918" s="1" t="s">
        <v>146</v>
      </c>
      <c r="C918" s="1" t="s">
        <v>147</v>
      </c>
      <c r="D918" s="1" t="s">
        <v>13</v>
      </c>
      <c r="E918" s="5">
        <v>43189</v>
      </c>
      <c r="F918" s="3" t="s">
        <v>41</v>
      </c>
      <c r="G918" s="1" t="s">
        <v>148</v>
      </c>
      <c r="H918" s="1">
        <v>30</v>
      </c>
      <c r="I918" s="1">
        <v>29</v>
      </c>
      <c r="J918" s="2">
        <v>3.3300000000000003E-2</v>
      </c>
      <c r="K918">
        <f t="shared" si="42"/>
        <v>0.96570000000000011</v>
      </c>
      <c r="L918">
        <f t="shared" si="43"/>
        <v>28.034299999999998</v>
      </c>
      <c r="M918" t="str">
        <f t="shared" si="44"/>
        <v>Mar-2018</v>
      </c>
    </row>
    <row r="919" spans="1:13" x14ac:dyDescent="0.3">
      <c r="A919" t="s">
        <v>1442</v>
      </c>
      <c r="B919" s="1" t="s">
        <v>154</v>
      </c>
      <c r="C919" s="1" t="s">
        <v>108</v>
      </c>
      <c r="D919" s="1" t="s">
        <v>19</v>
      </c>
      <c r="E919" s="5">
        <v>42849</v>
      </c>
      <c r="F919" s="3" t="s">
        <v>72</v>
      </c>
      <c r="G919" s="1" t="s">
        <v>155</v>
      </c>
      <c r="H919" s="1">
        <v>500</v>
      </c>
      <c r="I919" s="1">
        <v>500</v>
      </c>
      <c r="J919" s="2">
        <v>0</v>
      </c>
      <c r="K919">
        <f t="shared" si="42"/>
        <v>0</v>
      </c>
      <c r="L919">
        <f t="shared" si="43"/>
        <v>500</v>
      </c>
      <c r="M919" t="str">
        <f t="shared" si="44"/>
        <v>Apr-2017</v>
      </c>
    </row>
    <row r="920" spans="1:13" x14ac:dyDescent="0.3">
      <c r="A920" t="s">
        <v>1443</v>
      </c>
      <c r="B920" s="1" t="s">
        <v>59</v>
      </c>
      <c r="C920" s="1" t="s">
        <v>60</v>
      </c>
      <c r="D920" s="1" t="s">
        <v>13</v>
      </c>
      <c r="E920" s="5">
        <v>41747</v>
      </c>
      <c r="F920" s="3" t="s">
        <v>115</v>
      </c>
      <c r="G920" s="1" t="s">
        <v>614</v>
      </c>
      <c r="H920" s="1">
        <v>250</v>
      </c>
      <c r="I920" s="1">
        <v>225</v>
      </c>
      <c r="J920" s="2">
        <v>0.1</v>
      </c>
      <c r="K920">
        <f t="shared" si="42"/>
        <v>22.5</v>
      </c>
      <c r="L920">
        <f t="shared" si="43"/>
        <v>202.5</v>
      </c>
      <c r="M920" t="str">
        <f t="shared" si="44"/>
        <v>Apr-2014</v>
      </c>
    </row>
    <row r="921" spans="1:13" x14ac:dyDescent="0.3">
      <c r="A921" t="s">
        <v>1444</v>
      </c>
      <c r="B921" s="1" t="s">
        <v>11</v>
      </c>
      <c r="C921" s="1" t="s">
        <v>12</v>
      </c>
      <c r="D921" s="1" t="s">
        <v>13</v>
      </c>
      <c r="E921" s="5">
        <v>42508</v>
      </c>
      <c r="F921" s="3" t="s">
        <v>14</v>
      </c>
      <c r="G921" s="1" t="s">
        <v>137</v>
      </c>
      <c r="H921" s="1">
        <v>80</v>
      </c>
      <c r="I921" s="1">
        <v>78</v>
      </c>
      <c r="J921" s="2">
        <v>2.5000000000000001E-2</v>
      </c>
      <c r="K921">
        <f t="shared" si="42"/>
        <v>1.9500000000000002</v>
      </c>
      <c r="L921">
        <f t="shared" si="43"/>
        <v>76.05</v>
      </c>
      <c r="M921" t="str">
        <f t="shared" si="44"/>
        <v>May-2016</v>
      </c>
    </row>
    <row r="922" spans="1:13" x14ac:dyDescent="0.3">
      <c r="A922" t="s">
        <v>1445</v>
      </c>
      <c r="B922" s="1" t="s">
        <v>28</v>
      </c>
      <c r="C922" s="1" t="s">
        <v>29</v>
      </c>
      <c r="D922" s="1" t="s">
        <v>13</v>
      </c>
      <c r="E922" s="5">
        <v>42334</v>
      </c>
      <c r="F922" s="3" t="s">
        <v>122</v>
      </c>
      <c r="G922" s="1" t="s">
        <v>31</v>
      </c>
      <c r="H922" s="1">
        <v>50</v>
      </c>
      <c r="I922" s="1">
        <v>32</v>
      </c>
      <c r="J922" s="2">
        <v>0.36</v>
      </c>
      <c r="K922">
        <f t="shared" si="42"/>
        <v>11.52</v>
      </c>
      <c r="L922">
        <f t="shared" si="43"/>
        <v>20.48</v>
      </c>
      <c r="M922" t="str">
        <f t="shared" si="44"/>
        <v>Nov-2015</v>
      </c>
    </row>
    <row r="923" spans="1:13" x14ac:dyDescent="0.3">
      <c r="A923" t="s">
        <v>1446</v>
      </c>
      <c r="B923" s="1" t="s">
        <v>400</v>
      </c>
      <c r="C923" s="1" t="s">
        <v>401</v>
      </c>
      <c r="D923" s="1" t="s">
        <v>13</v>
      </c>
      <c r="E923" s="5">
        <v>42932</v>
      </c>
      <c r="F923" s="3" t="s">
        <v>122</v>
      </c>
      <c r="G923" s="1" t="s">
        <v>486</v>
      </c>
      <c r="H923" s="1">
        <v>50</v>
      </c>
      <c r="I923" s="1">
        <v>41</v>
      </c>
      <c r="J923" s="2">
        <v>0.18</v>
      </c>
      <c r="K923">
        <f t="shared" si="42"/>
        <v>7.38</v>
      </c>
      <c r="L923">
        <f t="shared" si="43"/>
        <v>33.619999999999997</v>
      </c>
      <c r="M923" t="str">
        <f t="shared" si="44"/>
        <v>Jul-2017</v>
      </c>
    </row>
    <row r="924" spans="1:13" x14ac:dyDescent="0.3">
      <c r="A924" t="s">
        <v>1447</v>
      </c>
      <c r="B924" s="1" t="s">
        <v>22</v>
      </c>
      <c r="C924" s="1" t="s">
        <v>23</v>
      </c>
      <c r="D924" s="1" t="s">
        <v>24</v>
      </c>
      <c r="E924" s="5">
        <v>42846</v>
      </c>
      <c r="F924" s="3" t="s">
        <v>104</v>
      </c>
      <c r="G924" s="1" t="s">
        <v>483</v>
      </c>
      <c r="H924" s="1">
        <v>70</v>
      </c>
      <c r="I924" s="1">
        <v>60</v>
      </c>
      <c r="J924" s="2">
        <v>0.1429</v>
      </c>
      <c r="K924">
        <f t="shared" si="42"/>
        <v>8.5739999999999998</v>
      </c>
      <c r="L924">
        <f t="shared" si="43"/>
        <v>51.426000000000002</v>
      </c>
      <c r="M924" t="str">
        <f t="shared" si="44"/>
        <v>Apr-2017</v>
      </c>
    </row>
    <row r="925" spans="1:13" x14ac:dyDescent="0.3">
      <c r="A925" t="s">
        <v>1448</v>
      </c>
      <c r="B925" s="1" t="s">
        <v>91</v>
      </c>
      <c r="C925" s="1" t="s">
        <v>92</v>
      </c>
      <c r="D925" s="1" t="s">
        <v>35</v>
      </c>
      <c r="E925" s="5">
        <v>41713</v>
      </c>
      <c r="F925" s="3" t="s">
        <v>104</v>
      </c>
      <c r="G925" s="1" t="s">
        <v>939</v>
      </c>
      <c r="H925" s="1">
        <v>70</v>
      </c>
      <c r="I925" s="1">
        <v>69</v>
      </c>
      <c r="J925" s="2">
        <v>1.43E-2</v>
      </c>
      <c r="K925">
        <f t="shared" si="42"/>
        <v>0.98670000000000002</v>
      </c>
      <c r="L925">
        <f t="shared" si="43"/>
        <v>68.013300000000001</v>
      </c>
      <c r="M925" t="str">
        <f t="shared" si="44"/>
        <v>Mar-2014</v>
      </c>
    </row>
    <row r="926" spans="1:13" x14ac:dyDescent="0.3">
      <c r="A926" t="s">
        <v>1449</v>
      </c>
      <c r="B926" s="1" t="s">
        <v>53</v>
      </c>
      <c r="C926" s="1" t="s">
        <v>54</v>
      </c>
      <c r="D926" s="1" t="s">
        <v>13</v>
      </c>
      <c r="E926" s="5">
        <v>41847</v>
      </c>
      <c r="F926" s="3" t="s">
        <v>46</v>
      </c>
      <c r="G926" s="1" t="s">
        <v>814</v>
      </c>
      <c r="H926" s="1">
        <v>500</v>
      </c>
      <c r="I926" s="1">
        <v>490</v>
      </c>
      <c r="J926" s="2">
        <v>0.02</v>
      </c>
      <c r="K926">
        <f t="shared" si="42"/>
        <v>9.8000000000000007</v>
      </c>
      <c r="L926">
        <f t="shared" si="43"/>
        <v>480.2</v>
      </c>
      <c r="M926" t="str">
        <f t="shared" si="44"/>
        <v>Jul-2014</v>
      </c>
    </row>
    <row r="927" spans="1:13" x14ac:dyDescent="0.3">
      <c r="A927" t="s">
        <v>1450</v>
      </c>
      <c r="B927" s="1" t="s">
        <v>91</v>
      </c>
      <c r="C927" s="1" t="s">
        <v>92</v>
      </c>
      <c r="D927" s="1" t="s">
        <v>35</v>
      </c>
      <c r="E927" s="5">
        <v>43216</v>
      </c>
      <c r="F927" s="3" t="s">
        <v>104</v>
      </c>
      <c r="G927" s="1" t="s">
        <v>93</v>
      </c>
      <c r="H927" s="1">
        <v>70</v>
      </c>
      <c r="I927" s="1">
        <v>69</v>
      </c>
      <c r="J927" s="2">
        <v>1.43E-2</v>
      </c>
      <c r="K927">
        <f t="shared" si="42"/>
        <v>0.98670000000000002</v>
      </c>
      <c r="L927">
        <f t="shared" si="43"/>
        <v>68.013300000000001</v>
      </c>
      <c r="M927" t="str">
        <f t="shared" si="44"/>
        <v>Apr-2018</v>
      </c>
    </row>
    <row r="928" spans="1:13" x14ac:dyDescent="0.3">
      <c r="A928" t="s">
        <v>1451</v>
      </c>
      <c r="B928" s="1" t="s">
        <v>99</v>
      </c>
      <c r="C928" s="1" t="s">
        <v>100</v>
      </c>
      <c r="D928" s="1" t="s">
        <v>13</v>
      </c>
      <c r="E928" s="5">
        <v>42211</v>
      </c>
      <c r="F928" s="3" t="s">
        <v>61</v>
      </c>
      <c r="G928" s="1" t="s">
        <v>101</v>
      </c>
      <c r="H928" s="1">
        <v>1000</v>
      </c>
      <c r="I928" s="1">
        <v>640</v>
      </c>
      <c r="J928" s="2">
        <v>0.36</v>
      </c>
      <c r="K928">
        <f t="shared" si="42"/>
        <v>230.39999999999998</v>
      </c>
      <c r="L928">
        <f t="shared" si="43"/>
        <v>409.6</v>
      </c>
      <c r="M928" t="str">
        <f t="shared" si="44"/>
        <v>Jul-2015</v>
      </c>
    </row>
    <row r="929" spans="1:13" x14ac:dyDescent="0.3">
      <c r="A929" t="s">
        <v>1452</v>
      </c>
      <c r="B929" s="1" t="s">
        <v>64</v>
      </c>
      <c r="C929" s="1" t="s">
        <v>65</v>
      </c>
      <c r="D929" s="1" t="s">
        <v>35</v>
      </c>
      <c r="E929" s="5">
        <v>43271</v>
      </c>
      <c r="F929" s="3" t="s">
        <v>61</v>
      </c>
      <c r="G929" s="1" t="s">
        <v>280</v>
      </c>
      <c r="H929" s="1">
        <v>1000</v>
      </c>
      <c r="I929" s="1">
        <v>1000</v>
      </c>
      <c r="J929" s="2">
        <v>0</v>
      </c>
      <c r="K929">
        <f t="shared" si="42"/>
        <v>0</v>
      </c>
      <c r="L929">
        <f t="shared" si="43"/>
        <v>1000</v>
      </c>
      <c r="M929" t="str">
        <f t="shared" si="44"/>
        <v>Jun-2018</v>
      </c>
    </row>
    <row r="930" spans="1:13" x14ac:dyDescent="0.3">
      <c r="A930" t="s">
        <v>1453</v>
      </c>
      <c r="B930" s="1" t="s">
        <v>241</v>
      </c>
      <c r="C930" s="1" t="s">
        <v>242</v>
      </c>
      <c r="D930" s="1" t="s">
        <v>13</v>
      </c>
      <c r="E930" s="5">
        <v>43264</v>
      </c>
      <c r="F930" s="3" t="s">
        <v>14</v>
      </c>
      <c r="G930" s="1" t="s">
        <v>1152</v>
      </c>
      <c r="H930" s="1">
        <v>80</v>
      </c>
      <c r="I930" s="1">
        <v>70</v>
      </c>
      <c r="J930" s="2">
        <v>0.125</v>
      </c>
      <c r="K930">
        <f t="shared" si="42"/>
        <v>8.75</v>
      </c>
      <c r="L930">
        <f t="shared" si="43"/>
        <v>61.25</v>
      </c>
      <c r="M930" t="str">
        <f t="shared" si="44"/>
        <v>Jun-2018</v>
      </c>
    </row>
    <row r="931" spans="1:13" x14ac:dyDescent="0.3">
      <c r="A931" t="s">
        <v>1454</v>
      </c>
      <c r="B931" s="1" t="s">
        <v>44</v>
      </c>
      <c r="C931" s="1" t="s">
        <v>45</v>
      </c>
      <c r="D931" s="1" t="s">
        <v>24</v>
      </c>
      <c r="E931" s="5">
        <v>43295</v>
      </c>
      <c r="F931" s="3" t="s">
        <v>30</v>
      </c>
      <c r="G931" s="1" t="s">
        <v>1146</v>
      </c>
      <c r="H931" s="1">
        <v>150</v>
      </c>
      <c r="I931" s="1">
        <v>135</v>
      </c>
      <c r="J931" s="2">
        <v>0.1</v>
      </c>
      <c r="K931">
        <f t="shared" si="42"/>
        <v>13.5</v>
      </c>
      <c r="L931">
        <f t="shared" si="43"/>
        <v>121.5</v>
      </c>
      <c r="M931" t="str">
        <f t="shared" si="44"/>
        <v>Jul-2018</v>
      </c>
    </row>
    <row r="932" spans="1:13" x14ac:dyDescent="0.3">
      <c r="A932" t="s">
        <v>1455</v>
      </c>
      <c r="B932" s="1" t="s">
        <v>174</v>
      </c>
      <c r="C932" s="1" t="s">
        <v>175</v>
      </c>
      <c r="D932" s="1" t="s">
        <v>13</v>
      </c>
      <c r="E932" s="5">
        <v>41774</v>
      </c>
      <c r="F932" s="3" t="s">
        <v>25</v>
      </c>
      <c r="G932" s="1" t="s">
        <v>1456</v>
      </c>
      <c r="H932" s="1">
        <v>700</v>
      </c>
      <c r="I932" s="1">
        <v>623</v>
      </c>
      <c r="J932" s="2">
        <v>0.11</v>
      </c>
      <c r="K932">
        <f t="shared" si="42"/>
        <v>68.53</v>
      </c>
      <c r="L932">
        <f t="shared" si="43"/>
        <v>554.47</v>
      </c>
      <c r="M932" t="str">
        <f t="shared" si="44"/>
        <v>May-2014</v>
      </c>
    </row>
    <row r="933" spans="1:13" x14ac:dyDescent="0.3">
      <c r="A933" t="s">
        <v>1457</v>
      </c>
      <c r="B933" s="1" t="s">
        <v>85</v>
      </c>
      <c r="C933" s="1" t="s">
        <v>86</v>
      </c>
      <c r="D933" s="1" t="s">
        <v>13</v>
      </c>
      <c r="E933" s="5">
        <v>41939</v>
      </c>
      <c r="F933" s="3" t="s">
        <v>115</v>
      </c>
      <c r="G933" s="1" t="s">
        <v>1458</v>
      </c>
      <c r="H933" s="1">
        <v>250</v>
      </c>
      <c r="I933" s="1">
        <v>245</v>
      </c>
      <c r="J933" s="2">
        <v>0.02</v>
      </c>
      <c r="K933">
        <f t="shared" si="42"/>
        <v>4.9000000000000004</v>
      </c>
      <c r="L933">
        <f t="shared" si="43"/>
        <v>240.1</v>
      </c>
      <c r="M933" t="str">
        <f t="shared" si="44"/>
        <v>Oct-2014</v>
      </c>
    </row>
    <row r="934" spans="1:13" x14ac:dyDescent="0.3">
      <c r="A934" t="s">
        <v>1459</v>
      </c>
      <c r="B934" s="1" t="s">
        <v>264</v>
      </c>
      <c r="C934" s="1" t="s">
        <v>265</v>
      </c>
      <c r="D934" s="1" t="s">
        <v>13</v>
      </c>
      <c r="E934" s="5">
        <v>42992</v>
      </c>
      <c r="F934" s="3" t="s">
        <v>46</v>
      </c>
      <c r="G934" s="1" t="s">
        <v>314</v>
      </c>
      <c r="H934" s="1">
        <v>500</v>
      </c>
      <c r="I934" s="1">
        <v>500</v>
      </c>
      <c r="J934" s="2">
        <v>0</v>
      </c>
      <c r="K934">
        <f t="shared" si="42"/>
        <v>0</v>
      </c>
      <c r="L934">
        <f t="shared" si="43"/>
        <v>500</v>
      </c>
      <c r="M934" t="str">
        <f t="shared" si="44"/>
        <v>Sep-2017</v>
      </c>
    </row>
    <row r="935" spans="1:13" x14ac:dyDescent="0.3">
      <c r="A935" t="s">
        <v>1460</v>
      </c>
      <c r="B935" s="1" t="s">
        <v>146</v>
      </c>
      <c r="C935" s="1" t="s">
        <v>147</v>
      </c>
      <c r="D935" s="1" t="s">
        <v>13</v>
      </c>
      <c r="E935" s="5">
        <v>42033</v>
      </c>
      <c r="F935" s="3" t="s">
        <v>25</v>
      </c>
      <c r="G935" s="1" t="s">
        <v>830</v>
      </c>
      <c r="H935" s="1">
        <v>700</v>
      </c>
      <c r="I935" s="1">
        <v>700</v>
      </c>
      <c r="J935" s="2">
        <v>0</v>
      </c>
      <c r="K935">
        <f t="shared" si="42"/>
        <v>0</v>
      </c>
      <c r="L935">
        <f t="shared" si="43"/>
        <v>700</v>
      </c>
      <c r="M935" t="str">
        <f t="shared" si="44"/>
        <v>Jan-2015</v>
      </c>
    </row>
    <row r="936" spans="1:13" x14ac:dyDescent="0.3">
      <c r="A936" t="s">
        <v>1461</v>
      </c>
      <c r="B936" s="1" t="s">
        <v>99</v>
      </c>
      <c r="C936" s="1" t="s">
        <v>100</v>
      </c>
      <c r="D936" s="1" t="s">
        <v>13</v>
      </c>
      <c r="E936" s="5">
        <v>42242</v>
      </c>
      <c r="F936" s="3" t="s">
        <v>46</v>
      </c>
      <c r="G936" s="1" t="s">
        <v>594</v>
      </c>
      <c r="H936" s="1">
        <v>500</v>
      </c>
      <c r="I936" s="1">
        <v>480</v>
      </c>
      <c r="J936" s="2">
        <v>0.04</v>
      </c>
      <c r="K936">
        <f t="shared" si="42"/>
        <v>19.2</v>
      </c>
      <c r="L936">
        <f t="shared" si="43"/>
        <v>460.8</v>
      </c>
      <c r="M936" t="str">
        <f t="shared" si="44"/>
        <v>Aug-2015</v>
      </c>
    </row>
    <row r="937" spans="1:13" x14ac:dyDescent="0.3">
      <c r="A937" t="s">
        <v>1462</v>
      </c>
      <c r="B937" s="1" t="s">
        <v>99</v>
      </c>
      <c r="C937" s="1" t="s">
        <v>100</v>
      </c>
      <c r="D937" s="1" t="s">
        <v>13</v>
      </c>
      <c r="E937" s="5">
        <v>42477</v>
      </c>
      <c r="F937" s="3" t="s">
        <v>115</v>
      </c>
      <c r="G937" s="1" t="s">
        <v>1090</v>
      </c>
      <c r="H937" s="1">
        <v>250</v>
      </c>
      <c r="I937" s="1">
        <v>243</v>
      </c>
      <c r="J937" s="2">
        <v>2.8000000000000001E-2</v>
      </c>
      <c r="K937">
        <f t="shared" si="42"/>
        <v>6.8040000000000003</v>
      </c>
      <c r="L937">
        <f t="shared" si="43"/>
        <v>236.196</v>
      </c>
      <c r="M937" t="str">
        <f t="shared" si="44"/>
        <v>Apr-2016</v>
      </c>
    </row>
    <row r="938" spans="1:13" x14ac:dyDescent="0.3">
      <c r="A938" t="s">
        <v>1463</v>
      </c>
      <c r="B938" s="1" t="s">
        <v>49</v>
      </c>
      <c r="C938" s="1" t="s">
        <v>50</v>
      </c>
      <c r="D938" s="1" t="s">
        <v>24</v>
      </c>
      <c r="E938" s="5">
        <v>41757</v>
      </c>
      <c r="F938" s="3" t="s">
        <v>61</v>
      </c>
      <c r="G938" s="1" t="s">
        <v>699</v>
      </c>
      <c r="H938" s="1">
        <v>1000</v>
      </c>
      <c r="I938" s="1">
        <v>950</v>
      </c>
      <c r="J938" s="2">
        <v>0.05</v>
      </c>
      <c r="K938">
        <f t="shared" si="42"/>
        <v>47.5</v>
      </c>
      <c r="L938">
        <f t="shared" si="43"/>
        <v>902.5</v>
      </c>
      <c r="M938" t="str">
        <f t="shared" si="44"/>
        <v>Apr-2014</v>
      </c>
    </row>
    <row r="939" spans="1:13" x14ac:dyDescent="0.3">
      <c r="A939" t="s">
        <v>1464</v>
      </c>
      <c r="B939" s="1" t="s">
        <v>111</v>
      </c>
      <c r="C939" s="1" t="s">
        <v>82</v>
      </c>
      <c r="D939" s="1" t="s">
        <v>13</v>
      </c>
      <c r="E939" s="5">
        <v>43368</v>
      </c>
      <c r="F939" s="3" t="s">
        <v>122</v>
      </c>
      <c r="G939" s="1" t="s">
        <v>820</v>
      </c>
      <c r="H939" s="1">
        <v>50</v>
      </c>
      <c r="I939" s="1">
        <v>47</v>
      </c>
      <c r="J939" s="2">
        <v>0.06</v>
      </c>
      <c r="K939">
        <f t="shared" si="42"/>
        <v>2.82</v>
      </c>
      <c r="L939">
        <f t="shared" si="43"/>
        <v>44.18</v>
      </c>
      <c r="M939" t="str">
        <f t="shared" si="44"/>
        <v>Sep-2018</v>
      </c>
    </row>
    <row r="940" spans="1:13" x14ac:dyDescent="0.3">
      <c r="A940" t="s">
        <v>1465</v>
      </c>
      <c r="B940" s="1" t="s">
        <v>154</v>
      </c>
      <c r="C940" s="1" t="s">
        <v>108</v>
      </c>
      <c r="D940" s="1" t="s">
        <v>19</v>
      </c>
      <c r="E940" s="5">
        <v>41871</v>
      </c>
      <c r="F940" s="3" t="s">
        <v>41</v>
      </c>
      <c r="G940" s="1" t="s">
        <v>352</v>
      </c>
      <c r="H940" s="1">
        <v>30</v>
      </c>
      <c r="I940" s="1">
        <v>27</v>
      </c>
      <c r="J940" s="2">
        <v>0.1</v>
      </c>
      <c r="K940">
        <f t="shared" si="42"/>
        <v>2.7</v>
      </c>
      <c r="L940">
        <f t="shared" si="43"/>
        <v>24.3</v>
      </c>
      <c r="M940" t="str">
        <f t="shared" si="44"/>
        <v>Aug-2014</v>
      </c>
    </row>
    <row r="941" spans="1:13" x14ac:dyDescent="0.3">
      <c r="A941" t="s">
        <v>1466</v>
      </c>
      <c r="B941" s="1" t="s">
        <v>241</v>
      </c>
      <c r="C941" s="1" t="s">
        <v>242</v>
      </c>
      <c r="D941" s="1" t="s">
        <v>13</v>
      </c>
      <c r="E941" s="5">
        <v>43404</v>
      </c>
      <c r="F941" s="3" t="s">
        <v>41</v>
      </c>
      <c r="G941" s="1" t="s">
        <v>426</v>
      </c>
      <c r="H941" s="1">
        <v>30</v>
      </c>
      <c r="I941" s="1">
        <v>29</v>
      </c>
      <c r="J941" s="2">
        <v>3.3300000000000003E-2</v>
      </c>
      <c r="K941">
        <f t="shared" si="42"/>
        <v>0.96570000000000011</v>
      </c>
      <c r="L941">
        <f t="shared" si="43"/>
        <v>28.034299999999998</v>
      </c>
      <c r="M941" t="str">
        <f t="shared" si="44"/>
        <v>Oct-2018</v>
      </c>
    </row>
    <row r="942" spans="1:13" x14ac:dyDescent="0.3">
      <c r="A942" t="s">
        <v>1467</v>
      </c>
      <c r="B942" s="1" t="s">
        <v>324</v>
      </c>
      <c r="C942" s="1" t="s">
        <v>325</v>
      </c>
      <c r="D942" s="1" t="s">
        <v>13</v>
      </c>
      <c r="E942" s="5">
        <v>41688</v>
      </c>
      <c r="F942" s="3" t="s">
        <v>14</v>
      </c>
      <c r="G942" s="1" t="s">
        <v>1468</v>
      </c>
      <c r="H942" s="1">
        <v>80</v>
      </c>
      <c r="I942" s="1">
        <v>76</v>
      </c>
      <c r="J942" s="2">
        <v>0.05</v>
      </c>
      <c r="K942">
        <f t="shared" si="42"/>
        <v>3.8000000000000003</v>
      </c>
      <c r="L942">
        <f t="shared" si="43"/>
        <v>72.2</v>
      </c>
      <c r="M942" t="str">
        <f t="shared" si="44"/>
        <v>Feb-2014</v>
      </c>
    </row>
    <row r="943" spans="1:13" x14ac:dyDescent="0.3">
      <c r="A943" t="s">
        <v>1469</v>
      </c>
      <c r="B943" s="1" t="s">
        <v>324</v>
      </c>
      <c r="C943" s="1" t="s">
        <v>325</v>
      </c>
      <c r="D943" s="1" t="s">
        <v>13</v>
      </c>
      <c r="E943" s="5">
        <v>42332</v>
      </c>
      <c r="F943" s="3" t="s">
        <v>104</v>
      </c>
      <c r="G943" s="1" t="s">
        <v>1009</v>
      </c>
      <c r="H943" s="1">
        <v>70</v>
      </c>
      <c r="I943" s="1">
        <v>69</v>
      </c>
      <c r="J943" s="2">
        <v>1.43E-2</v>
      </c>
      <c r="K943">
        <f t="shared" si="42"/>
        <v>0.98670000000000002</v>
      </c>
      <c r="L943">
        <f t="shared" si="43"/>
        <v>68.013300000000001</v>
      </c>
      <c r="M943" t="str">
        <f t="shared" si="44"/>
        <v>Nov-2015</v>
      </c>
    </row>
    <row r="944" spans="1:13" x14ac:dyDescent="0.3">
      <c r="A944" t="s">
        <v>1470</v>
      </c>
      <c r="B944" s="1" t="s">
        <v>107</v>
      </c>
      <c r="C944" s="1" t="s">
        <v>108</v>
      </c>
      <c r="D944" s="1" t="s">
        <v>19</v>
      </c>
      <c r="E944" s="5">
        <v>41935</v>
      </c>
      <c r="F944" s="3" t="s">
        <v>14</v>
      </c>
      <c r="G944" s="1" t="s">
        <v>894</v>
      </c>
      <c r="H944" s="1">
        <v>80</v>
      </c>
      <c r="I944" s="1">
        <v>76</v>
      </c>
      <c r="J944" s="2">
        <v>0.05</v>
      </c>
      <c r="K944">
        <f t="shared" si="42"/>
        <v>3.8000000000000003</v>
      </c>
      <c r="L944">
        <f t="shared" si="43"/>
        <v>72.2</v>
      </c>
      <c r="M944" t="str">
        <f t="shared" si="44"/>
        <v>Oct-2014</v>
      </c>
    </row>
    <row r="945" spans="1:13" x14ac:dyDescent="0.3">
      <c r="A945" t="s">
        <v>1471</v>
      </c>
      <c r="B945" s="1" t="s">
        <v>81</v>
      </c>
      <c r="C945" s="1" t="s">
        <v>82</v>
      </c>
      <c r="D945" s="1" t="s">
        <v>13</v>
      </c>
      <c r="E945" s="5">
        <v>43184</v>
      </c>
      <c r="F945" s="3" t="s">
        <v>46</v>
      </c>
      <c r="G945" s="1" t="s">
        <v>282</v>
      </c>
      <c r="H945" s="1">
        <v>500</v>
      </c>
      <c r="I945" s="1">
        <v>430</v>
      </c>
      <c r="J945" s="2">
        <v>0.14000000000000001</v>
      </c>
      <c r="K945">
        <f t="shared" si="42"/>
        <v>60.2</v>
      </c>
      <c r="L945">
        <f t="shared" si="43"/>
        <v>369.8</v>
      </c>
      <c r="M945" t="str">
        <f t="shared" si="44"/>
        <v>Mar-2018</v>
      </c>
    </row>
    <row r="946" spans="1:13" x14ac:dyDescent="0.3">
      <c r="A946" t="s">
        <v>1472</v>
      </c>
      <c r="B946" s="1" t="s">
        <v>99</v>
      </c>
      <c r="C946" s="1" t="s">
        <v>100</v>
      </c>
      <c r="D946" s="1" t="s">
        <v>13</v>
      </c>
      <c r="E946" s="5">
        <v>42173</v>
      </c>
      <c r="F946" s="3" t="s">
        <v>41</v>
      </c>
      <c r="G946" s="1" t="s">
        <v>911</v>
      </c>
      <c r="H946" s="1">
        <v>30</v>
      </c>
      <c r="I946" s="1">
        <v>28</v>
      </c>
      <c r="J946" s="2">
        <v>6.6699999999999995E-2</v>
      </c>
      <c r="K946">
        <f t="shared" si="42"/>
        <v>1.8675999999999999</v>
      </c>
      <c r="L946">
        <f t="shared" si="43"/>
        <v>26.132400000000001</v>
      </c>
      <c r="M946" t="str">
        <f t="shared" si="44"/>
        <v>Jun-2015</v>
      </c>
    </row>
    <row r="947" spans="1:13" x14ac:dyDescent="0.3">
      <c r="A947" t="s">
        <v>1473</v>
      </c>
      <c r="B947" s="1" t="s">
        <v>134</v>
      </c>
      <c r="C947" s="1" t="s">
        <v>92</v>
      </c>
      <c r="D947" s="1" t="s">
        <v>35</v>
      </c>
      <c r="E947" s="5">
        <v>43360</v>
      </c>
      <c r="F947" s="3" t="s">
        <v>36</v>
      </c>
      <c r="G947" s="1" t="s">
        <v>1019</v>
      </c>
      <c r="H947" s="1">
        <v>50</v>
      </c>
      <c r="I947" s="1">
        <v>45</v>
      </c>
      <c r="J947" s="2">
        <v>0.1</v>
      </c>
      <c r="K947">
        <f t="shared" si="42"/>
        <v>4.5</v>
      </c>
      <c r="L947">
        <f t="shared" si="43"/>
        <v>40.5</v>
      </c>
      <c r="M947" t="str">
        <f t="shared" si="44"/>
        <v>Sep-2018</v>
      </c>
    </row>
    <row r="948" spans="1:13" x14ac:dyDescent="0.3">
      <c r="A948" t="s">
        <v>1474</v>
      </c>
      <c r="B948" s="1" t="s">
        <v>134</v>
      </c>
      <c r="C948" s="1" t="s">
        <v>92</v>
      </c>
      <c r="D948" s="1" t="s">
        <v>35</v>
      </c>
      <c r="E948" s="5">
        <v>42245</v>
      </c>
      <c r="F948" s="3" t="s">
        <v>104</v>
      </c>
      <c r="G948" s="1" t="s">
        <v>1475</v>
      </c>
      <c r="H948" s="1">
        <v>70</v>
      </c>
      <c r="I948" s="1">
        <v>57</v>
      </c>
      <c r="J948" s="2">
        <v>0.1857</v>
      </c>
      <c r="K948">
        <f t="shared" si="42"/>
        <v>10.584900000000001</v>
      </c>
      <c r="L948">
        <f t="shared" si="43"/>
        <v>46.415099999999995</v>
      </c>
      <c r="M948" t="str">
        <f t="shared" si="44"/>
        <v>Aug-2015</v>
      </c>
    </row>
    <row r="949" spans="1:13" x14ac:dyDescent="0.3">
      <c r="A949" t="s">
        <v>1476</v>
      </c>
      <c r="B949" s="1" t="s">
        <v>227</v>
      </c>
      <c r="C949" s="1" t="s">
        <v>228</v>
      </c>
      <c r="D949" s="1" t="s">
        <v>24</v>
      </c>
      <c r="E949" s="5">
        <v>43025</v>
      </c>
      <c r="F949" s="3" t="s">
        <v>61</v>
      </c>
      <c r="G949" s="1" t="s">
        <v>870</v>
      </c>
      <c r="H949" s="1">
        <v>1000</v>
      </c>
      <c r="I949" s="1">
        <v>730</v>
      </c>
      <c r="J949" s="2">
        <v>0.27</v>
      </c>
      <c r="K949">
        <f t="shared" si="42"/>
        <v>197.10000000000002</v>
      </c>
      <c r="L949">
        <f t="shared" si="43"/>
        <v>532.9</v>
      </c>
      <c r="M949" t="str">
        <f t="shared" si="44"/>
        <v>Oct-2017</v>
      </c>
    </row>
    <row r="950" spans="1:13" x14ac:dyDescent="0.3">
      <c r="A950" t="s">
        <v>1477</v>
      </c>
      <c r="B950" s="1" t="s">
        <v>205</v>
      </c>
      <c r="C950" s="1" t="s">
        <v>206</v>
      </c>
      <c r="D950" s="1" t="s">
        <v>24</v>
      </c>
      <c r="E950" s="5">
        <v>42962</v>
      </c>
      <c r="F950" s="3" t="s">
        <v>61</v>
      </c>
      <c r="G950" s="1" t="s">
        <v>1478</v>
      </c>
      <c r="H950" s="1">
        <v>1000</v>
      </c>
      <c r="I950" s="1">
        <v>710</v>
      </c>
      <c r="J950" s="2">
        <v>0.28999999999999998</v>
      </c>
      <c r="K950">
        <f t="shared" si="42"/>
        <v>205.89999999999998</v>
      </c>
      <c r="L950">
        <f t="shared" si="43"/>
        <v>504.1</v>
      </c>
      <c r="M950" t="str">
        <f t="shared" si="44"/>
        <v>Aug-2017</v>
      </c>
    </row>
    <row r="951" spans="1:13" x14ac:dyDescent="0.3">
      <c r="A951" t="s">
        <v>1479</v>
      </c>
      <c r="B951" s="1" t="s">
        <v>53</v>
      </c>
      <c r="C951" s="1" t="s">
        <v>54</v>
      </c>
      <c r="D951" s="1" t="s">
        <v>13</v>
      </c>
      <c r="E951" s="5">
        <v>42388</v>
      </c>
      <c r="F951" s="3" t="s">
        <v>46</v>
      </c>
      <c r="G951" s="1" t="s">
        <v>404</v>
      </c>
      <c r="H951" s="1">
        <v>500</v>
      </c>
      <c r="I951" s="1">
        <v>500</v>
      </c>
      <c r="J951" s="2">
        <v>0</v>
      </c>
      <c r="K951">
        <f t="shared" si="42"/>
        <v>0</v>
      </c>
      <c r="L951">
        <f t="shared" si="43"/>
        <v>500</v>
      </c>
      <c r="M951" t="str">
        <f t="shared" si="44"/>
        <v>Jan-2016</v>
      </c>
    </row>
    <row r="952" spans="1:13" x14ac:dyDescent="0.3">
      <c r="A952" t="s">
        <v>1480</v>
      </c>
      <c r="B952" s="1" t="s">
        <v>205</v>
      </c>
      <c r="C952" s="1" t="s">
        <v>206</v>
      </c>
      <c r="D952" s="1" t="s">
        <v>24</v>
      </c>
      <c r="E952" s="5">
        <v>41667</v>
      </c>
      <c r="F952" s="3" t="s">
        <v>25</v>
      </c>
      <c r="G952" s="1" t="s">
        <v>251</v>
      </c>
      <c r="H952" s="1">
        <v>700</v>
      </c>
      <c r="I952" s="1">
        <v>693</v>
      </c>
      <c r="J952" s="2">
        <v>0.01</v>
      </c>
      <c r="K952">
        <f t="shared" si="42"/>
        <v>6.93</v>
      </c>
      <c r="L952">
        <f t="shared" si="43"/>
        <v>686.07</v>
      </c>
      <c r="M952" t="str">
        <f t="shared" si="44"/>
        <v>Jan-2014</v>
      </c>
    </row>
    <row r="953" spans="1:13" x14ac:dyDescent="0.3">
      <c r="A953" t="s">
        <v>1481</v>
      </c>
      <c r="B953" s="1" t="s">
        <v>157</v>
      </c>
      <c r="C953" s="1" t="s">
        <v>108</v>
      </c>
      <c r="D953" s="1" t="s">
        <v>19</v>
      </c>
      <c r="E953" s="5">
        <v>42179</v>
      </c>
      <c r="F953" s="3" t="s">
        <v>14</v>
      </c>
      <c r="G953" s="1" t="s">
        <v>304</v>
      </c>
      <c r="H953" s="1">
        <v>80</v>
      </c>
      <c r="I953" s="1">
        <v>56</v>
      </c>
      <c r="J953" s="2">
        <v>0.3</v>
      </c>
      <c r="K953">
        <f t="shared" si="42"/>
        <v>16.8</v>
      </c>
      <c r="L953">
        <f t="shared" si="43"/>
        <v>39.200000000000003</v>
      </c>
      <c r="M953" t="str">
        <f t="shared" si="44"/>
        <v>Jun-2015</v>
      </c>
    </row>
    <row r="954" spans="1:13" x14ac:dyDescent="0.3">
      <c r="A954" t="s">
        <v>1482</v>
      </c>
      <c r="B954" s="1" t="s">
        <v>124</v>
      </c>
      <c r="C954" s="1" t="s">
        <v>40</v>
      </c>
      <c r="D954" s="1" t="s">
        <v>35</v>
      </c>
      <c r="E954" s="5">
        <v>42052</v>
      </c>
      <c r="F954" s="3" t="s">
        <v>41</v>
      </c>
      <c r="G954" s="1" t="s">
        <v>970</v>
      </c>
      <c r="H954" s="1">
        <v>30</v>
      </c>
      <c r="I954" s="1">
        <v>27</v>
      </c>
      <c r="J954" s="2">
        <v>0.1</v>
      </c>
      <c r="K954">
        <f t="shared" si="42"/>
        <v>2.7</v>
      </c>
      <c r="L954">
        <f t="shared" si="43"/>
        <v>24.3</v>
      </c>
      <c r="M954" t="str">
        <f t="shared" si="44"/>
        <v>Feb-2015</v>
      </c>
    </row>
    <row r="955" spans="1:13" x14ac:dyDescent="0.3">
      <c r="A955" t="s">
        <v>1483</v>
      </c>
      <c r="B955" s="1" t="s">
        <v>224</v>
      </c>
      <c r="C955" s="1" t="s">
        <v>50</v>
      </c>
      <c r="D955" s="1" t="s">
        <v>24</v>
      </c>
      <c r="E955" s="5">
        <v>41756</v>
      </c>
      <c r="F955" s="3" t="s">
        <v>104</v>
      </c>
      <c r="G955" s="1" t="s">
        <v>413</v>
      </c>
      <c r="H955" s="1">
        <v>70</v>
      </c>
      <c r="I955" s="1">
        <v>67</v>
      </c>
      <c r="J955" s="2">
        <v>4.2900000000000001E-2</v>
      </c>
      <c r="K955">
        <f t="shared" si="42"/>
        <v>2.8742999999999999</v>
      </c>
      <c r="L955">
        <f t="shared" si="43"/>
        <v>64.125699999999995</v>
      </c>
      <c r="M955" t="str">
        <f t="shared" si="44"/>
        <v>Apr-2014</v>
      </c>
    </row>
    <row r="956" spans="1:13" x14ac:dyDescent="0.3">
      <c r="A956" t="s">
        <v>1484</v>
      </c>
      <c r="B956" s="1" t="s">
        <v>157</v>
      </c>
      <c r="C956" s="1" t="s">
        <v>108</v>
      </c>
      <c r="D956" s="1" t="s">
        <v>19</v>
      </c>
      <c r="E956" s="5">
        <v>42817</v>
      </c>
      <c r="F956" s="3" t="s">
        <v>122</v>
      </c>
      <c r="G956" s="1" t="s">
        <v>1286</v>
      </c>
      <c r="H956" s="1">
        <v>50</v>
      </c>
      <c r="I956" s="1">
        <v>33</v>
      </c>
      <c r="J956" s="2">
        <v>0.34</v>
      </c>
      <c r="K956">
        <f t="shared" si="42"/>
        <v>11.22</v>
      </c>
      <c r="L956">
        <f t="shared" si="43"/>
        <v>21.78</v>
      </c>
      <c r="M956" t="str">
        <f t="shared" si="44"/>
        <v>Mar-2017</v>
      </c>
    </row>
    <row r="957" spans="1:13" x14ac:dyDescent="0.3">
      <c r="A957" t="s">
        <v>1485</v>
      </c>
      <c r="B957" s="1" t="s">
        <v>270</v>
      </c>
      <c r="C957" s="1" t="s">
        <v>271</v>
      </c>
      <c r="D957" s="1" t="s">
        <v>35</v>
      </c>
      <c r="E957" s="5">
        <v>43173</v>
      </c>
      <c r="F957" s="3" t="s">
        <v>14</v>
      </c>
      <c r="G957" s="1" t="s">
        <v>715</v>
      </c>
      <c r="H957" s="1">
        <v>80</v>
      </c>
      <c r="I957" s="1">
        <v>78</v>
      </c>
      <c r="J957" s="2">
        <v>2.5000000000000001E-2</v>
      </c>
      <c r="K957">
        <f t="shared" si="42"/>
        <v>1.9500000000000002</v>
      </c>
      <c r="L957">
        <f t="shared" si="43"/>
        <v>76.05</v>
      </c>
      <c r="M957" t="str">
        <f t="shared" si="44"/>
        <v>Mar-2018</v>
      </c>
    </row>
    <row r="958" spans="1:13" x14ac:dyDescent="0.3">
      <c r="A958" t="s">
        <v>1486</v>
      </c>
      <c r="B958" s="1" t="s">
        <v>49</v>
      </c>
      <c r="C958" s="1" t="s">
        <v>50</v>
      </c>
      <c r="D958" s="1" t="s">
        <v>24</v>
      </c>
      <c r="E958" s="5">
        <v>42916</v>
      </c>
      <c r="F958" s="3" t="s">
        <v>36</v>
      </c>
      <c r="G958" s="1" t="s">
        <v>51</v>
      </c>
      <c r="H958" s="1">
        <v>50</v>
      </c>
      <c r="I958" s="1">
        <v>49</v>
      </c>
      <c r="J958" s="2">
        <v>0.02</v>
      </c>
      <c r="K958">
        <f t="shared" si="42"/>
        <v>0.98</v>
      </c>
      <c r="L958">
        <f t="shared" si="43"/>
        <v>48.02</v>
      </c>
      <c r="M958" t="str">
        <f t="shared" si="44"/>
        <v>Jun-2017</v>
      </c>
    </row>
    <row r="959" spans="1:13" x14ac:dyDescent="0.3">
      <c r="A959" t="s">
        <v>1487</v>
      </c>
      <c r="B959" s="1" t="s">
        <v>170</v>
      </c>
      <c r="C959" s="1" t="s">
        <v>171</v>
      </c>
      <c r="D959" s="1" t="s">
        <v>13</v>
      </c>
      <c r="E959" s="5">
        <v>42137</v>
      </c>
      <c r="F959" s="3" t="s">
        <v>14</v>
      </c>
      <c r="G959" s="1" t="s">
        <v>1100</v>
      </c>
      <c r="H959" s="1">
        <v>80</v>
      </c>
      <c r="I959" s="1">
        <v>69</v>
      </c>
      <c r="J959" s="2">
        <v>0.13750000000000001</v>
      </c>
      <c r="K959">
        <f t="shared" si="42"/>
        <v>9.4875000000000007</v>
      </c>
      <c r="L959">
        <f t="shared" si="43"/>
        <v>59.512500000000003</v>
      </c>
      <c r="M959" t="str">
        <f t="shared" si="44"/>
        <v>May-2015</v>
      </c>
    </row>
    <row r="960" spans="1:13" x14ac:dyDescent="0.3">
      <c r="A960" t="s">
        <v>1488</v>
      </c>
      <c r="B960" s="1" t="s">
        <v>400</v>
      </c>
      <c r="C960" s="1" t="s">
        <v>401</v>
      </c>
      <c r="D960" s="1" t="s">
        <v>13</v>
      </c>
      <c r="E960" s="5">
        <v>43184</v>
      </c>
      <c r="F960" s="3" t="s">
        <v>122</v>
      </c>
      <c r="G960" s="1" t="s">
        <v>711</v>
      </c>
      <c r="H960" s="1">
        <v>50</v>
      </c>
      <c r="I960" s="1">
        <v>32</v>
      </c>
      <c r="J960" s="2">
        <v>0.36</v>
      </c>
      <c r="K960">
        <f t="shared" si="42"/>
        <v>11.52</v>
      </c>
      <c r="L960">
        <f t="shared" si="43"/>
        <v>20.48</v>
      </c>
      <c r="M960" t="str">
        <f t="shared" si="44"/>
        <v>Mar-2018</v>
      </c>
    </row>
    <row r="961" spans="1:13" x14ac:dyDescent="0.3">
      <c r="A961" t="s">
        <v>1489</v>
      </c>
      <c r="B961" s="1" t="s">
        <v>49</v>
      </c>
      <c r="C961" s="1" t="s">
        <v>50</v>
      </c>
      <c r="D961" s="1" t="s">
        <v>24</v>
      </c>
      <c r="E961" s="5">
        <v>43464</v>
      </c>
      <c r="F961" s="3" t="s">
        <v>61</v>
      </c>
      <c r="G961" s="1" t="s">
        <v>378</v>
      </c>
      <c r="H961" s="1">
        <v>1000</v>
      </c>
      <c r="I961" s="1">
        <v>580</v>
      </c>
      <c r="J961" s="2">
        <v>0.42</v>
      </c>
      <c r="K961">
        <f t="shared" si="42"/>
        <v>243.6</v>
      </c>
      <c r="L961">
        <f t="shared" si="43"/>
        <v>336.4</v>
      </c>
      <c r="M961" t="str">
        <f t="shared" si="44"/>
        <v>Dec-2018</v>
      </c>
    </row>
    <row r="962" spans="1:13" x14ac:dyDescent="0.3">
      <c r="A962" t="s">
        <v>1490</v>
      </c>
      <c r="B962" s="1" t="s">
        <v>241</v>
      </c>
      <c r="C962" s="1" t="s">
        <v>242</v>
      </c>
      <c r="D962" s="1" t="s">
        <v>13</v>
      </c>
      <c r="E962" s="5">
        <v>42877</v>
      </c>
      <c r="F962" s="3" t="s">
        <v>25</v>
      </c>
      <c r="G962" s="1" t="s">
        <v>287</v>
      </c>
      <c r="H962" s="1">
        <v>700</v>
      </c>
      <c r="I962" s="1">
        <v>609</v>
      </c>
      <c r="J962" s="2">
        <v>0.13</v>
      </c>
      <c r="K962">
        <f t="shared" si="42"/>
        <v>79.17</v>
      </c>
      <c r="L962">
        <f t="shared" si="43"/>
        <v>529.83000000000004</v>
      </c>
      <c r="M962" t="str">
        <f t="shared" si="44"/>
        <v>May-2017</v>
      </c>
    </row>
    <row r="963" spans="1:13" x14ac:dyDescent="0.3">
      <c r="A963" t="s">
        <v>1491</v>
      </c>
      <c r="B963" s="1" t="s">
        <v>146</v>
      </c>
      <c r="C963" s="1" t="s">
        <v>147</v>
      </c>
      <c r="D963" s="1" t="s">
        <v>13</v>
      </c>
      <c r="E963" s="5">
        <v>42538</v>
      </c>
      <c r="F963" s="3" t="s">
        <v>46</v>
      </c>
      <c r="G963" s="1" t="s">
        <v>148</v>
      </c>
      <c r="H963" s="1">
        <v>500</v>
      </c>
      <c r="I963" s="1">
        <v>480</v>
      </c>
      <c r="J963" s="2">
        <v>0.04</v>
      </c>
      <c r="K963">
        <f t="shared" si="42"/>
        <v>19.2</v>
      </c>
      <c r="L963">
        <f t="shared" si="43"/>
        <v>460.8</v>
      </c>
      <c r="M963" t="str">
        <f t="shared" si="44"/>
        <v>Jun-2016</v>
      </c>
    </row>
    <row r="964" spans="1:13" x14ac:dyDescent="0.3">
      <c r="A964" t="s">
        <v>1492</v>
      </c>
      <c r="B964" s="1" t="s">
        <v>81</v>
      </c>
      <c r="C964" s="1" t="s">
        <v>82</v>
      </c>
      <c r="D964" s="1" t="s">
        <v>13</v>
      </c>
      <c r="E964" s="5">
        <v>43372</v>
      </c>
      <c r="F964" s="3" t="s">
        <v>122</v>
      </c>
      <c r="G964" s="1" t="s">
        <v>1493</v>
      </c>
      <c r="H964" s="1">
        <v>50</v>
      </c>
      <c r="I964" s="1">
        <v>45</v>
      </c>
      <c r="J964" s="2">
        <v>0.1</v>
      </c>
      <c r="K964">
        <f t="shared" ref="K964:K1027" si="45">I964*J964</f>
        <v>4.5</v>
      </c>
      <c r="L964">
        <f t="shared" ref="L964:L1027" si="46">I964-K964</f>
        <v>40.5</v>
      </c>
      <c r="M964" t="str">
        <f t="shared" ref="M964:M1027" si="47">TEXT(E964, "mmm-yyyy")</f>
        <v>Sep-2018</v>
      </c>
    </row>
    <row r="965" spans="1:13" x14ac:dyDescent="0.3">
      <c r="A965" t="s">
        <v>1494</v>
      </c>
      <c r="B965" s="1" t="s">
        <v>91</v>
      </c>
      <c r="C965" s="1" t="s">
        <v>92</v>
      </c>
      <c r="D965" s="1" t="s">
        <v>35</v>
      </c>
      <c r="E965" s="5">
        <v>42994</v>
      </c>
      <c r="F965" s="3" t="s">
        <v>36</v>
      </c>
      <c r="G965" s="1" t="s">
        <v>285</v>
      </c>
      <c r="H965" s="1">
        <v>50</v>
      </c>
      <c r="I965" s="1">
        <v>37</v>
      </c>
      <c r="J965" s="2">
        <v>0.26</v>
      </c>
      <c r="K965">
        <f t="shared" si="45"/>
        <v>9.620000000000001</v>
      </c>
      <c r="L965">
        <f t="shared" si="46"/>
        <v>27.38</v>
      </c>
      <c r="M965" t="str">
        <f t="shared" si="47"/>
        <v>Sep-2017</v>
      </c>
    </row>
    <row r="966" spans="1:13" x14ac:dyDescent="0.3">
      <c r="A966" t="s">
        <v>1495</v>
      </c>
      <c r="B966" s="1" t="s">
        <v>114</v>
      </c>
      <c r="C966" s="1" t="s">
        <v>54</v>
      </c>
      <c r="D966" s="1" t="s">
        <v>13</v>
      </c>
      <c r="E966" s="5">
        <v>43206</v>
      </c>
      <c r="F966" s="3" t="s">
        <v>46</v>
      </c>
      <c r="G966" s="1" t="s">
        <v>1496</v>
      </c>
      <c r="H966" s="1">
        <v>500</v>
      </c>
      <c r="I966" s="1">
        <v>455</v>
      </c>
      <c r="J966" s="2">
        <v>0.09</v>
      </c>
      <c r="K966">
        <f t="shared" si="45"/>
        <v>40.949999999999996</v>
      </c>
      <c r="L966">
        <f t="shared" si="46"/>
        <v>414.05</v>
      </c>
      <c r="M966" t="str">
        <f t="shared" si="47"/>
        <v>Apr-2018</v>
      </c>
    </row>
    <row r="967" spans="1:13" x14ac:dyDescent="0.3">
      <c r="A967" t="s">
        <v>1497</v>
      </c>
      <c r="B967" s="1" t="s">
        <v>59</v>
      </c>
      <c r="C967" s="1" t="s">
        <v>60</v>
      </c>
      <c r="D967" s="1" t="s">
        <v>13</v>
      </c>
      <c r="E967" s="5">
        <v>41714</v>
      </c>
      <c r="F967" s="3" t="s">
        <v>122</v>
      </c>
      <c r="G967" s="1" t="s">
        <v>841</v>
      </c>
      <c r="H967" s="1">
        <v>50</v>
      </c>
      <c r="I967" s="1">
        <v>43</v>
      </c>
      <c r="J967" s="2">
        <v>0.14000000000000001</v>
      </c>
      <c r="K967">
        <f t="shared" si="45"/>
        <v>6.0200000000000005</v>
      </c>
      <c r="L967">
        <f t="shared" si="46"/>
        <v>36.979999999999997</v>
      </c>
      <c r="M967" t="str">
        <f t="shared" si="47"/>
        <v>Mar-2014</v>
      </c>
    </row>
    <row r="968" spans="1:13" x14ac:dyDescent="0.3">
      <c r="A968" t="s">
        <v>1498</v>
      </c>
      <c r="B968" s="1" t="s">
        <v>53</v>
      </c>
      <c r="C968" s="1" t="s">
        <v>54</v>
      </c>
      <c r="D968" s="1" t="s">
        <v>13</v>
      </c>
      <c r="E968" s="5">
        <v>42915</v>
      </c>
      <c r="F968" s="3" t="s">
        <v>61</v>
      </c>
      <c r="G968" s="1" t="s">
        <v>814</v>
      </c>
      <c r="H968" s="1">
        <v>1000</v>
      </c>
      <c r="I968" s="1">
        <v>780</v>
      </c>
      <c r="J968" s="2">
        <v>0.22</v>
      </c>
      <c r="K968">
        <f t="shared" si="45"/>
        <v>171.6</v>
      </c>
      <c r="L968">
        <f t="shared" si="46"/>
        <v>608.4</v>
      </c>
      <c r="M968" t="str">
        <f t="shared" si="47"/>
        <v>Jun-2017</v>
      </c>
    </row>
    <row r="969" spans="1:13" x14ac:dyDescent="0.3">
      <c r="A969" t="s">
        <v>1499</v>
      </c>
      <c r="B969" s="1" t="s">
        <v>264</v>
      </c>
      <c r="C969" s="1" t="s">
        <v>265</v>
      </c>
      <c r="D969" s="1" t="s">
        <v>13</v>
      </c>
      <c r="E969" s="5">
        <v>41774</v>
      </c>
      <c r="F969" s="3" t="s">
        <v>61</v>
      </c>
      <c r="G969" s="1" t="s">
        <v>599</v>
      </c>
      <c r="H969" s="1">
        <v>1000</v>
      </c>
      <c r="I969" s="1">
        <v>670</v>
      </c>
      <c r="J969" s="2">
        <v>0.33</v>
      </c>
      <c r="K969">
        <f t="shared" si="45"/>
        <v>221.10000000000002</v>
      </c>
      <c r="L969">
        <f t="shared" si="46"/>
        <v>448.9</v>
      </c>
      <c r="M969" t="str">
        <f t="shared" si="47"/>
        <v>May-2014</v>
      </c>
    </row>
    <row r="970" spans="1:13" x14ac:dyDescent="0.3">
      <c r="A970" t="s">
        <v>1500</v>
      </c>
      <c r="B970" s="1" t="s">
        <v>17</v>
      </c>
      <c r="C970" s="1" t="s">
        <v>18</v>
      </c>
      <c r="D970" s="1" t="s">
        <v>19</v>
      </c>
      <c r="E970" s="5">
        <v>41881</v>
      </c>
      <c r="F970" s="3" t="s">
        <v>14</v>
      </c>
      <c r="G970" s="1" t="s">
        <v>913</v>
      </c>
      <c r="H970" s="1">
        <v>80</v>
      </c>
      <c r="I970" s="1">
        <v>77</v>
      </c>
      <c r="J970" s="2">
        <v>3.7499999999999999E-2</v>
      </c>
      <c r="K970">
        <f t="shared" si="45"/>
        <v>2.8874999999999997</v>
      </c>
      <c r="L970">
        <f t="shared" si="46"/>
        <v>74.112499999999997</v>
      </c>
      <c r="M970" t="str">
        <f t="shared" si="47"/>
        <v>Aug-2014</v>
      </c>
    </row>
    <row r="971" spans="1:13" x14ac:dyDescent="0.3">
      <c r="A971" t="s">
        <v>1501</v>
      </c>
      <c r="B971" s="1" t="s">
        <v>49</v>
      </c>
      <c r="C971" s="1" t="s">
        <v>50</v>
      </c>
      <c r="D971" s="1" t="s">
        <v>24</v>
      </c>
      <c r="E971" s="5">
        <v>42357</v>
      </c>
      <c r="F971" s="3" t="s">
        <v>41</v>
      </c>
      <c r="G971" s="1" t="s">
        <v>1502</v>
      </c>
      <c r="H971" s="1">
        <v>30</v>
      </c>
      <c r="I971" s="1">
        <v>29</v>
      </c>
      <c r="J971" s="2">
        <v>3.3300000000000003E-2</v>
      </c>
      <c r="K971">
        <f t="shared" si="45"/>
        <v>0.96570000000000011</v>
      </c>
      <c r="L971">
        <f t="shared" si="46"/>
        <v>28.034299999999998</v>
      </c>
      <c r="M971" t="str">
        <f t="shared" si="47"/>
        <v>Dec-2015</v>
      </c>
    </row>
    <row r="972" spans="1:13" x14ac:dyDescent="0.3">
      <c r="A972" t="s">
        <v>1503</v>
      </c>
      <c r="B972" s="1" t="s">
        <v>134</v>
      </c>
      <c r="C972" s="1" t="s">
        <v>92</v>
      </c>
      <c r="D972" s="1" t="s">
        <v>35</v>
      </c>
      <c r="E972" s="5">
        <v>42962</v>
      </c>
      <c r="F972" s="3" t="s">
        <v>115</v>
      </c>
      <c r="G972" s="1" t="s">
        <v>1127</v>
      </c>
      <c r="H972" s="1">
        <v>250</v>
      </c>
      <c r="I972" s="1">
        <v>225</v>
      </c>
      <c r="J972" s="2">
        <v>0.1</v>
      </c>
      <c r="K972">
        <f t="shared" si="45"/>
        <v>22.5</v>
      </c>
      <c r="L972">
        <f t="shared" si="46"/>
        <v>202.5</v>
      </c>
      <c r="M972" t="str">
        <f t="shared" si="47"/>
        <v>Aug-2017</v>
      </c>
    </row>
    <row r="973" spans="1:13" x14ac:dyDescent="0.3">
      <c r="A973" t="s">
        <v>1504</v>
      </c>
      <c r="B973" s="1" t="s">
        <v>127</v>
      </c>
      <c r="C973" s="1" t="s">
        <v>128</v>
      </c>
      <c r="D973" s="1" t="s">
        <v>13</v>
      </c>
      <c r="E973" s="5">
        <v>42171</v>
      </c>
      <c r="F973" s="3" t="s">
        <v>115</v>
      </c>
      <c r="G973" s="1" t="s">
        <v>233</v>
      </c>
      <c r="H973" s="1">
        <v>250</v>
      </c>
      <c r="I973" s="1">
        <v>228</v>
      </c>
      <c r="J973" s="2">
        <v>8.7999999999999995E-2</v>
      </c>
      <c r="K973">
        <f t="shared" si="45"/>
        <v>20.064</v>
      </c>
      <c r="L973">
        <f t="shared" si="46"/>
        <v>207.93600000000001</v>
      </c>
      <c r="M973" t="str">
        <f t="shared" si="47"/>
        <v>Jun-2015</v>
      </c>
    </row>
    <row r="974" spans="1:13" x14ac:dyDescent="0.3">
      <c r="A974" t="s">
        <v>1505</v>
      </c>
      <c r="B974" s="1" t="s">
        <v>255</v>
      </c>
      <c r="C974" s="1" t="s">
        <v>256</v>
      </c>
      <c r="D974" s="1" t="s">
        <v>13</v>
      </c>
      <c r="E974" s="5">
        <v>42966</v>
      </c>
      <c r="F974" s="3" t="s">
        <v>115</v>
      </c>
      <c r="G974" s="1" t="s">
        <v>805</v>
      </c>
      <c r="H974" s="1">
        <v>250</v>
      </c>
      <c r="I974" s="1">
        <v>225</v>
      </c>
      <c r="J974" s="2">
        <v>0.1</v>
      </c>
      <c r="K974">
        <f t="shared" si="45"/>
        <v>22.5</v>
      </c>
      <c r="L974">
        <f t="shared" si="46"/>
        <v>202.5</v>
      </c>
      <c r="M974" t="str">
        <f t="shared" si="47"/>
        <v>Aug-2017</v>
      </c>
    </row>
    <row r="975" spans="1:13" x14ac:dyDescent="0.3">
      <c r="A975" t="s">
        <v>1506</v>
      </c>
      <c r="B975" s="1" t="s">
        <v>255</v>
      </c>
      <c r="C975" s="1" t="s">
        <v>256</v>
      </c>
      <c r="D975" s="1" t="s">
        <v>13</v>
      </c>
      <c r="E975" s="5">
        <v>42093</v>
      </c>
      <c r="F975" s="3" t="s">
        <v>41</v>
      </c>
      <c r="G975" s="1" t="s">
        <v>1266</v>
      </c>
      <c r="H975" s="1">
        <v>30</v>
      </c>
      <c r="I975" s="1">
        <v>28</v>
      </c>
      <c r="J975" s="2">
        <v>6.6699999999999995E-2</v>
      </c>
      <c r="K975">
        <f t="shared" si="45"/>
        <v>1.8675999999999999</v>
      </c>
      <c r="L975">
        <f t="shared" si="46"/>
        <v>26.132400000000001</v>
      </c>
      <c r="M975" t="str">
        <f t="shared" si="47"/>
        <v>Mar-2015</v>
      </c>
    </row>
    <row r="976" spans="1:13" x14ac:dyDescent="0.3">
      <c r="A976" t="s">
        <v>1507</v>
      </c>
      <c r="B976" s="1" t="s">
        <v>17</v>
      </c>
      <c r="C976" s="1" t="s">
        <v>18</v>
      </c>
      <c r="D976" s="1" t="s">
        <v>19</v>
      </c>
      <c r="E976" s="5">
        <v>41928</v>
      </c>
      <c r="F976" s="3" t="s">
        <v>14</v>
      </c>
      <c r="G976" s="1" t="s">
        <v>543</v>
      </c>
      <c r="H976" s="1">
        <v>80</v>
      </c>
      <c r="I976" s="1">
        <v>72</v>
      </c>
      <c r="J976" s="2">
        <v>0.1</v>
      </c>
      <c r="K976">
        <f t="shared" si="45"/>
        <v>7.2</v>
      </c>
      <c r="L976">
        <f t="shared" si="46"/>
        <v>64.8</v>
      </c>
      <c r="M976" t="str">
        <f t="shared" si="47"/>
        <v>Oct-2014</v>
      </c>
    </row>
    <row r="977" spans="1:13" x14ac:dyDescent="0.3">
      <c r="A977" t="s">
        <v>1508</v>
      </c>
      <c r="B977" s="1" t="s">
        <v>221</v>
      </c>
      <c r="C977" s="1" t="s">
        <v>40</v>
      </c>
      <c r="D977" s="1" t="s">
        <v>35</v>
      </c>
      <c r="E977" s="5">
        <v>42062</v>
      </c>
      <c r="F977" s="3" t="s">
        <v>104</v>
      </c>
      <c r="G977" s="1" t="s">
        <v>1059</v>
      </c>
      <c r="H977" s="1">
        <v>70</v>
      </c>
      <c r="I977" s="1">
        <v>62</v>
      </c>
      <c r="J977" s="2">
        <v>0.1143</v>
      </c>
      <c r="K977">
        <f t="shared" si="45"/>
        <v>7.0865999999999998</v>
      </c>
      <c r="L977">
        <f t="shared" si="46"/>
        <v>54.913400000000003</v>
      </c>
      <c r="M977" t="str">
        <f t="shared" si="47"/>
        <v>Feb-2015</v>
      </c>
    </row>
    <row r="978" spans="1:13" x14ac:dyDescent="0.3">
      <c r="A978" t="s">
        <v>1509</v>
      </c>
      <c r="B978" s="1" t="s">
        <v>95</v>
      </c>
      <c r="C978" s="1" t="s">
        <v>96</v>
      </c>
      <c r="D978" s="1" t="s">
        <v>13</v>
      </c>
      <c r="E978" s="5">
        <v>43004</v>
      </c>
      <c r="F978" s="3" t="s">
        <v>122</v>
      </c>
      <c r="G978" s="1" t="s">
        <v>645</v>
      </c>
      <c r="H978" s="1">
        <v>50</v>
      </c>
      <c r="I978" s="1">
        <v>31</v>
      </c>
      <c r="J978" s="2">
        <v>0.38</v>
      </c>
      <c r="K978">
        <f t="shared" si="45"/>
        <v>11.78</v>
      </c>
      <c r="L978">
        <f t="shared" si="46"/>
        <v>19.22</v>
      </c>
      <c r="M978" t="str">
        <f t="shared" si="47"/>
        <v>Sep-2017</v>
      </c>
    </row>
    <row r="979" spans="1:13" x14ac:dyDescent="0.3">
      <c r="A979" t="s">
        <v>1510</v>
      </c>
      <c r="B979" s="1" t="s">
        <v>170</v>
      </c>
      <c r="C979" s="1" t="s">
        <v>171</v>
      </c>
      <c r="D979" s="1" t="s">
        <v>13</v>
      </c>
      <c r="E979" s="5">
        <v>41686</v>
      </c>
      <c r="F979" s="3" t="s">
        <v>115</v>
      </c>
      <c r="G979" s="1" t="s">
        <v>274</v>
      </c>
      <c r="H979" s="1">
        <v>250</v>
      </c>
      <c r="I979" s="1">
        <v>190</v>
      </c>
      <c r="J979" s="2">
        <v>0.24</v>
      </c>
      <c r="K979">
        <f t="shared" si="45"/>
        <v>45.6</v>
      </c>
      <c r="L979">
        <f t="shared" si="46"/>
        <v>144.4</v>
      </c>
      <c r="M979" t="str">
        <f t="shared" si="47"/>
        <v>Feb-2014</v>
      </c>
    </row>
    <row r="980" spans="1:13" x14ac:dyDescent="0.3">
      <c r="A980" t="s">
        <v>1511</v>
      </c>
      <c r="B980" s="1" t="s">
        <v>77</v>
      </c>
      <c r="C980" s="1" t="s">
        <v>78</v>
      </c>
      <c r="D980" s="1" t="s">
        <v>35</v>
      </c>
      <c r="E980" s="5">
        <v>42538</v>
      </c>
      <c r="F980" s="3" t="s">
        <v>14</v>
      </c>
      <c r="G980" s="1" t="s">
        <v>162</v>
      </c>
      <c r="H980" s="1">
        <v>80</v>
      </c>
      <c r="I980" s="1">
        <v>78</v>
      </c>
      <c r="J980" s="2">
        <v>2.5000000000000001E-2</v>
      </c>
      <c r="K980">
        <f t="shared" si="45"/>
        <v>1.9500000000000002</v>
      </c>
      <c r="L980">
        <f t="shared" si="46"/>
        <v>76.05</v>
      </c>
      <c r="M980" t="str">
        <f t="shared" si="47"/>
        <v>Jun-2016</v>
      </c>
    </row>
    <row r="981" spans="1:13" x14ac:dyDescent="0.3">
      <c r="A981" t="s">
        <v>1512</v>
      </c>
      <c r="B981" s="1" t="s">
        <v>91</v>
      </c>
      <c r="C981" s="1" t="s">
        <v>92</v>
      </c>
      <c r="D981" s="1" t="s">
        <v>35</v>
      </c>
      <c r="E981" s="5">
        <v>41718</v>
      </c>
      <c r="F981" s="3" t="s">
        <v>25</v>
      </c>
      <c r="G981" s="1" t="s">
        <v>1513</v>
      </c>
      <c r="H981" s="1">
        <v>700</v>
      </c>
      <c r="I981" s="1">
        <v>651</v>
      </c>
      <c r="J981" s="2">
        <v>7.0000000000000007E-2</v>
      </c>
      <c r="K981">
        <f t="shared" si="45"/>
        <v>45.570000000000007</v>
      </c>
      <c r="L981">
        <f t="shared" si="46"/>
        <v>605.42999999999995</v>
      </c>
      <c r="M981" t="str">
        <f t="shared" si="47"/>
        <v>Mar-2014</v>
      </c>
    </row>
    <row r="982" spans="1:13" x14ac:dyDescent="0.3">
      <c r="A982" t="s">
        <v>1514</v>
      </c>
      <c r="B982" s="1" t="s">
        <v>255</v>
      </c>
      <c r="C982" s="1" t="s">
        <v>256</v>
      </c>
      <c r="D982" s="1" t="s">
        <v>13</v>
      </c>
      <c r="E982" s="5">
        <v>43265</v>
      </c>
      <c r="F982" s="3" t="s">
        <v>14</v>
      </c>
      <c r="G982" s="1" t="s">
        <v>800</v>
      </c>
      <c r="H982" s="1">
        <v>80</v>
      </c>
      <c r="I982" s="1">
        <v>70</v>
      </c>
      <c r="J982" s="2">
        <v>0.125</v>
      </c>
      <c r="K982">
        <f t="shared" si="45"/>
        <v>8.75</v>
      </c>
      <c r="L982">
        <f t="shared" si="46"/>
        <v>61.25</v>
      </c>
      <c r="M982" t="str">
        <f t="shared" si="47"/>
        <v>Jun-2018</v>
      </c>
    </row>
    <row r="983" spans="1:13" x14ac:dyDescent="0.3">
      <c r="A983" t="s">
        <v>1515</v>
      </c>
      <c r="B983" s="1" t="s">
        <v>182</v>
      </c>
      <c r="C983" s="1" t="s">
        <v>108</v>
      </c>
      <c r="D983" s="1" t="s">
        <v>19</v>
      </c>
      <c r="E983" s="5">
        <v>42358</v>
      </c>
      <c r="F983" s="3" t="s">
        <v>104</v>
      </c>
      <c r="G983" s="1" t="s">
        <v>1295</v>
      </c>
      <c r="H983" s="1">
        <v>70</v>
      </c>
      <c r="I983" s="1">
        <v>64</v>
      </c>
      <c r="J983" s="2">
        <v>8.5699999999999998E-2</v>
      </c>
      <c r="K983">
        <f t="shared" si="45"/>
        <v>5.4847999999999999</v>
      </c>
      <c r="L983">
        <f t="shared" si="46"/>
        <v>58.5152</v>
      </c>
      <c r="M983" t="str">
        <f t="shared" si="47"/>
        <v>Dec-2015</v>
      </c>
    </row>
    <row r="984" spans="1:13" x14ac:dyDescent="0.3">
      <c r="A984" t="s">
        <v>1516</v>
      </c>
      <c r="B984" s="1" t="s">
        <v>85</v>
      </c>
      <c r="C984" s="1" t="s">
        <v>86</v>
      </c>
      <c r="D984" s="1" t="s">
        <v>13</v>
      </c>
      <c r="E984" s="5">
        <v>41956</v>
      </c>
      <c r="F984" s="3" t="s">
        <v>41</v>
      </c>
      <c r="G984" s="1" t="s">
        <v>1249</v>
      </c>
      <c r="H984" s="1">
        <v>30</v>
      </c>
      <c r="I984" s="1">
        <v>30</v>
      </c>
      <c r="J984" s="2">
        <v>0</v>
      </c>
      <c r="K984">
        <f t="shared" si="45"/>
        <v>0</v>
      </c>
      <c r="L984">
        <f t="shared" si="46"/>
        <v>30</v>
      </c>
      <c r="M984" t="str">
        <f t="shared" si="47"/>
        <v>Nov-2014</v>
      </c>
    </row>
    <row r="985" spans="1:13" x14ac:dyDescent="0.3">
      <c r="A985" t="s">
        <v>1517</v>
      </c>
      <c r="B985" s="1" t="s">
        <v>103</v>
      </c>
      <c r="C985" s="1" t="s">
        <v>71</v>
      </c>
      <c r="D985" s="1" t="s">
        <v>35</v>
      </c>
      <c r="E985" s="5">
        <v>41958</v>
      </c>
      <c r="F985" s="3" t="s">
        <v>72</v>
      </c>
      <c r="G985" s="1" t="s">
        <v>727</v>
      </c>
      <c r="H985" s="1">
        <v>500</v>
      </c>
      <c r="I985" s="1">
        <v>490</v>
      </c>
      <c r="J985" s="2">
        <v>0.02</v>
      </c>
      <c r="K985">
        <f t="shared" si="45"/>
        <v>9.8000000000000007</v>
      </c>
      <c r="L985">
        <f t="shared" si="46"/>
        <v>480.2</v>
      </c>
      <c r="M985" t="str">
        <f t="shared" si="47"/>
        <v>Nov-2014</v>
      </c>
    </row>
    <row r="986" spans="1:13" x14ac:dyDescent="0.3">
      <c r="A986" t="s">
        <v>1518</v>
      </c>
      <c r="B986" s="1" t="s">
        <v>146</v>
      </c>
      <c r="C986" s="1" t="s">
        <v>147</v>
      </c>
      <c r="D986" s="1" t="s">
        <v>13</v>
      </c>
      <c r="E986" s="5">
        <v>43148</v>
      </c>
      <c r="F986" s="3" t="s">
        <v>30</v>
      </c>
      <c r="G986" s="1" t="s">
        <v>1235</v>
      </c>
      <c r="H986" s="1">
        <v>150</v>
      </c>
      <c r="I986" s="1">
        <v>138</v>
      </c>
      <c r="J986" s="2">
        <v>0.08</v>
      </c>
      <c r="K986">
        <f t="shared" si="45"/>
        <v>11.040000000000001</v>
      </c>
      <c r="L986">
        <f t="shared" si="46"/>
        <v>126.96</v>
      </c>
      <c r="M986" t="str">
        <f t="shared" si="47"/>
        <v>Feb-2018</v>
      </c>
    </row>
    <row r="987" spans="1:13" x14ac:dyDescent="0.3">
      <c r="A987" t="s">
        <v>1519</v>
      </c>
      <c r="B987" s="1" t="s">
        <v>205</v>
      </c>
      <c r="C987" s="1" t="s">
        <v>206</v>
      </c>
      <c r="D987" s="1" t="s">
        <v>24</v>
      </c>
      <c r="E987" s="5">
        <v>42848</v>
      </c>
      <c r="F987" s="3" t="s">
        <v>115</v>
      </c>
      <c r="G987" s="1" t="s">
        <v>759</v>
      </c>
      <c r="H987" s="1">
        <v>250</v>
      </c>
      <c r="I987" s="1">
        <v>235</v>
      </c>
      <c r="J987" s="2">
        <v>0.06</v>
      </c>
      <c r="K987">
        <f t="shared" si="45"/>
        <v>14.1</v>
      </c>
      <c r="L987">
        <f t="shared" si="46"/>
        <v>220.9</v>
      </c>
      <c r="M987" t="str">
        <f t="shared" si="47"/>
        <v>Apr-2017</v>
      </c>
    </row>
    <row r="988" spans="1:13" x14ac:dyDescent="0.3">
      <c r="A988" t="s">
        <v>1520</v>
      </c>
      <c r="B988" s="1" t="s">
        <v>39</v>
      </c>
      <c r="C988" s="1" t="s">
        <v>40</v>
      </c>
      <c r="D988" s="1" t="s">
        <v>35</v>
      </c>
      <c r="E988" s="5">
        <v>43154</v>
      </c>
      <c r="F988" s="3" t="s">
        <v>72</v>
      </c>
      <c r="G988" s="1" t="s">
        <v>1290</v>
      </c>
      <c r="H988" s="1">
        <v>500</v>
      </c>
      <c r="I988" s="1">
        <v>500</v>
      </c>
      <c r="J988" s="2">
        <v>0</v>
      </c>
      <c r="K988">
        <f t="shared" si="45"/>
        <v>0</v>
      </c>
      <c r="L988">
        <f t="shared" si="46"/>
        <v>500</v>
      </c>
      <c r="M988" t="str">
        <f t="shared" si="47"/>
        <v>Feb-2018</v>
      </c>
    </row>
    <row r="989" spans="1:13" x14ac:dyDescent="0.3">
      <c r="A989" t="s">
        <v>1521</v>
      </c>
      <c r="B989" s="1" t="s">
        <v>81</v>
      </c>
      <c r="C989" s="1" t="s">
        <v>82</v>
      </c>
      <c r="D989" s="1" t="s">
        <v>13</v>
      </c>
      <c r="E989" s="5">
        <v>42295</v>
      </c>
      <c r="F989" s="3" t="s">
        <v>55</v>
      </c>
      <c r="G989" s="1" t="s">
        <v>1232</v>
      </c>
      <c r="H989" s="1">
        <v>800</v>
      </c>
      <c r="I989" s="1">
        <v>616</v>
      </c>
      <c r="J989" s="2">
        <v>0.23</v>
      </c>
      <c r="K989">
        <f t="shared" si="45"/>
        <v>141.68</v>
      </c>
      <c r="L989">
        <f t="shared" si="46"/>
        <v>474.32</v>
      </c>
      <c r="M989" t="str">
        <f t="shared" si="47"/>
        <v>Oct-2015</v>
      </c>
    </row>
    <row r="990" spans="1:13" x14ac:dyDescent="0.3">
      <c r="A990" t="s">
        <v>1522</v>
      </c>
      <c r="B990" s="1" t="s">
        <v>400</v>
      </c>
      <c r="C990" s="1" t="s">
        <v>401</v>
      </c>
      <c r="D990" s="1" t="s">
        <v>13</v>
      </c>
      <c r="E990" s="5">
        <v>42425</v>
      </c>
      <c r="F990" s="3" t="s">
        <v>55</v>
      </c>
      <c r="G990" s="1" t="s">
        <v>443</v>
      </c>
      <c r="H990" s="1">
        <v>800</v>
      </c>
      <c r="I990" s="1">
        <v>664</v>
      </c>
      <c r="J990" s="2">
        <v>0.17</v>
      </c>
      <c r="K990">
        <f t="shared" si="45"/>
        <v>112.88000000000001</v>
      </c>
      <c r="L990">
        <f t="shared" si="46"/>
        <v>551.12</v>
      </c>
      <c r="M990" t="str">
        <f t="shared" si="47"/>
        <v>Feb-2016</v>
      </c>
    </row>
    <row r="991" spans="1:13" x14ac:dyDescent="0.3">
      <c r="A991" t="s">
        <v>1523</v>
      </c>
      <c r="B991" s="1" t="s">
        <v>111</v>
      </c>
      <c r="C991" s="1" t="s">
        <v>82</v>
      </c>
      <c r="D991" s="1" t="s">
        <v>13</v>
      </c>
      <c r="E991" s="5">
        <v>41749</v>
      </c>
      <c r="F991" s="3" t="s">
        <v>72</v>
      </c>
      <c r="G991" s="1" t="s">
        <v>295</v>
      </c>
      <c r="H991" s="1">
        <v>500</v>
      </c>
      <c r="I991" s="1">
        <v>500</v>
      </c>
      <c r="J991" s="2">
        <v>0</v>
      </c>
      <c r="K991">
        <f t="shared" si="45"/>
        <v>0</v>
      </c>
      <c r="L991">
        <f t="shared" si="46"/>
        <v>500</v>
      </c>
      <c r="M991" t="str">
        <f t="shared" si="47"/>
        <v>Apr-2014</v>
      </c>
    </row>
    <row r="992" spans="1:13" x14ac:dyDescent="0.3">
      <c r="A992" t="s">
        <v>1524</v>
      </c>
      <c r="B992" s="1" t="s">
        <v>400</v>
      </c>
      <c r="C992" s="1" t="s">
        <v>401</v>
      </c>
      <c r="D992" s="1" t="s">
        <v>13</v>
      </c>
      <c r="E992" s="5">
        <v>41992</v>
      </c>
      <c r="F992" s="3" t="s">
        <v>36</v>
      </c>
      <c r="G992" s="1" t="s">
        <v>856</v>
      </c>
      <c r="H992" s="1">
        <v>50</v>
      </c>
      <c r="I992" s="1">
        <v>46</v>
      </c>
      <c r="J992" s="2">
        <v>0.08</v>
      </c>
      <c r="K992">
        <f t="shared" si="45"/>
        <v>3.68</v>
      </c>
      <c r="L992">
        <f t="shared" si="46"/>
        <v>42.32</v>
      </c>
      <c r="M992" t="str">
        <f t="shared" si="47"/>
        <v>Dec-2014</v>
      </c>
    </row>
    <row r="993" spans="1:13" x14ac:dyDescent="0.3">
      <c r="A993" t="s">
        <v>1525</v>
      </c>
      <c r="B993" s="1" t="s">
        <v>39</v>
      </c>
      <c r="C993" s="1" t="s">
        <v>40</v>
      </c>
      <c r="D993" s="1" t="s">
        <v>35</v>
      </c>
      <c r="E993" s="5">
        <v>41713</v>
      </c>
      <c r="F993" s="3" t="s">
        <v>30</v>
      </c>
      <c r="G993" s="1" t="s">
        <v>1526</v>
      </c>
      <c r="H993" s="1">
        <v>150</v>
      </c>
      <c r="I993" s="1">
        <v>138</v>
      </c>
      <c r="J993" s="2">
        <v>0.08</v>
      </c>
      <c r="K993">
        <f t="shared" si="45"/>
        <v>11.040000000000001</v>
      </c>
      <c r="L993">
        <f t="shared" si="46"/>
        <v>126.96</v>
      </c>
      <c r="M993" t="str">
        <f t="shared" si="47"/>
        <v>Mar-2014</v>
      </c>
    </row>
    <row r="994" spans="1:13" x14ac:dyDescent="0.3">
      <c r="A994" t="s">
        <v>1527</v>
      </c>
      <c r="B994" s="1" t="s">
        <v>221</v>
      </c>
      <c r="C994" s="1" t="s">
        <v>40</v>
      </c>
      <c r="D994" s="1" t="s">
        <v>35</v>
      </c>
      <c r="E994" s="5">
        <v>42242</v>
      </c>
      <c r="F994" s="3" t="s">
        <v>41</v>
      </c>
      <c r="G994" s="1" t="s">
        <v>245</v>
      </c>
      <c r="H994" s="1">
        <v>30</v>
      </c>
      <c r="I994" s="1">
        <v>28</v>
      </c>
      <c r="J994" s="2">
        <v>6.6699999999999995E-2</v>
      </c>
      <c r="K994">
        <f t="shared" si="45"/>
        <v>1.8675999999999999</v>
      </c>
      <c r="L994">
        <f t="shared" si="46"/>
        <v>26.132400000000001</v>
      </c>
      <c r="M994" t="str">
        <f t="shared" si="47"/>
        <v>Aug-2015</v>
      </c>
    </row>
    <row r="995" spans="1:13" x14ac:dyDescent="0.3">
      <c r="A995" t="s">
        <v>1528</v>
      </c>
      <c r="B995" s="1" t="s">
        <v>227</v>
      </c>
      <c r="C995" s="1" t="s">
        <v>228</v>
      </c>
      <c r="D995" s="1" t="s">
        <v>24</v>
      </c>
      <c r="E995" s="5">
        <v>42818</v>
      </c>
      <c r="F995" s="3" t="s">
        <v>122</v>
      </c>
      <c r="G995" s="1" t="s">
        <v>1400</v>
      </c>
      <c r="H995" s="1">
        <v>50</v>
      </c>
      <c r="I995" s="1">
        <v>49</v>
      </c>
      <c r="J995" s="2">
        <v>0.02</v>
      </c>
      <c r="K995">
        <f t="shared" si="45"/>
        <v>0.98</v>
      </c>
      <c r="L995">
        <f t="shared" si="46"/>
        <v>48.02</v>
      </c>
      <c r="M995" t="str">
        <f t="shared" si="47"/>
        <v>Mar-2017</v>
      </c>
    </row>
    <row r="996" spans="1:13" x14ac:dyDescent="0.3">
      <c r="A996" t="s">
        <v>1529</v>
      </c>
      <c r="B996" s="1" t="s">
        <v>157</v>
      </c>
      <c r="C996" s="1" t="s">
        <v>108</v>
      </c>
      <c r="D996" s="1" t="s">
        <v>19</v>
      </c>
      <c r="E996" s="5">
        <v>41805</v>
      </c>
      <c r="F996" s="3" t="s">
        <v>41</v>
      </c>
      <c r="G996" s="1" t="s">
        <v>633</v>
      </c>
      <c r="H996" s="1">
        <v>30</v>
      </c>
      <c r="I996" s="1">
        <v>29</v>
      </c>
      <c r="J996" s="2">
        <v>3.3300000000000003E-2</v>
      </c>
      <c r="K996">
        <f t="shared" si="45"/>
        <v>0.96570000000000011</v>
      </c>
      <c r="L996">
        <f t="shared" si="46"/>
        <v>28.034299999999998</v>
      </c>
      <c r="M996" t="str">
        <f t="shared" si="47"/>
        <v>Jun-2014</v>
      </c>
    </row>
    <row r="997" spans="1:13" x14ac:dyDescent="0.3">
      <c r="A997" t="s">
        <v>1530</v>
      </c>
      <c r="B997" s="1" t="s">
        <v>103</v>
      </c>
      <c r="C997" s="1" t="s">
        <v>71</v>
      </c>
      <c r="D997" s="1" t="s">
        <v>35</v>
      </c>
      <c r="E997" s="5">
        <v>41963</v>
      </c>
      <c r="F997" s="3" t="s">
        <v>115</v>
      </c>
      <c r="G997" s="1" t="s">
        <v>1531</v>
      </c>
      <c r="H997" s="1">
        <v>250</v>
      </c>
      <c r="I997" s="1">
        <v>238</v>
      </c>
      <c r="J997" s="2">
        <v>4.8000000000000001E-2</v>
      </c>
      <c r="K997">
        <f t="shared" si="45"/>
        <v>11.423999999999999</v>
      </c>
      <c r="L997">
        <f t="shared" si="46"/>
        <v>226.57599999999999</v>
      </c>
      <c r="M997" t="str">
        <f t="shared" si="47"/>
        <v>Nov-2014</v>
      </c>
    </row>
    <row r="998" spans="1:13" x14ac:dyDescent="0.3">
      <c r="A998" t="s">
        <v>1532</v>
      </c>
      <c r="B998" s="1" t="s">
        <v>28</v>
      </c>
      <c r="C998" s="1" t="s">
        <v>29</v>
      </c>
      <c r="D998" s="1" t="s">
        <v>13</v>
      </c>
      <c r="E998" s="5">
        <v>42022</v>
      </c>
      <c r="F998" s="3" t="s">
        <v>14</v>
      </c>
      <c r="G998" s="1" t="s">
        <v>1533</v>
      </c>
      <c r="H998" s="1">
        <v>80</v>
      </c>
      <c r="I998" s="1">
        <v>80</v>
      </c>
      <c r="J998" s="2">
        <v>0</v>
      </c>
      <c r="K998">
        <f t="shared" si="45"/>
        <v>0</v>
      </c>
      <c r="L998">
        <f t="shared" si="46"/>
        <v>80</v>
      </c>
      <c r="M998" t="str">
        <f t="shared" si="47"/>
        <v>Jan-2015</v>
      </c>
    </row>
    <row r="999" spans="1:13" x14ac:dyDescent="0.3">
      <c r="A999" t="s">
        <v>1534</v>
      </c>
      <c r="B999" s="1" t="s">
        <v>146</v>
      </c>
      <c r="C999" s="1" t="s">
        <v>147</v>
      </c>
      <c r="D999" s="1" t="s">
        <v>13</v>
      </c>
      <c r="E999" s="5">
        <v>42269</v>
      </c>
      <c r="F999" s="3" t="s">
        <v>72</v>
      </c>
      <c r="G999" s="1" t="s">
        <v>1033</v>
      </c>
      <c r="H999" s="1">
        <v>500</v>
      </c>
      <c r="I999" s="1">
        <v>495</v>
      </c>
      <c r="J999" s="2">
        <v>0.01</v>
      </c>
      <c r="K999">
        <f t="shared" si="45"/>
        <v>4.95</v>
      </c>
      <c r="L999">
        <f t="shared" si="46"/>
        <v>490.05</v>
      </c>
      <c r="M999" t="str">
        <f t="shared" si="47"/>
        <v>Sep-2015</v>
      </c>
    </row>
    <row r="1000" spans="1:13" x14ac:dyDescent="0.3">
      <c r="A1000" t="s">
        <v>1535</v>
      </c>
      <c r="B1000" s="1" t="s">
        <v>64</v>
      </c>
      <c r="C1000" s="1" t="s">
        <v>65</v>
      </c>
      <c r="D1000" s="1" t="s">
        <v>35</v>
      </c>
      <c r="E1000" s="5">
        <v>42698</v>
      </c>
      <c r="F1000" s="3" t="s">
        <v>30</v>
      </c>
      <c r="G1000" s="1" t="s">
        <v>1536</v>
      </c>
      <c r="H1000" s="1">
        <v>150</v>
      </c>
      <c r="I1000" s="1">
        <v>146</v>
      </c>
      <c r="J1000" s="2">
        <v>2.6700000000000002E-2</v>
      </c>
      <c r="K1000">
        <f t="shared" si="45"/>
        <v>3.8982000000000001</v>
      </c>
      <c r="L1000">
        <f t="shared" si="46"/>
        <v>142.1018</v>
      </c>
      <c r="M1000" t="str">
        <f t="shared" si="47"/>
        <v>Nov-2016</v>
      </c>
    </row>
    <row r="1001" spans="1:13" x14ac:dyDescent="0.3">
      <c r="A1001" t="s">
        <v>1537</v>
      </c>
      <c r="B1001" s="1" t="s">
        <v>187</v>
      </c>
      <c r="C1001" s="1" t="s">
        <v>188</v>
      </c>
      <c r="D1001" s="1" t="s">
        <v>13</v>
      </c>
      <c r="E1001" s="5">
        <v>41911</v>
      </c>
      <c r="F1001" s="3" t="s">
        <v>14</v>
      </c>
      <c r="G1001" s="1" t="s">
        <v>237</v>
      </c>
      <c r="H1001" s="1">
        <v>80</v>
      </c>
      <c r="I1001" s="1">
        <v>70</v>
      </c>
      <c r="J1001" s="2">
        <v>0.125</v>
      </c>
      <c r="K1001">
        <f t="shared" si="45"/>
        <v>8.75</v>
      </c>
      <c r="L1001">
        <f t="shared" si="46"/>
        <v>61.25</v>
      </c>
      <c r="M1001" t="str">
        <f t="shared" si="47"/>
        <v>Sep-2014</v>
      </c>
    </row>
    <row r="1002" spans="1:13" x14ac:dyDescent="0.3">
      <c r="A1002" t="s">
        <v>1538</v>
      </c>
      <c r="B1002" s="1" t="s">
        <v>11</v>
      </c>
      <c r="C1002" s="1" t="s">
        <v>12</v>
      </c>
      <c r="D1002" s="1" t="s">
        <v>13</v>
      </c>
      <c r="E1002" s="5">
        <v>42853</v>
      </c>
      <c r="F1002" s="3" t="s">
        <v>61</v>
      </c>
      <c r="G1002" s="1" t="s">
        <v>193</v>
      </c>
      <c r="H1002" s="1">
        <v>1000</v>
      </c>
      <c r="I1002" s="1">
        <v>970</v>
      </c>
      <c r="J1002" s="2">
        <v>0.03</v>
      </c>
      <c r="K1002">
        <f t="shared" si="45"/>
        <v>29.099999999999998</v>
      </c>
      <c r="L1002">
        <f t="shared" si="46"/>
        <v>940.9</v>
      </c>
      <c r="M1002" t="str">
        <f t="shared" si="47"/>
        <v>Apr-2017</v>
      </c>
    </row>
    <row r="1003" spans="1:13" x14ac:dyDescent="0.3">
      <c r="A1003" t="s">
        <v>1539</v>
      </c>
      <c r="B1003" s="1" t="s">
        <v>182</v>
      </c>
      <c r="C1003" s="1" t="s">
        <v>108</v>
      </c>
      <c r="D1003" s="1" t="s">
        <v>19</v>
      </c>
      <c r="E1003" s="5">
        <v>41819</v>
      </c>
      <c r="F1003" s="3" t="s">
        <v>61</v>
      </c>
      <c r="G1003" s="1" t="s">
        <v>1295</v>
      </c>
      <c r="H1003" s="1">
        <v>1000</v>
      </c>
      <c r="I1003" s="1">
        <v>690</v>
      </c>
      <c r="J1003" s="2">
        <v>0.31</v>
      </c>
      <c r="K1003">
        <f t="shared" si="45"/>
        <v>213.9</v>
      </c>
      <c r="L1003">
        <f t="shared" si="46"/>
        <v>476.1</v>
      </c>
      <c r="M1003" t="str">
        <f t="shared" si="47"/>
        <v>Jun-2014</v>
      </c>
    </row>
    <row r="1004" spans="1:13" x14ac:dyDescent="0.3">
      <c r="A1004" t="s">
        <v>1540</v>
      </c>
      <c r="B1004" s="1" t="s">
        <v>17</v>
      </c>
      <c r="C1004" s="1" t="s">
        <v>18</v>
      </c>
      <c r="D1004" s="1" t="s">
        <v>19</v>
      </c>
      <c r="E1004" s="5">
        <v>43279</v>
      </c>
      <c r="F1004" s="3" t="s">
        <v>36</v>
      </c>
      <c r="G1004" s="1" t="s">
        <v>543</v>
      </c>
      <c r="H1004" s="1">
        <v>50</v>
      </c>
      <c r="I1004" s="1">
        <v>43</v>
      </c>
      <c r="J1004" s="2">
        <v>0.14000000000000001</v>
      </c>
      <c r="K1004">
        <f t="shared" si="45"/>
        <v>6.0200000000000005</v>
      </c>
      <c r="L1004">
        <f t="shared" si="46"/>
        <v>36.979999999999997</v>
      </c>
      <c r="M1004" t="str">
        <f t="shared" si="47"/>
        <v>Jun-2018</v>
      </c>
    </row>
    <row r="1005" spans="1:13" x14ac:dyDescent="0.3">
      <c r="A1005" t="s">
        <v>1541</v>
      </c>
      <c r="B1005" s="1" t="s">
        <v>150</v>
      </c>
      <c r="C1005" s="1" t="s">
        <v>151</v>
      </c>
      <c r="D1005" s="1" t="s">
        <v>13</v>
      </c>
      <c r="E1005" s="5">
        <v>43245</v>
      </c>
      <c r="F1005" s="3" t="s">
        <v>61</v>
      </c>
      <c r="G1005" s="1" t="s">
        <v>152</v>
      </c>
      <c r="H1005" s="1">
        <v>1000</v>
      </c>
      <c r="I1005" s="1">
        <v>650</v>
      </c>
      <c r="J1005" s="2">
        <v>0.35</v>
      </c>
      <c r="K1005">
        <f t="shared" si="45"/>
        <v>227.49999999999997</v>
      </c>
      <c r="L1005">
        <f t="shared" si="46"/>
        <v>422.5</v>
      </c>
      <c r="M1005" t="str">
        <f t="shared" si="47"/>
        <v>May-2018</v>
      </c>
    </row>
    <row r="1006" spans="1:13" x14ac:dyDescent="0.3">
      <c r="A1006" t="s">
        <v>1542</v>
      </c>
      <c r="B1006" s="1" t="s">
        <v>146</v>
      </c>
      <c r="C1006" s="1" t="s">
        <v>147</v>
      </c>
      <c r="D1006" s="1" t="s">
        <v>13</v>
      </c>
      <c r="E1006" s="5">
        <v>42633</v>
      </c>
      <c r="F1006" s="3" t="s">
        <v>61</v>
      </c>
      <c r="G1006" s="1" t="s">
        <v>1318</v>
      </c>
      <c r="H1006" s="1">
        <v>1000</v>
      </c>
      <c r="I1006" s="1">
        <v>520</v>
      </c>
      <c r="J1006" s="2">
        <v>0.48</v>
      </c>
      <c r="K1006">
        <f t="shared" si="45"/>
        <v>249.6</v>
      </c>
      <c r="L1006">
        <f t="shared" si="46"/>
        <v>270.39999999999998</v>
      </c>
      <c r="M1006" t="str">
        <f t="shared" si="47"/>
        <v>Sep-2016</v>
      </c>
    </row>
    <row r="1007" spans="1:13" x14ac:dyDescent="0.3">
      <c r="A1007" t="s">
        <v>1543</v>
      </c>
      <c r="B1007" s="1" t="s">
        <v>11</v>
      </c>
      <c r="C1007" s="1" t="s">
        <v>12</v>
      </c>
      <c r="D1007" s="1" t="s">
        <v>13</v>
      </c>
      <c r="E1007" s="5">
        <v>43422</v>
      </c>
      <c r="F1007" s="3" t="s">
        <v>30</v>
      </c>
      <c r="G1007" s="1" t="s">
        <v>348</v>
      </c>
      <c r="H1007" s="1">
        <v>150</v>
      </c>
      <c r="I1007" s="1">
        <v>149</v>
      </c>
      <c r="J1007" s="2">
        <v>6.7000000000000002E-3</v>
      </c>
      <c r="K1007">
        <f t="shared" si="45"/>
        <v>0.99830000000000008</v>
      </c>
      <c r="L1007">
        <f t="shared" si="46"/>
        <v>148.0017</v>
      </c>
      <c r="M1007" t="str">
        <f t="shared" si="47"/>
        <v>Nov-2018</v>
      </c>
    </row>
    <row r="1008" spans="1:13" x14ac:dyDescent="0.3">
      <c r="A1008" t="s">
        <v>1544</v>
      </c>
      <c r="B1008" s="1" t="s">
        <v>289</v>
      </c>
      <c r="C1008" s="1" t="s">
        <v>108</v>
      </c>
      <c r="D1008" s="1" t="s">
        <v>19</v>
      </c>
      <c r="E1008" s="5">
        <v>42786</v>
      </c>
      <c r="F1008" s="3" t="s">
        <v>25</v>
      </c>
      <c r="G1008" s="1" t="s">
        <v>1545</v>
      </c>
      <c r="H1008" s="1">
        <v>700</v>
      </c>
      <c r="I1008" s="1">
        <v>665</v>
      </c>
      <c r="J1008" s="2">
        <v>0.05</v>
      </c>
      <c r="K1008">
        <f t="shared" si="45"/>
        <v>33.25</v>
      </c>
      <c r="L1008">
        <f t="shared" si="46"/>
        <v>631.75</v>
      </c>
      <c r="M1008" t="str">
        <f t="shared" si="47"/>
        <v>Feb-2017</v>
      </c>
    </row>
    <row r="1009" spans="1:13" x14ac:dyDescent="0.3">
      <c r="A1009" t="s">
        <v>1546</v>
      </c>
      <c r="B1009" s="1" t="s">
        <v>182</v>
      </c>
      <c r="C1009" s="1" t="s">
        <v>108</v>
      </c>
      <c r="D1009" s="1" t="s">
        <v>19</v>
      </c>
      <c r="E1009" s="5">
        <v>42852</v>
      </c>
      <c r="F1009" s="3" t="s">
        <v>25</v>
      </c>
      <c r="G1009" s="1" t="s">
        <v>502</v>
      </c>
      <c r="H1009" s="1">
        <v>700</v>
      </c>
      <c r="I1009" s="1">
        <v>560</v>
      </c>
      <c r="J1009" s="2">
        <v>0.2</v>
      </c>
      <c r="K1009">
        <f t="shared" si="45"/>
        <v>112</v>
      </c>
      <c r="L1009">
        <f t="shared" si="46"/>
        <v>448</v>
      </c>
      <c r="M1009" t="str">
        <f t="shared" si="47"/>
        <v>Apr-2017</v>
      </c>
    </row>
    <row r="1010" spans="1:13" x14ac:dyDescent="0.3">
      <c r="A1010" t="s">
        <v>1547</v>
      </c>
      <c r="B1010" s="1" t="s">
        <v>124</v>
      </c>
      <c r="C1010" s="1" t="s">
        <v>40</v>
      </c>
      <c r="D1010" s="1" t="s">
        <v>35</v>
      </c>
      <c r="E1010" s="5">
        <v>41836</v>
      </c>
      <c r="F1010" s="3" t="s">
        <v>36</v>
      </c>
      <c r="G1010" s="1" t="s">
        <v>1017</v>
      </c>
      <c r="H1010" s="1">
        <v>50</v>
      </c>
      <c r="I1010" s="1">
        <v>44</v>
      </c>
      <c r="J1010" s="2">
        <v>0.12</v>
      </c>
      <c r="K1010">
        <f t="shared" si="45"/>
        <v>5.2799999999999994</v>
      </c>
      <c r="L1010">
        <f t="shared" si="46"/>
        <v>38.72</v>
      </c>
      <c r="M1010" t="str">
        <f t="shared" si="47"/>
        <v>Jul-2014</v>
      </c>
    </row>
    <row r="1011" spans="1:13" x14ac:dyDescent="0.3">
      <c r="A1011" t="s">
        <v>1548</v>
      </c>
      <c r="B1011" s="1" t="s">
        <v>182</v>
      </c>
      <c r="C1011" s="1" t="s">
        <v>108</v>
      </c>
      <c r="D1011" s="1" t="s">
        <v>19</v>
      </c>
      <c r="E1011" s="5">
        <v>42325</v>
      </c>
      <c r="F1011" s="3" t="s">
        <v>61</v>
      </c>
      <c r="G1011" s="1" t="s">
        <v>183</v>
      </c>
      <c r="H1011" s="1">
        <v>1000</v>
      </c>
      <c r="I1011" s="1">
        <v>760</v>
      </c>
      <c r="J1011" s="2">
        <v>0.24</v>
      </c>
      <c r="K1011">
        <f t="shared" si="45"/>
        <v>182.4</v>
      </c>
      <c r="L1011">
        <f t="shared" si="46"/>
        <v>577.6</v>
      </c>
      <c r="M1011" t="str">
        <f t="shared" si="47"/>
        <v>Nov-2015</v>
      </c>
    </row>
    <row r="1012" spans="1:13" x14ac:dyDescent="0.3">
      <c r="A1012" t="s">
        <v>1549</v>
      </c>
      <c r="B1012" s="1" t="s">
        <v>131</v>
      </c>
      <c r="C1012" s="1" t="s">
        <v>108</v>
      </c>
      <c r="D1012" s="1" t="s">
        <v>19</v>
      </c>
      <c r="E1012" s="5">
        <v>42085</v>
      </c>
      <c r="F1012" s="3" t="s">
        <v>115</v>
      </c>
      <c r="G1012" s="1" t="s">
        <v>1550</v>
      </c>
      <c r="H1012" s="1">
        <v>250</v>
      </c>
      <c r="I1012" s="1">
        <v>228</v>
      </c>
      <c r="J1012" s="2">
        <v>8.7999999999999995E-2</v>
      </c>
      <c r="K1012">
        <f t="shared" si="45"/>
        <v>20.064</v>
      </c>
      <c r="L1012">
        <f t="shared" si="46"/>
        <v>207.93600000000001</v>
      </c>
      <c r="M1012" t="str">
        <f t="shared" si="47"/>
        <v>Mar-2015</v>
      </c>
    </row>
    <row r="1013" spans="1:13" x14ac:dyDescent="0.3">
      <c r="A1013" t="s">
        <v>1551</v>
      </c>
      <c r="B1013" s="1" t="s">
        <v>99</v>
      </c>
      <c r="C1013" s="1" t="s">
        <v>100</v>
      </c>
      <c r="D1013" s="1" t="s">
        <v>13</v>
      </c>
      <c r="E1013" s="5">
        <v>42123</v>
      </c>
      <c r="F1013" s="3" t="s">
        <v>115</v>
      </c>
      <c r="G1013" s="1" t="s">
        <v>1090</v>
      </c>
      <c r="H1013" s="1">
        <v>250</v>
      </c>
      <c r="I1013" s="1">
        <v>248</v>
      </c>
      <c r="J1013" s="2">
        <v>8.0000000000000002E-3</v>
      </c>
      <c r="K1013">
        <f t="shared" si="45"/>
        <v>1.984</v>
      </c>
      <c r="L1013">
        <f t="shared" si="46"/>
        <v>246.01599999999999</v>
      </c>
      <c r="M1013" t="str">
        <f t="shared" si="47"/>
        <v>Apr-2015</v>
      </c>
    </row>
    <row r="1014" spans="1:13" x14ac:dyDescent="0.3">
      <c r="A1014" t="s">
        <v>1552</v>
      </c>
      <c r="B1014" s="1" t="s">
        <v>205</v>
      </c>
      <c r="C1014" s="1" t="s">
        <v>206</v>
      </c>
      <c r="D1014" s="1" t="s">
        <v>24</v>
      </c>
      <c r="E1014" s="5">
        <v>41864</v>
      </c>
      <c r="F1014" s="3" t="s">
        <v>36</v>
      </c>
      <c r="G1014" s="1" t="s">
        <v>722</v>
      </c>
      <c r="H1014" s="1">
        <v>50</v>
      </c>
      <c r="I1014" s="1">
        <v>39</v>
      </c>
      <c r="J1014" s="2">
        <v>0.22</v>
      </c>
      <c r="K1014">
        <f t="shared" si="45"/>
        <v>8.58</v>
      </c>
      <c r="L1014">
        <f t="shared" si="46"/>
        <v>30.42</v>
      </c>
      <c r="M1014" t="str">
        <f t="shared" si="47"/>
        <v>Aug-2014</v>
      </c>
    </row>
    <row r="1015" spans="1:13" x14ac:dyDescent="0.3">
      <c r="A1015" t="s">
        <v>1553</v>
      </c>
      <c r="B1015" s="1" t="s">
        <v>324</v>
      </c>
      <c r="C1015" s="1" t="s">
        <v>325</v>
      </c>
      <c r="D1015" s="1" t="s">
        <v>13</v>
      </c>
      <c r="E1015" s="5">
        <v>41927</v>
      </c>
      <c r="F1015" s="3" t="s">
        <v>115</v>
      </c>
      <c r="G1015" s="1" t="s">
        <v>922</v>
      </c>
      <c r="H1015" s="1">
        <v>250</v>
      </c>
      <c r="I1015" s="1">
        <v>248</v>
      </c>
      <c r="J1015" s="2">
        <v>8.0000000000000002E-3</v>
      </c>
      <c r="K1015">
        <f t="shared" si="45"/>
        <v>1.984</v>
      </c>
      <c r="L1015">
        <f t="shared" si="46"/>
        <v>246.01599999999999</v>
      </c>
      <c r="M1015" t="str">
        <f t="shared" si="47"/>
        <v>Oct-2014</v>
      </c>
    </row>
    <row r="1016" spans="1:13" x14ac:dyDescent="0.3">
      <c r="A1016" t="s">
        <v>1554</v>
      </c>
      <c r="B1016" s="1" t="s">
        <v>241</v>
      </c>
      <c r="C1016" s="1" t="s">
        <v>242</v>
      </c>
      <c r="D1016" s="1" t="s">
        <v>13</v>
      </c>
      <c r="E1016" s="5">
        <v>43304</v>
      </c>
      <c r="F1016" s="3" t="s">
        <v>115</v>
      </c>
      <c r="G1016" s="1" t="s">
        <v>626</v>
      </c>
      <c r="H1016" s="1">
        <v>250</v>
      </c>
      <c r="I1016" s="1">
        <v>250</v>
      </c>
      <c r="J1016" s="2">
        <v>0</v>
      </c>
      <c r="K1016">
        <f t="shared" si="45"/>
        <v>0</v>
      </c>
      <c r="L1016">
        <f t="shared" si="46"/>
        <v>250</v>
      </c>
      <c r="M1016" t="str">
        <f t="shared" si="47"/>
        <v>Jul-2018</v>
      </c>
    </row>
    <row r="1017" spans="1:13" x14ac:dyDescent="0.3">
      <c r="A1017" t="s">
        <v>1555</v>
      </c>
      <c r="B1017" s="1" t="s">
        <v>107</v>
      </c>
      <c r="C1017" s="1" t="s">
        <v>108</v>
      </c>
      <c r="D1017" s="1" t="s">
        <v>19</v>
      </c>
      <c r="E1017" s="5">
        <v>41866</v>
      </c>
      <c r="F1017" s="3" t="s">
        <v>36</v>
      </c>
      <c r="G1017" s="1" t="s">
        <v>1556</v>
      </c>
      <c r="H1017" s="1">
        <v>50</v>
      </c>
      <c r="I1017" s="1">
        <v>48</v>
      </c>
      <c r="J1017" s="2">
        <v>0.04</v>
      </c>
      <c r="K1017">
        <f t="shared" si="45"/>
        <v>1.92</v>
      </c>
      <c r="L1017">
        <f t="shared" si="46"/>
        <v>46.08</v>
      </c>
      <c r="M1017" t="str">
        <f t="shared" si="47"/>
        <v>Aug-2014</v>
      </c>
    </row>
    <row r="1018" spans="1:13" x14ac:dyDescent="0.3">
      <c r="A1018" t="s">
        <v>1557</v>
      </c>
      <c r="B1018" s="1" t="s">
        <v>174</v>
      </c>
      <c r="C1018" s="1" t="s">
        <v>175</v>
      </c>
      <c r="D1018" s="1" t="s">
        <v>13</v>
      </c>
      <c r="E1018" s="5">
        <v>42965</v>
      </c>
      <c r="F1018" s="3" t="s">
        <v>61</v>
      </c>
      <c r="G1018" s="1" t="s">
        <v>1558</v>
      </c>
      <c r="H1018" s="1">
        <v>1000</v>
      </c>
      <c r="I1018" s="1">
        <v>590</v>
      </c>
      <c r="J1018" s="2">
        <v>0.41</v>
      </c>
      <c r="K1018">
        <f t="shared" si="45"/>
        <v>241.89999999999998</v>
      </c>
      <c r="L1018">
        <f t="shared" si="46"/>
        <v>348.1</v>
      </c>
      <c r="M1018" t="str">
        <f t="shared" si="47"/>
        <v>Aug-2017</v>
      </c>
    </row>
    <row r="1019" spans="1:13" x14ac:dyDescent="0.3">
      <c r="A1019" t="s">
        <v>1559</v>
      </c>
      <c r="B1019" s="1" t="s">
        <v>53</v>
      </c>
      <c r="C1019" s="1" t="s">
        <v>54</v>
      </c>
      <c r="D1019" s="1" t="s">
        <v>13</v>
      </c>
      <c r="E1019" s="5">
        <v>41871</v>
      </c>
      <c r="F1019" s="3" t="s">
        <v>14</v>
      </c>
      <c r="G1019" s="1" t="s">
        <v>1206</v>
      </c>
      <c r="H1019" s="1">
        <v>80</v>
      </c>
      <c r="I1019" s="1">
        <v>76</v>
      </c>
      <c r="J1019" s="2">
        <v>0.05</v>
      </c>
      <c r="K1019">
        <f t="shared" si="45"/>
        <v>3.8000000000000003</v>
      </c>
      <c r="L1019">
        <f t="shared" si="46"/>
        <v>72.2</v>
      </c>
      <c r="M1019" t="str">
        <f t="shared" si="47"/>
        <v>Aug-2014</v>
      </c>
    </row>
    <row r="1020" spans="1:13" x14ac:dyDescent="0.3">
      <c r="A1020" t="s">
        <v>1560</v>
      </c>
      <c r="B1020" s="1" t="s">
        <v>44</v>
      </c>
      <c r="C1020" s="1" t="s">
        <v>45</v>
      </c>
      <c r="D1020" s="1" t="s">
        <v>24</v>
      </c>
      <c r="E1020" s="5">
        <v>42027</v>
      </c>
      <c r="F1020" s="3" t="s">
        <v>46</v>
      </c>
      <c r="G1020" s="1" t="s">
        <v>1146</v>
      </c>
      <c r="H1020" s="1">
        <v>500</v>
      </c>
      <c r="I1020" s="1">
        <v>480</v>
      </c>
      <c r="J1020" s="2">
        <v>0.04</v>
      </c>
      <c r="K1020">
        <f t="shared" si="45"/>
        <v>19.2</v>
      </c>
      <c r="L1020">
        <f t="shared" si="46"/>
        <v>460.8</v>
      </c>
      <c r="M1020" t="str">
        <f t="shared" si="47"/>
        <v>Jan-2015</v>
      </c>
    </row>
    <row r="1021" spans="1:13" x14ac:dyDescent="0.3">
      <c r="A1021" t="s">
        <v>1561</v>
      </c>
      <c r="B1021" s="1" t="s">
        <v>150</v>
      </c>
      <c r="C1021" s="1" t="s">
        <v>151</v>
      </c>
      <c r="D1021" s="1" t="s">
        <v>13</v>
      </c>
      <c r="E1021" s="5">
        <v>42330</v>
      </c>
      <c r="F1021" s="3" t="s">
        <v>55</v>
      </c>
      <c r="G1021" s="1" t="s">
        <v>824</v>
      </c>
      <c r="H1021" s="1">
        <v>800</v>
      </c>
      <c r="I1021" s="1">
        <v>720</v>
      </c>
      <c r="J1021" s="2">
        <v>0.1</v>
      </c>
      <c r="K1021">
        <f t="shared" si="45"/>
        <v>72</v>
      </c>
      <c r="L1021">
        <f t="shared" si="46"/>
        <v>648</v>
      </c>
      <c r="M1021" t="str">
        <f t="shared" si="47"/>
        <v>Nov-2015</v>
      </c>
    </row>
    <row r="1022" spans="1:13" x14ac:dyDescent="0.3">
      <c r="A1022" t="s">
        <v>1562</v>
      </c>
      <c r="B1022" s="1" t="s">
        <v>64</v>
      </c>
      <c r="C1022" s="1" t="s">
        <v>65</v>
      </c>
      <c r="D1022" s="1" t="s">
        <v>35</v>
      </c>
      <c r="E1022" s="5">
        <v>43181</v>
      </c>
      <c r="F1022" s="3" t="s">
        <v>104</v>
      </c>
      <c r="G1022" s="1" t="s">
        <v>783</v>
      </c>
      <c r="H1022" s="1">
        <v>70</v>
      </c>
      <c r="I1022" s="1">
        <v>69</v>
      </c>
      <c r="J1022" s="2">
        <v>1.43E-2</v>
      </c>
      <c r="K1022">
        <f t="shared" si="45"/>
        <v>0.98670000000000002</v>
      </c>
      <c r="L1022">
        <f t="shared" si="46"/>
        <v>68.013300000000001</v>
      </c>
      <c r="M1022" t="str">
        <f t="shared" si="47"/>
        <v>Mar-2018</v>
      </c>
    </row>
    <row r="1023" spans="1:13" x14ac:dyDescent="0.3">
      <c r="A1023" t="s">
        <v>1563</v>
      </c>
      <c r="B1023" s="1" t="s">
        <v>81</v>
      </c>
      <c r="C1023" s="1" t="s">
        <v>82</v>
      </c>
      <c r="D1023" s="1" t="s">
        <v>13</v>
      </c>
      <c r="E1023" s="5">
        <v>43310</v>
      </c>
      <c r="F1023" s="3" t="s">
        <v>104</v>
      </c>
      <c r="G1023" s="1" t="s">
        <v>195</v>
      </c>
      <c r="H1023" s="1">
        <v>70</v>
      </c>
      <c r="I1023" s="1">
        <v>60</v>
      </c>
      <c r="J1023" s="2">
        <v>0.1429</v>
      </c>
      <c r="K1023">
        <f t="shared" si="45"/>
        <v>8.5739999999999998</v>
      </c>
      <c r="L1023">
        <f t="shared" si="46"/>
        <v>51.426000000000002</v>
      </c>
      <c r="M1023" t="str">
        <f t="shared" si="47"/>
        <v>Jul-2018</v>
      </c>
    </row>
    <row r="1024" spans="1:13" x14ac:dyDescent="0.3">
      <c r="A1024" t="s">
        <v>1564</v>
      </c>
      <c r="B1024" s="1" t="s">
        <v>434</v>
      </c>
      <c r="C1024" s="1" t="s">
        <v>435</v>
      </c>
      <c r="D1024" s="1" t="s">
        <v>24</v>
      </c>
      <c r="E1024" s="5">
        <v>42294</v>
      </c>
      <c r="F1024" s="3" t="s">
        <v>36</v>
      </c>
      <c r="G1024" s="1" t="s">
        <v>585</v>
      </c>
      <c r="H1024" s="1">
        <v>50</v>
      </c>
      <c r="I1024" s="1">
        <v>44</v>
      </c>
      <c r="J1024" s="2">
        <v>0.12</v>
      </c>
      <c r="K1024">
        <f t="shared" si="45"/>
        <v>5.2799999999999994</v>
      </c>
      <c r="L1024">
        <f t="shared" si="46"/>
        <v>38.72</v>
      </c>
      <c r="M1024" t="str">
        <f t="shared" si="47"/>
        <v>Oct-2015</v>
      </c>
    </row>
    <row r="1025" spans="1:13" x14ac:dyDescent="0.3">
      <c r="A1025" t="s">
        <v>1565</v>
      </c>
      <c r="B1025" s="1" t="s">
        <v>270</v>
      </c>
      <c r="C1025" s="1" t="s">
        <v>271</v>
      </c>
      <c r="D1025" s="1" t="s">
        <v>35</v>
      </c>
      <c r="E1025" s="5">
        <v>42488</v>
      </c>
      <c r="F1025" s="3" t="s">
        <v>14</v>
      </c>
      <c r="G1025" s="1" t="s">
        <v>337</v>
      </c>
      <c r="H1025" s="1">
        <v>80</v>
      </c>
      <c r="I1025" s="1">
        <v>74</v>
      </c>
      <c r="J1025" s="2">
        <v>7.4999999999999997E-2</v>
      </c>
      <c r="K1025">
        <f t="shared" si="45"/>
        <v>5.55</v>
      </c>
      <c r="L1025">
        <f t="shared" si="46"/>
        <v>68.45</v>
      </c>
      <c r="M1025" t="str">
        <f t="shared" si="47"/>
        <v>Apr-2016</v>
      </c>
    </row>
    <row r="1026" spans="1:13" x14ac:dyDescent="0.3">
      <c r="A1026" t="s">
        <v>1566</v>
      </c>
      <c r="B1026" s="1" t="s">
        <v>99</v>
      </c>
      <c r="C1026" s="1" t="s">
        <v>100</v>
      </c>
      <c r="D1026" s="1" t="s">
        <v>13</v>
      </c>
      <c r="E1026" s="5">
        <v>42996</v>
      </c>
      <c r="F1026" s="3" t="s">
        <v>104</v>
      </c>
      <c r="G1026" s="1" t="s">
        <v>101</v>
      </c>
      <c r="H1026" s="1">
        <v>70</v>
      </c>
      <c r="I1026" s="1">
        <v>68</v>
      </c>
      <c r="J1026" s="2">
        <v>2.86E-2</v>
      </c>
      <c r="K1026">
        <f t="shared" si="45"/>
        <v>1.9448000000000001</v>
      </c>
      <c r="L1026">
        <f t="shared" si="46"/>
        <v>66.055199999999999</v>
      </c>
      <c r="M1026" t="str">
        <f t="shared" si="47"/>
        <v>Sep-2017</v>
      </c>
    </row>
    <row r="1027" spans="1:13" x14ac:dyDescent="0.3">
      <c r="A1027" t="s">
        <v>1567</v>
      </c>
      <c r="B1027" s="1" t="s">
        <v>400</v>
      </c>
      <c r="C1027" s="1" t="s">
        <v>401</v>
      </c>
      <c r="D1027" s="1" t="s">
        <v>13</v>
      </c>
      <c r="E1027" s="5">
        <v>42689</v>
      </c>
      <c r="F1027" s="3" t="s">
        <v>104</v>
      </c>
      <c r="G1027" s="1" t="s">
        <v>693</v>
      </c>
      <c r="H1027" s="1">
        <v>70</v>
      </c>
      <c r="I1027" s="1">
        <v>66</v>
      </c>
      <c r="J1027" s="2">
        <v>5.7099999999999998E-2</v>
      </c>
      <c r="K1027">
        <f t="shared" si="45"/>
        <v>3.7685999999999997</v>
      </c>
      <c r="L1027">
        <f t="shared" si="46"/>
        <v>62.231400000000001</v>
      </c>
      <c r="M1027" t="str">
        <f t="shared" si="47"/>
        <v>Nov-2016</v>
      </c>
    </row>
    <row r="1028" spans="1:13" x14ac:dyDescent="0.3">
      <c r="A1028" t="s">
        <v>1568</v>
      </c>
      <c r="B1028" s="1" t="s">
        <v>224</v>
      </c>
      <c r="C1028" s="1" t="s">
        <v>50</v>
      </c>
      <c r="D1028" s="1" t="s">
        <v>24</v>
      </c>
      <c r="E1028" s="5">
        <v>43241</v>
      </c>
      <c r="F1028" s="3" t="s">
        <v>30</v>
      </c>
      <c r="G1028" s="1" t="s">
        <v>906</v>
      </c>
      <c r="H1028" s="1">
        <v>150</v>
      </c>
      <c r="I1028" s="1">
        <v>144</v>
      </c>
      <c r="J1028" s="2">
        <v>0.04</v>
      </c>
      <c r="K1028">
        <f t="shared" ref="K1028:K1091" si="48">I1028*J1028</f>
        <v>5.76</v>
      </c>
      <c r="L1028">
        <f t="shared" ref="L1028:L1091" si="49">I1028-K1028</f>
        <v>138.24</v>
      </c>
      <c r="M1028" t="str">
        <f t="shared" ref="M1028:M1091" si="50">TEXT(E1028, "mmm-yyyy")</f>
        <v>May-2018</v>
      </c>
    </row>
    <row r="1029" spans="1:13" x14ac:dyDescent="0.3">
      <c r="A1029" t="s">
        <v>1569</v>
      </c>
      <c r="B1029" s="1" t="s">
        <v>77</v>
      </c>
      <c r="C1029" s="1" t="s">
        <v>78</v>
      </c>
      <c r="D1029" s="1" t="s">
        <v>35</v>
      </c>
      <c r="E1029" s="5">
        <v>41880</v>
      </c>
      <c r="F1029" s="3" t="s">
        <v>104</v>
      </c>
      <c r="G1029" s="1" t="s">
        <v>668</v>
      </c>
      <c r="H1029" s="1">
        <v>70</v>
      </c>
      <c r="I1029" s="1">
        <v>65</v>
      </c>
      <c r="J1029" s="2">
        <v>7.1400000000000005E-2</v>
      </c>
      <c r="K1029">
        <f t="shared" si="48"/>
        <v>4.641</v>
      </c>
      <c r="L1029">
        <f t="shared" si="49"/>
        <v>60.359000000000002</v>
      </c>
      <c r="M1029" t="str">
        <f t="shared" si="50"/>
        <v>Aug-2014</v>
      </c>
    </row>
    <row r="1030" spans="1:13" x14ac:dyDescent="0.3">
      <c r="A1030" t="s">
        <v>1570</v>
      </c>
      <c r="B1030" s="1" t="s">
        <v>124</v>
      </c>
      <c r="C1030" s="1" t="s">
        <v>40</v>
      </c>
      <c r="D1030" s="1" t="s">
        <v>35</v>
      </c>
      <c r="E1030" s="5">
        <v>42426</v>
      </c>
      <c r="F1030" s="3" t="s">
        <v>61</v>
      </c>
      <c r="G1030" s="1" t="s">
        <v>1017</v>
      </c>
      <c r="H1030" s="1">
        <v>1000</v>
      </c>
      <c r="I1030" s="1">
        <v>630</v>
      </c>
      <c r="J1030" s="2">
        <v>0.37</v>
      </c>
      <c r="K1030">
        <f t="shared" si="48"/>
        <v>233.1</v>
      </c>
      <c r="L1030">
        <f t="shared" si="49"/>
        <v>396.9</v>
      </c>
      <c r="M1030" t="str">
        <f t="shared" si="50"/>
        <v>Feb-2016</v>
      </c>
    </row>
    <row r="1031" spans="1:13" x14ac:dyDescent="0.3">
      <c r="A1031" t="s">
        <v>1571</v>
      </c>
      <c r="B1031" s="1" t="s">
        <v>150</v>
      </c>
      <c r="C1031" s="1" t="s">
        <v>151</v>
      </c>
      <c r="D1031" s="1" t="s">
        <v>13</v>
      </c>
      <c r="E1031" s="5">
        <v>43327</v>
      </c>
      <c r="F1031" s="3" t="s">
        <v>30</v>
      </c>
      <c r="G1031" s="1" t="s">
        <v>824</v>
      </c>
      <c r="H1031" s="1">
        <v>150</v>
      </c>
      <c r="I1031" s="1">
        <v>113</v>
      </c>
      <c r="J1031" s="2">
        <v>0.2467</v>
      </c>
      <c r="K1031">
        <f t="shared" si="48"/>
        <v>27.877099999999999</v>
      </c>
      <c r="L1031">
        <f t="shared" si="49"/>
        <v>85.122900000000001</v>
      </c>
      <c r="M1031" t="str">
        <f t="shared" si="50"/>
        <v>Aug-2018</v>
      </c>
    </row>
    <row r="1032" spans="1:13" x14ac:dyDescent="0.3">
      <c r="A1032" t="s">
        <v>1572</v>
      </c>
      <c r="B1032" s="1" t="s">
        <v>174</v>
      </c>
      <c r="C1032" s="1" t="s">
        <v>175</v>
      </c>
      <c r="D1032" s="1" t="s">
        <v>13</v>
      </c>
      <c r="E1032" s="5">
        <v>42726</v>
      </c>
      <c r="F1032" s="3" t="s">
        <v>72</v>
      </c>
      <c r="G1032" s="1" t="s">
        <v>1456</v>
      </c>
      <c r="H1032" s="1">
        <v>500</v>
      </c>
      <c r="I1032" s="1">
        <v>490</v>
      </c>
      <c r="J1032" s="2">
        <v>0.02</v>
      </c>
      <c r="K1032">
        <f t="shared" si="48"/>
        <v>9.8000000000000007</v>
      </c>
      <c r="L1032">
        <f t="shared" si="49"/>
        <v>480.2</v>
      </c>
      <c r="M1032" t="str">
        <f t="shared" si="50"/>
        <v>Dec-2016</v>
      </c>
    </row>
    <row r="1033" spans="1:13" x14ac:dyDescent="0.3">
      <c r="A1033" t="s">
        <v>1573</v>
      </c>
      <c r="B1033" s="1" t="s">
        <v>107</v>
      </c>
      <c r="C1033" s="1" t="s">
        <v>108</v>
      </c>
      <c r="D1033" s="1" t="s">
        <v>19</v>
      </c>
      <c r="E1033" s="5">
        <v>42291</v>
      </c>
      <c r="F1033" s="3" t="s">
        <v>36</v>
      </c>
      <c r="G1033" s="1" t="s">
        <v>354</v>
      </c>
      <c r="H1033" s="1">
        <v>50</v>
      </c>
      <c r="I1033" s="1">
        <v>46</v>
      </c>
      <c r="J1033" s="2">
        <v>0.08</v>
      </c>
      <c r="K1033">
        <f t="shared" si="48"/>
        <v>3.68</v>
      </c>
      <c r="L1033">
        <f t="shared" si="49"/>
        <v>42.32</v>
      </c>
      <c r="M1033" t="str">
        <f t="shared" si="50"/>
        <v>Oct-2015</v>
      </c>
    </row>
    <row r="1034" spans="1:13" x14ac:dyDescent="0.3">
      <c r="A1034" t="s">
        <v>1574</v>
      </c>
      <c r="B1034" s="1" t="s">
        <v>264</v>
      </c>
      <c r="C1034" s="1" t="s">
        <v>265</v>
      </c>
      <c r="D1034" s="1" t="s">
        <v>13</v>
      </c>
      <c r="E1034" s="5">
        <v>42609</v>
      </c>
      <c r="F1034" s="3" t="s">
        <v>25</v>
      </c>
      <c r="G1034" s="1" t="s">
        <v>802</v>
      </c>
      <c r="H1034" s="1">
        <v>700</v>
      </c>
      <c r="I1034" s="1">
        <v>672</v>
      </c>
      <c r="J1034" s="2">
        <v>0.04</v>
      </c>
      <c r="K1034">
        <f t="shared" si="48"/>
        <v>26.88</v>
      </c>
      <c r="L1034">
        <f t="shared" si="49"/>
        <v>645.12</v>
      </c>
      <c r="M1034" t="str">
        <f t="shared" si="50"/>
        <v>Aug-2016</v>
      </c>
    </row>
    <row r="1035" spans="1:13" x14ac:dyDescent="0.3">
      <c r="A1035" t="s">
        <v>1575</v>
      </c>
      <c r="B1035" s="1" t="s">
        <v>99</v>
      </c>
      <c r="C1035" s="1" t="s">
        <v>100</v>
      </c>
      <c r="D1035" s="1" t="s">
        <v>13</v>
      </c>
      <c r="E1035" s="5">
        <v>42060</v>
      </c>
      <c r="F1035" s="3" t="s">
        <v>122</v>
      </c>
      <c r="G1035" s="1" t="s">
        <v>1090</v>
      </c>
      <c r="H1035" s="1">
        <v>50</v>
      </c>
      <c r="I1035" s="1">
        <v>48</v>
      </c>
      <c r="J1035" s="2">
        <v>0.04</v>
      </c>
      <c r="K1035">
        <f t="shared" si="48"/>
        <v>1.92</v>
      </c>
      <c r="L1035">
        <f t="shared" si="49"/>
        <v>46.08</v>
      </c>
      <c r="M1035" t="str">
        <f t="shared" si="50"/>
        <v>Feb-2015</v>
      </c>
    </row>
    <row r="1036" spans="1:13" x14ac:dyDescent="0.3">
      <c r="A1036" t="s">
        <v>1576</v>
      </c>
      <c r="B1036" s="1" t="s">
        <v>134</v>
      </c>
      <c r="C1036" s="1" t="s">
        <v>92</v>
      </c>
      <c r="D1036" s="1" t="s">
        <v>35</v>
      </c>
      <c r="E1036" s="5">
        <v>42820</v>
      </c>
      <c r="F1036" s="3" t="s">
        <v>72</v>
      </c>
      <c r="G1036" s="1" t="s">
        <v>747</v>
      </c>
      <c r="H1036" s="1">
        <v>500</v>
      </c>
      <c r="I1036" s="1">
        <v>490</v>
      </c>
      <c r="J1036" s="2">
        <v>0.02</v>
      </c>
      <c r="K1036">
        <f t="shared" si="48"/>
        <v>9.8000000000000007</v>
      </c>
      <c r="L1036">
        <f t="shared" si="49"/>
        <v>480.2</v>
      </c>
      <c r="M1036" t="str">
        <f t="shared" si="50"/>
        <v>Mar-2017</v>
      </c>
    </row>
    <row r="1037" spans="1:13" x14ac:dyDescent="0.3">
      <c r="A1037" t="s">
        <v>1577</v>
      </c>
      <c r="B1037" s="1" t="s">
        <v>205</v>
      </c>
      <c r="C1037" s="1" t="s">
        <v>206</v>
      </c>
      <c r="D1037" s="1" t="s">
        <v>24</v>
      </c>
      <c r="E1037" s="5">
        <v>42277</v>
      </c>
      <c r="F1037" s="3" t="s">
        <v>104</v>
      </c>
      <c r="G1037" s="1" t="s">
        <v>722</v>
      </c>
      <c r="H1037" s="1">
        <v>70</v>
      </c>
      <c r="I1037" s="1">
        <v>58</v>
      </c>
      <c r="J1037" s="2">
        <v>0.1714</v>
      </c>
      <c r="K1037">
        <f t="shared" si="48"/>
        <v>9.9412000000000003</v>
      </c>
      <c r="L1037">
        <f t="shared" si="49"/>
        <v>48.058799999999998</v>
      </c>
      <c r="M1037" t="str">
        <f t="shared" si="50"/>
        <v>Sep-2015</v>
      </c>
    </row>
    <row r="1038" spans="1:13" x14ac:dyDescent="0.3">
      <c r="A1038" t="s">
        <v>1578</v>
      </c>
      <c r="B1038" s="1" t="s">
        <v>170</v>
      </c>
      <c r="C1038" s="1" t="s">
        <v>171</v>
      </c>
      <c r="D1038" s="1" t="s">
        <v>13</v>
      </c>
      <c r="E1038" s="5">
        <v>41867</v>
      </c>
      <c r="F1038" s="3" t="s">
        <v>104</v>
      </c>
      <c r="G1038" s="1" t="s">
        <v>941</v>
      </c>
      <c r="H1038" s="1">
        <v>70</v>
      </c>
      <c r="I1038" s="1">
        <v>60</v>
      </c>
      <c r="J1038" s="2">
        <v>0.1429</v>
      </c>
      <c r="K1038">
        <f t="shared" si="48"/>
        <v>8.5739999999999998</v>
      </c>
      <c r="L1038">
        <f t="shared" si="49"/>
        <v>51.426000000000002</v>
      </c>
      <c r="M1038" t="str">
        <f t="shared" si="50"/>
        <v>Aug-2014</v>
      </c>
    </row>
    <row r="1039" spans="1:13" x14ac:dyDescent="0.3">
      <c r="A1039" t="s">
        <v>1579</v>
      </c>
      <c r="B1039" s="1" t="s">
        <v>227</v>
      </c>
      <c r="C1039" s="1" t="s">
        <v>228</v>
      </c>
      <c r="D1039" s="1" t="s">
        <v>24</v>
      </c>
      <c r="E1039" s="5">
        <v>42146</v>
      </c>
      <c r="F1039" s="3" t="s">
        <v>55</v>
      </c>
      <c r="G1039" s="1" t="s">
        <v>621</v>
      </c>
      <c r="H1039" s="1">
        <v>800</v>
      </c>
      <c r="I1039" s="1">
        <v>688</v>
      </c>
      <c r="J1039" s="2">
        <v>0.14000000000000001</v>
      </c>
      <c r="K1039">
        <f t="shared" si="48"/>
        <v>96.320000000000007</v>
      </c>
      <c r="L1039">
        <f t="shared" si="49"/>
        <v>591.67999999999995</v>
      </c>
      <c r="M1039" t="str">
        <f t="shared" si="50"/>
        <v>May-2015</v>
      </c>
    </row>
    <row r="1040" spans="1:13" x14ac:dyDescent="0.3">
      <c r="A1040" t="s">
        <v>1580</v>
      </c>
      <c r="B1040" s="1" t="s">
        <v>146</v>
      </c>
      <c r="C1040" s="1" t="s">
        <v>147</v>
      </c>
      <c r="D1040" s="1" t="s">
        <v>13</v>
      </c>
      <c r="E1040" s="5">
        <v>42640</v>
      </c>
      <c r="F1040" s="3" t="s">
        <v>115</v>
      </c>
      <c r="G1040" s="1" t="s">
        <v>1318</v>
      </c>
      <c r="H1040" s="1">
        <v>250</v>
      </c>
      <c r="I1040" s="1">
        <v>155</v>
      </c>
      <c r="J1040" s="2">
        <v>0.38</v>
      </c>
      <c r="K1040">
        <f t="shared" si="48"/>
        <v>58.9</v>
      </c>
      <c r="L1040">
        <f t="shared" si="49"/>
        <v>96.1</v>
      </c>
      <c r="M1040" t="str">
        <f t="shared" si="50"/>
        <v>Sep-2016</v>
      </c>
    </row>
    <row r="1041" spans="1:13" x14ac:dyDescent="0.3">
      <c r="A1041" t="s">
        <v>1581</v>
      </c>
      <c r="B1041" s="1" t="s">
        <v>85</v>
      </c>
      <c r="C1041" s="1" t="s">
        <v>86</v>
      </c>
      <c r="D1041" s="1" t="s">
        <v>13</v>
      </c>
      <c r="E1041" s="5">
        <v>42545</v>
      </c>
      <c r="F1041" s="3" t="s">
        <v>25</v>
      </c>
      <c r="G1041" s="1" t="s">
        <v>340</v>
      </c>
      <c r="H1041" s="1">
        <v>700</v>
      </c>
      <c r="I1041" s="1">
        <v>504</v>
      </c>
      <c r="J1041" s="2">
        <v>0.28000000000000003</v>
      </c>
      <c r="K1041">
        <f t="shared" si="48"/>
        <v>141.12</v>
      </c>
      <c r="L1041">
        <f t="shared" si="49"/>
        <v>362.88</v>
      </c>
      <c r="M1041" t="str">
        <f t="shared" si="50"/>
        <v>Jun-2016</v>
      </c>
    </row>
    <row r="1042" spans="1:13" x14ac:dyDescent="0.3">
      <c r="A1042" t="s">
        <v>1582</v>
      </c>
      <c r="B1042" s="1" t="s">
        <v>146</v>
      </c>
      <c r="C1042" s="1" t="s">
        <v>147</v>
      </c>
      <c r="D1042" s="1" t="s">
        <v>13</v>
      </c>
      <c r="E1042" s="5">
        <v>42750</v>
      </c>
      <c r="F1042" s="3" t="s">
        <v>25</v>
      </c>
      <c r="G1042" s="1" t="s">
        <v>1318</v>
      </c>
      <c r="H1042" s="1">
        <v>700</v>
      </c>
      <c r="I1042" s="1">
        <v>511</v>
      </c>
      <c r="J1042" s="2">
        <v>0.27</v>
      </c>
      <c r="K1042">
        <f t="shared" si="48"/>
        <v>137.97</v>
      </c>
      <c r="L1042">
        <f t="shared" si="49"/>
        <v>373.03</v>
      </c>
      <c r="M1042" t="str">
        <f t="shared" si="50"/>
        <v>Jan-2017</v>
      </c>
    </row>
    <row r="1043" spans="1:13" x14ac:dyDescent="0.3">
      <c r="A1043" t="s">
        <v>1583</v>
      </c>
      <c r="B1043" s="1" t="s">
        <v>22</v>
      </c>
      <c r="C1043" s="1" t="s">
        <v>23</v>
      </c>
      <c r="D1043" s="1" t="s">
        <v>24</v>
      </c>
      <c r="E1043" s="5">
        <v>43205</v>
      </c>
      <c r="F1043" s="3" t="s">
        <v>115</v>
      </c>
      <c r="G1043" s="1" t="s">
        <v>1584</v>
      </c>
      <c r="H1043" s="1">
        <v>250</v>
      </c>
      <c r="I1043" s="1">
        <v>250</v>
      </c>
      <c r="J1043" s="2">
        <v>0</v>
      </c>
      <c r="K1043">
        <f t="shared" si="48"/>
        <v>0</v>
      </c>
      <c r="L1043">
        <f t="shared" si="49"/>
        <v>250</v>
      </c>
      <c r="M1043" t="str">
        <f t="shared" si="50"/>
        <v>Apr-2018</v>
      </c>
    </row>
    <row r="1044" spans="1:13" x14ac:dyDescent="0.3">
      <c r="A1044" t="s">
        <v>1585</v>
      </c>
      <c r="B1044" s="1" t="s">
        <v>241</v>
      </c>
      <c r="C1044" s="1" t="s">
        <v>242</v>
      </c>
      <c r="D1044" s="1" t="s">
        <v>13</v>
      </c>
      <c r="E1044" s="5">
        <v>41772</v>
      </c>
      <c r="F1044" s="3" t="s">
        <v>36</v>
      </c>
      <c r="G1044" s="1" t="s">
        <v>380</v>
      </c>
      <c r="H1044" s="1">
        <v>50</v>
      </c>
      <c r="I1044" s="1">
        <v>50</v>
      </c>
      <c r="J1044" s="2">
        <v>0</v>
      </c>
      <c r="K1044">
        <f t="shared" si="48"/>
        <v>0</v>
      </c>
      <c r="L1044">
        <f t="shared" si="49"/>
        <v>50</v>
      </c>
      <c r="M1044" t="str">
        <f t="shared" si="50"/>
        <v>May-2014</v>
      </c>
    </row>
    <row r="1045" spans="1:13" x14ac:dyDescent="0.3">
      <c r="A1045" t="s">
        <v>1586</v>
      </c>
      <c r="B1045" s="1" t="s">
        <v>59</v>
      </c>
      <c r="C1045" s="1" t="s">
        <v>60</v>
      </c>
      <c r="D1045" s="1" t="s">
        <v>13</v>
      </c>
      <c r="E1045" s="5">
        <v>42632</v>
      </c>
      <c r="F1045" s="3" t="s">
        <v>30</v>
      </c>
      <c r="G1045" s="1" t="s">
        <v>312</v>
      </c>
      <c r="H1045" s="1">
        <v>150</v>
      </c>
      <c r="I1045" s="1">
        <v>135</v>
      </c>
      <c r="J1045" s="2">
        <v>0.1</v>
      </c>
      <c r="K1045">
        <f t="shared" si="48"/>
        <v>13.5</v>
      </c>
      <c r="L1045">
        <f t="shared" si="49"/>
        <v>121.5</v>
      </c>
      <c r="M1045" t="str">
        <f t="shared" si="50"/>
        <v>Sep-2016</v>
      </c>
    </row>
    <row r="1046" spans="1:13" x14ac:dyDescent="0.3">
      <c r="A1046" t="s">
        <v>1587</v>
      </c>
      <c r="B1046" s="1" t="s">
        <v>28</v>
      </c>
      <c r="C1046" s="1" t="s">
        <v>29</v>
      </c>
      <c r="D1046" s="1" t="s">
        <v>13</v>
      </c>
      <c r="E1046" s="5">
        <v>43267</v>
      </c>
      <c r="F1046" s="3" t="s">
        <v>104</v>
      </c>
      <c r="G1046" s="1" t="s">
        <v>249</v>
      </c>
      <c r="H1046" s="1">
        <v>70</v>
      </c>
      <c r="I1046" s="1">
        <v>68</v>
      </c>
      <c r="J1046" s="2">
        <v>2.86E-2</v>
      </c>
      <c r="K1046">
        <f t="shared" si="48"/>
        <v>1.9448000000000001</v>
      </c>
      <c r="L1046">
        <f t="shared" si="49"/>
        <v>66.055199999999999</v>
      </c>
      <c r="M1046" t="str">
        <f t="shared" si="50"/>
        <v>Jun-2018</v>
      </c>
    </row>
    <row r="1047" spans="1:13" x14ac:dyDescent="0.3">
      <c r="A1047" t="s">
        <v>1588</v>
      </c>
      <c r="B1047" s="1" t="s">
        <v>154</v>
      </c>
      <c r="C1047" s="1" t="s">
        <v>108</v>
      </c>
      <c r="D1047" s="1" t="s">
        <v>19</v>
      </c>
      <c r="E1047" s="5">
        <v>42946</v>
      </c>
      <c r="F1047" s="3" t="s">
        <v>61</v>
      </c>
      <c r="G1047" s="1" t="s">
        <v>737</v>
      </c>
      <c r="H1047" s="1">
        <v>1000</v>
      </c>
      <c r="I1047" s="1">
        <v>680</v>
      </c>
      <c r="J1047" s="2">
        <v>0.32</v>
      </c>
      <c r="K1047">
        <f t="shared" si="48"/>
        <v>217.6</v>
      </c>
      <c r="L1047">
        <f t="shared" si="49"/>
        <v>462.4</v>
      </c>
      <c r="M1047" t="str">
        <f t="shared" si="50"/>
        <v>Jul-2017</v>
      </c>
    </row>
    <row r="1048" spans="1:13" x14ac:dyDescent="0.3">
      <c r="A1048" t="s">
        <v>1589</v>
      </c>
      <c r="B1048" s="1" t="s">
        <v>187</v>
      </c>
      <c r="C1048" s="1" t="s">
        <v>188</v>
      </c>
      <c r="D1048" s="1" t="s">
        <v>13</v>
      </c>
      <c r="E1048" s="5">
        <v>42689</v>
      </c>
      <c r="F1048" s="3" t="s">
        <v>104</v>
      </c>
      <c r="G1048" s="1" t="s">
        <v>189</v>
      </c>
      <c r="H1048" s="1">
        <v>70</v>
      </c>
      <c r="I1048" s="1">
        <v>65</v>
      </c>
      <c r="J1048" s="2">
        <v>7.1400000000000005E-2</v>
      </c>
      <c r="K1048">
        <f t="shared" si="48"/>
        <v>4.641</v>
      </c>
      <c r="L1048">
        <f t="shared" si="49"/>
        <v>60.359000000000002</v>
      </c>
      <c r="M1048" t="str">
        <f t="shared" si="50"/>
        <v>Nov-2016</v>
      </c>
    </row>
    <row r="1049" spans="1:13" x14ac:dyDescent="0.3">
      <c r="A1049" t="s">
        <v>1590</v>
      </c>
      <c r="B1049" s="1" t="s">
        <v>150</v>
      </c>
      <c r="C1049" s="1" t="s">
        <v>151</v>
      </c>
      <c r="D1049" s="1" t="s">
        <v>13</v>
      </c>
      <c r="E1049" s="5">
        <v>42695</v>
      </c>
      <c r="F1049" s="3" t="s">
        <v>55</v>
      </c>
      <c r="G1049" s="1" t="s">
        <v>824</v>
      </c>
      <c r="H1049" s="1">
        <v>800</v>
      </c>
      <c r="I1049" s="1">
        <v>488</v>
      </c>
      <c r="J1049" s="2">
        <v>0.39</v>
      </c>
      <c r="K1049">
        <f t="shared" si="48"/>
        <v>190.32</v>
      </c>
      <c r="L1049">
        <f t="shared" si="49"/>
        <v>297.68</v>
      </c>
      <c r="M1049" t="str">
        <f t="shared" si="50"/>
        <v>Nov-2016</v>
      </c>
    </row>
    <row r="1050" spans="1:13" x14ac:dyDescent="0.3">
      <c r="A1050" t="s">
        <v>1591</v>
      </c>
      <c r="B1050" s="1" t="s">
        <v>131</v>
      </c>
      <c r="C1050" s="1" t="s">
        <v>108</v>
      </c>
      <c r="D1050" s="1" t="s">
        <v>19</v>
      </c>
      <c r="E1050" s="5">
        <v>42814</v>
      </c>
      <c r="F1050" s="3" t="s">
        <v>41</v>
      </c>
      <c r="G1050" s="1" t="s">
        <v>474</v>
      </c>
      <c r="H1050" s="1">
        <v>30</v>
      </c>
      <c r="I1050" s="1">
        <v>27</v>
      </c>
      <c r="J1050" s="2">
        <v>0.1</v>
      </c>
      <c r="K1050">
        <f t="shared" si="48"/>
        <v>2.7</v>
      </c>
      <c r="L1050">
        <f t="shared" si="49"/>
        <v>24.3</v>
      </c>
      <c r="M1050" t="str">
        <f t="shared" si="50"/>
        <v>Mar-2017</v>
      </c>
    </row>
    <row r="1051" spans="1:13" x14ac:dyDescent="0.3">
      <c r="A1051" t="s">
        <v>1592</v>
      </c>
      <c r="B1051" s="1" t="s">
        <v>44</v>
      </c>
      <c r="C1051" s="1" t="s">
        <v>45</v>
      </c>
      <c r="D1051" s="1" t="s">
        <v>24</v>
      </c>
      <c r="E1051" s="5">
        <v>42536</v>
      </c>
      <c r="F1051" s="3" t="s">
        <v>55</v>
      </c>
      <c r="G1051" s="1" t="s">
        <v>1177</v>
      </c>
      <c r="H1051" s="1">
        <v>800</v>
      </c>
      <c r="I1051" s="1">
        <v>448</v>
      </c>
      <c r="J1051" s="2">
        <v>0.44</v>
      </c>
      <c r="K1051">
        <f t="shared" si="48"/>
        <v>197.12</v>
      </c>
      <c r="L1051">
        <f t="shared" si="49"/>
        <v>250.88</v>
      </c>
      <c r="M1051" t="str">
        <f t="shared" si="50"/>
        <v>Jun-2016</v>
      </c>
    </row>
    <row r="1052" spans="1:13" x14ac:dyDescent="0.3">
      <c r="A1052" t="s">
        <v>1593</v>
      </c>
      <c r="B1052" s="1" t="s">
        <v>205</v>
      </c>
      <c r="C1052" s="1" t="s">
        <v>206</v>
      </c>
      <c r="D1052" s="1" t="s">
        <v>24</v>
      </c>
      <c r="E1052" s="5">
        <v>41931</v>
      </c>
      <c r="F1052" s="3" t="s">
        <v>41</v>
      </c>
      <c r="G1052" s="1" t="s">
        <v>596</v>
      </c>
      <c r="H1052" s="1">
        <v>30</v>
      </c>
      <c r="I1052" s="1">
        <v>29</v>
      </c>
      <c r="J1052" s="2">
        <v>3.3300000000000003E-2</v>
      </c>
      <c r="K1052">
        <f t="shared" si="48"/>
        <v>0.96570000000000011</v>
      </c>
      <c r="L1052">
        <f t="shared" si="49"/>
        <v>28.034299999999998</v>
      </c>
      <c r="M1052" t="str">
        <f t="shared" si="50"/>
        <v>Oct-2014</v>
      </c>
    </row>
    <row r="1053" spans="1:13" x14ac:dyDescent="0.3">
      <c r="A1053" t="s">
        <v>1594</v>
      </c>
      <c r="B1053" s="1" t="s">
        <v>227</v>
      </c>
      <c r="C1053" s="1" t="s">
        <v>228</v>
      </c>
      <c r="D1053" s="1" t="s">
        <v>24</v>
      </c>
      <c r="E1053" s="5">
        <v>42168</v>
      </c>
      <c r="F1053" s="3" t="s">
        <v>25</v>
      </c>
      <c r="G1053" s="1" t="s">
        <v>229</v>
      </c>
      <c r="H1053" s="1">
        <v>700</v>
      </c>
      <c r="I1053" s="1">
        <v>651</v>
      </c>
      <c r="J1053" s="2">
        <v>7.0000000000000007E-2</v>
      </c>
      <c r="K1053">
        <f t="shared" si="48"/>
        <v>45.570000000000007</v>
      </c>
      <c r="L1053">
        <f t="shared" si="49"/>
        <v>605.42999999999995</v>
      </c>
      <c r="M1053" t="str">
        <f t="shared" si="50"/>
        <v>Jun-2015</v>
      </c>
    </row>
    <row r="1054" spans="1:13" x14ac:dyDescent="0.3">
      <c r="A1054" t="s">
        <v>1595</v>
      </c>
      <c r="B1054" s="1" t="s">
        <v>205</v>
      </c>
      <c r="C1054" s="1" t="s">
        <v>206</v>
      </c>
      <c r="D1054" s="1" t="s">
        <v>24</v>
      </c>
      <c r="E1054" s="5">
        <v>42704</v>
      </c>
      <c r="F1054" s="3" t="s">
        <v>46</v>
      </c>
      <c r="G1054" s="1" t="s">
        <v>596</v>
      </c>
      <c r="H1054" s="1">
        <v>500</v>
      </c>
      <c r="I1054" s="1">
        <v>470</v>
      </c>
      <c r="J1054" s="2">
        <v>0.06</v>
      </c>
      <c r="K1054">
        <f t="shared" si="48"/>
        <v>28.2</v>
      </c>
      <c r="L1054">
        <f t="shared" si="49"/>
        <v>441.8</v>
      </c>
      <c r="M1054" t="str">
        <f t="shared" si="50"/>
        <v>Nov-2016</v>
      </c>
    </row>
    <row r="1055" spans="1:13" x14ac:dyDescent="0.3">
      <c r="A1055" t="s">
        <v>1596</v>
      </c>
      <c r="B1055" s="1" t="s">
        <v>107</v>
      </c>
      <c r="C1055" s="1" t="s">
        <v>108</v>
      </c>
      <c r="D1055" s="1" t="s">
        <v>19</v>
      </c>
      <c r="E1055" s="5">
        <v>43148</v>
      </c>
      <c r="F1055" s="3" t="s">
        <v>104</v>
      </c>
      <c r="G1055" s="1" t="s">
        <v>531</v>
      </c>
      <c r="H1055" s="1">
        <v>70</v>
      </c>
      <c r="I1055" s="1">
        <v>67</v>
      </c>
      <c r="J1055" s="2">
        <v>4.2900000000000001E-2</v>
      </c>
      <c r="K1055">
        <f t="shared" si="48"/>
        <v>2.8742999999999999</v>
      </c>
      <c r="L1055">
        <f t="shared" si="49"/>
        <v>64.125699999999995</v>
      </c>
      <c r="M1055" t="str">
        <f t="shared" si="50"/>
        <v>Feb-2018</v>
      </c>
    </row>
    <row r="1056" spans="1:13" x14ac:dyDescent="0.3">
      <c r="A1056" t="s">
        <v>1597</v>
      </c>
      <c r="B1056" s="1" t="s">
        <v>146</v>
      </c>
      <c r="C1056" s="1" t="s">
        <v>147</v>
      </c>
      <c r="D1056" s="1" t="s">
        <v>13</v>
      </c>
      <c r="E1056" s="5">
        <v>43129</v>
      </c>
      <c r="F1056" s="3" t="s">
        <v>25</v>
      </c>
      <c r="G1056" s="1" t="s">
        <v>1334</v>
      </c>
      <c r="H1056" s="1">
        <v>700</v>
      </c>
      <c r="I1056" s="1">
        <v>637</v>
      </c>
      <c r="J1056" s="2">
        <v>0.09</v>
      </c>
      <c r="K1056">
        <f t="shared" si="48"/>
        <v>57.33</v>
      </c>
      <c r="L1056">
        <f t="shared" si="49"/>
        <v>579.66999999999996</v>
      </c>
      <c r="M1056" t="str">
        <f t="shared" si="50"/>
        <v>Jan-2018</v>
      </c>
    </row>
    <row r="1057" spans="1:13" x14ac:dyDescent="0.3">
      <c r="A1057" t="s">
        <v>1598</v>
      </c>
      <c r="B1057" s="1" t="s">
        <v>17</v>
      </c>
      <c r="C1057" s="1" t="s">
        <v>18</v>
      </c>
      <c r="D1057" s="1" t="s">
        <v>19</v>
      </c>
      <c r="E1057" s="5">
        <v>42630</v>
      </c>
      <c r="F1057" s="3" t="s">
        <v>61</v>
      </c>
      <c r="G1057" s="1" t="s">
        <v>913</v>
      </c>
      <c r="H1057" s="1">
        <v>1000</v>
      </c>
      <c r="I1057" s="1">
        <v>680</v>
      </c>
      <c r="J1057" s="2">
        <v>0.32</v>
      </c>
      <c r="K1057">
        <f t="shared" si="48"/>
        <v>217.6</v>
      </c>
      <c r="L1057">
        <f t="shared" si="49"/>
        <v>462.4</v>
      </c>
      <c r="M1057" t="str">
        <f t="shared" si="50"/>
        <v>Sep-2016</v>
      </c>
    </row>
    <row r="1058" spans="1:13" x14ac:dyDescent="0.3">
      <c r="A1058" t="s">
        <v>1599</v>
      </c>
      <c r="B1058" s="1" t="s">
        <v>118</v>
      </c>
      <c r="C1058" s="1" t="s">
        <v>119</v>
      </c>
      <c r="D1058" s="1" t="s">
        <v>35</v>
      </c>
      <c r="E1058" s="5">
        <v>42172</v>
      </c>
      <c r="F1058" s="3" t="s">
        <v>25</v>
      </c>
      <c r="G1058" s="1" t="s">
        <v>909</v>
      </c>
      <c r="H1058" s="1">
        <v>700</v>
      </c>
      <c r="I1058" s="1">
        <v>693</v>
      </c>
      <c r="J1058" s="2">
        <v>0.01</v>
      </c>
      <c r="K1058">
        <f t="shared" si="48"/>
        <v>6.93</v>
      </c>
      <c r="L1058">
        <f t="shared" si="49"/>
        <v>686.07</v>
      </c>
      <c r="M1058" t="str">
        <f t="shared" si="50"/>
        <v>Jun-2015</v>
      </c>
    </row>
    <row r="1059" spans="1:13" x14ac:dyDescent="0.3">
      <c r="A1059" t="s">
        <v>1600</v>
      </c>
      <c r="B1059" s="1" t="s">
        <v>49</v>
      </c>
      <c r="C1059" s="1" t="s">
        <v>50</v>
      </c>
      <c r="D1059" s="1" t="s">
        <v>24</v>
      </c>
      <c r="E1059" s="5">
        <v>42947</v>
      </c>
      <c r="F1059" s="3" t="s">
        <v>72</v>
      </c>
      <c r="G1059" s="1" t="s">
        <v>729</v>
      </c>
      <c r="H1059" s="1">
        <v>500</v>
      </c>
      <c r="I1059" s="1">
        <v>495</v>
      </c>
      <c r="J1059" s="2">
        <v>0.01</v>
      </c>
      <c r="K1059">
        <f t="shared" si="48"/>
        <v>4.95</v>
      </c>
      <c r="L1059">
        <f t="shared" si="49"/>
        <v>490.05</v>
      </c>
      <c r="M1059" t="str">
        <f t="shared" si="50"/>
        <v>Jul-2017</v>
      </c>
    </row>
    <row r="1060" spans="1:13" x14ac:dyDescent="0.3">
      <c r="A1060" t="s">
        <v>1601</v>
      </c>
      <c r="B1060" s="1" t="s">
        <v>434</v>
      </c>
      <c r="C1060" s="1" t="s">
        <v>435</v>
      </c>
      <c r="D1060" s="1" t="s">
        <v>24</v>
      </c>
      <c r="E1060" s="5">
        <v>42598</v>
      </c>
      <c r="F1060" s="3" t="s">
        <v>36</v>
      </c>
      <c r="G1060" s="1" t="s">
        <v>764</v>
      </c>
      <c r="H1060" s="1">
        <v>50</v>
      </c>
      <c r="I1060" s="1">
        <v>46</v>
      </c>
      <c r="J1060" s="2">
        <v>0.08</v>
      </c>
      <c r="K1060">
        <f t="shared" si="48"/>
        <v>3.68</v>
      </c>
      <c r="L1060">
        <f t="shared" si="49"/>
        <v>42.32</v>
      </c>
      <c r="M1060" t="str">
        <f t="shared" si="50"/>
        <v>Aug-2016</v>
      </c>
    </row>
    <row r="1061" spans="1:13" x14ac:dyDescent="0.3">
      <c r="A1061" t="s">
        <v>1602</v>
      </c>
      <c r="B1061" s="1" t="s">
        <v>17</v>
      </c>
      <c r="C1061" s="1" t="s">
        <v>18</v>
      </c>
      <c r="D1061" s="1" t="s">
        <v>19</v>
      </c>
      <c r="E1061" s="5">
        <v>43361</v>
      </c>
      <c r="F1061" s="3" t="s">
        <v>122</v>
      </c>
      <c r="G1061" s="1" t="s">
        <v>543</v>
      </c>
      <c r="H1061" s="1">
        <v>50</v>
      </c>
      <c r="I1061" s="1">
        <v>49</v>
      </c>
      <c r="J1061" s="2">
        <v>0.02</v>
      </c>
      <c r="K1061">
        <f t="shared" si="48"/>
        <v>0.98</v>
      </c>
      <c r="L1061">
        <f t="shared" si="49"/>
        <v>48.02</v>
      </c>
      <c r="M1061" t="str">
        <f t="shared" si="50"/>
        <v>Sep-2018</v>
      </c>
    </row>
    <row r="1062" spans="1:13" x14ac:dyDescent="0.3">
      <c r="A1062" t="s">
        <v>1603</v>
      </c>
      <c r="B1062" s="1" t="s">
        <v>134</v>
      </c>
      <c r="C1062" s="1" t="s">
        <v>92</v>
      </c>
      <c r="D1062" s="1" t="s">
        <v>35</v>
      </c>
      <c r="E1062" s="5">
        <v>41930</v>
      </c>
      <c r="F1062" s="3" t="s">
        <v>46</v>
      </c>
      <c r="G1062" s="1" t="s">
        <v>1127</v>
      </c>
      <c r="H1062" s="1">
        <v>500</v>
      </c>
      <c r="I1062" s="1">
        <v>455</v>
      </c>
      <c r="J1062" s="2">
        <v>0.09</v>
      </c>
      <c r="K1062">
        <f t="shared" si="48"/>
        <v>40.949999999999996</v>
      </c>
      <c r="L1062">
        <f t="shared" si="49"/>
        <v>414.05</v>
      </c>
      <c r="M1062" t="str">
        <f t="shared" si="50"/>
        <v>Oct-2014</v>
      </c>
    </row>
    <row r="1063" spans="1:13" x14ac:dyDescent="0.3">
      <c r="A1063" t="s">
        <v>1604</v>
      </c>
      <c r="B1063" s="1" t="s">
        <v>59</v>
      </c>
      <c r="C1063" s="1" t="s">
        <v>60</v>
      </c>
      <c r="D1063" s="1" t="s">
        <v>13</v>
      </c>
      <c r="E1063" s="5">
        <v>42137</v>
      </c>
      <c r="F1063" s="3" t="s">
        <v>72</v>
      </c>
      <c r="G1063" s="1" t="s">
        <v>1014</v>
      </c>
      <c r="H1063" s="1">
        <v>500</v>
      </c>
      <c r="I1063" s="1">
        <v>490</v>
      </c>
      <c r="J1063" s="2">
        <v>0.02</v>
      </c>
      <c r="K1063">
        <f t="shared" si="48"/>
        <v>9.8000000000000007</v>
      </c>
      <c r="L1063">
        <f t="shared" si="49"/>
        <v>480.2</v>
      </c>
      <c r="M1063" t="str">
        <f t="shared" si="50"/>
        <v>May-2015</v>
      </c>
    </row>
    <row r="1064" spans="1:13" x14ac:dyDescent="0.3">
      <c r="A1064" t="s">
        <v>1605</v>
      </c>
      <c r="B1064" s="1" t="s">
        <v>17</v>
      </c>
      <c r="C1064" s="1" t="s">
        <v>18</v>
      </c>
      <c r="D1064" s="1" t="s">
        <v>19</v>
      </c>
      <c r="E1064" s="5">
        <v>42485</v>
      </c>
      <c r="F1064" s="3" t="s">
        <v>122</v>
      </c>
      <c r="G1064" s="1" t="s">
        <v>913</v>
      </c>
      <c r="H1064" s="1">
        <v>50</v>
      </c>
      <c r="I1064" s="1">
        <v>47</v>
      </c>
      <c r="J1064" s="2">
        <v>0.06</v>
      </c>
      <c r="K1064">
        <f t="shared" si="48"/>
        <v>2.82</v>
      </c>
      <c r="L1064">
        <f t="shared" si="49"/>
        <v>44.18</v>
      </c>
      <c r="M1064" t="str">
        <f t="shared" si="50"/>
        <v>Apr-2016</v>
      </c>
    </row>
    <row r="1065" spans="1:13" x14ac:dyDescent="0.3">
      <c r="A1065" t="s">
        <v>1606</v>
      </c>
      <c r="B1065" s="1" t="s">
        <v>85</v>
      </c>
      <c r="C1065" s="1" t="s">
        <v>86</v>
      </c>
      <c r="D1065" s="1" t="s">
        <v>13</v>
      </c>
      <c r="E1065" s="5">
        <v>42879</v>
      </c>
      <c r="F1065" s="3" t="s">
        <v>25</v>
      </c>
      <c r="G1065" s="1" t="s">
        <v>87</v>
      </c>
      <c r="H1065" s="1">
        <v>700</v>
      </c>
      <c r="I1065" s="1">
        <v>665</v>
      </c>
      <c r="J1065" s="2">
        <v>0.05</v>
      </c>
      <c r="K1065">
        <f t="shared" si="48"/>
        <v>33.25</v>
      </c>
      <c r="L1065">
        <f t="shared" si="49"/>
        <v>631.75</v>
      </c>
      <c r="M1065" t="str">
        <f t="shared" si="50"/>
        <v>May-2017</v>
      </c>
    </row>
    <row r="1066" spans="1:13" x14ac:dyDescent="0.3">
      <c r="A1066" t="s">
        <v>1607</v>
      </c>
      <c r="B1066" s="1" t="s">
        <v>49</v>
      </c>
      <c r="C1066" s="1" t="s">
        <v>50</v>
      </c>
      <c r="D1066" s="1" t="s">
        <v>24</v>
      </c>
      <c r="E1066" s="5">
        <v>43272</v>
      </c>
      <c r="F1066" s="3" t="s">
        <v>122</v>
      </c>
      <c r="G1066" s="1" t="s">
        <v>378</v>
      </c>
      <c r="H1066" s="1">
        <v>50</v>
      </c>
      <c r="I1066" s="1">
        <v>43</v>
      </c>
      <c r="J1066" s="2">
        <v>0.14000000000000001</v>
      </c>
      <c r="K1066">
        <f t="shared" si="48"/>
        <v>6.0200000000000005</v>
      </c>
      <c r="L1066">
        <f t="shared" si="49"/>
        <v>36.979999999999997</v>
      </c>
      <c r="M1066" t="str">
        <f t="shared" si="50"/>
        <v>Jun-2018</v>
      </c>
    </row>
    <row r="1067" spans="1:13" x14ac:dyDescent="0.3">
      <c r="A1067" t="s">
        <v>1608</v>
      </c>
      <c r="B1067" s="1" t="s">
        <v>53</v>
      </c>
      <c r="C1067" s="1" t="s">
        <v>54</v>
      </c>
      <c r="D1067" s="1" t="s">
        <v>13</v>
      </c>
      <c r="E1067" s="5">
        <v>42873</v>
      </c>
      <c r="F1067" s="3" t="s">
        <v>115</v>
      </c>
      <c r="G1067" s="1" t="s">
        <v>795</v>
      </c>
      <c r="H1067" s="1">
        <v>250</v>
      </c>
      <c r="I1067" s="1">
        <v>243</v>
      </c>
      <c r="J1067" s="2">
        <v>2.8000000000000001E-2</v>
      </c>
      <c r="K1067">
        <f t="shared" si="48"/>
        <v>6.8040000000000003</v>
      </c>
      <c r="L1067">
        <f t="shared" si="49"/>
        <v>236.196</v>
      </c>
      <c r="M1067" t="str">
        <f t="shared" si="50"/>
        <v>May-2017</v>
      </c>
    </row>
    <row r="1068" spans="1:13" x14ac:dyDescent="0.3">
      <c r="A1068" t="s">
        <v>1609</v>
      </c>
      <c r="B1068" s="1" t="s">
        <v>127</v>
      </c>
      <c r="C1068" s="1" t="s">
        <v>128</v>
      </c>
      <c r="D1068" s="1" t="s">
        <v>13</v>
      </c>
      <c r="E1068" s="5">
        <v>41722</v>
      </c>
      <c r="F1068" s="3" t="s">
        <v>14</v>
      </c>
      <c r="G1068" s="1" t="s">
        <v>534</v>
      </c>
      <c r="H1068" s="1">
        <v>80</v>
      </c>
      <c r="I1068" s="1">
        <v>79</v>
      </c>
      <c r="J1068" s="2">
        <v>1.2500000000000001E-2</v>
      </c>
      <c r="K1068">
        <f t="shared" si="48"/>
        <v>0.98750000000000004</v>
      </c>
      <c r="L1068">
        <f t="shared" si="49"/>
        <v>78.012500000000003</v>
      </c>
      <c r="M1068" t="str">
        <f t="shared" si="50"/>
        <v>Mar-2014</v>
      </c>
    </row>
    <row r="1069" spans="1:13" x14ac:dyDescent="0.3">
      <c r="A1069" t="s">
        <v>1610</v>
      </c>
      <c r="B1069" s="1" t="s">
        <v>99</v>
      </c>
      <c r="C1069" s="1" t="s">
        <v>100</v>
      </c>
      <c r="D1069" s="1" t="s">
        <v>13</v>
      </c>
      <c r="E1069" s="5">
        <v>43359</v>
      </c>
      <c r="F1069" s="3" t="s">
        <v>115</v>
      </c>
      <c r="G1069" s="1" t="s">
        <v>752</v>
      </c>
      <c r="H1069" s="1">
        <v>250</v>
      </c>
      <c r="I1069" s="1">
        <v>230</v>
      </c>
      <c r="J1069" s="2">
        <v>0.08</v>
      </c>
      <c r="K1069">
        <f t="shared" si="48"/>
        <v>18.400000000000002</v>
      </c>
      <c r="L1069">
        <f t="shared" si="49"/>
        <v>211.6</v>
      </c>
      <c r="M1069" t="str">
        <f t="shared" si="50"/>
        <v>Sep-2018</v>
      </c>
    </row>
    <row r="1070" spans="1:13" x14ac:dyDescent="0.3">
      <c r="A1070" t="s">
        <v>1611</v>
      </c>
      <c r="B1070" s="1" t="s">
        <v>17</v>
      </c>
      <c r="C1070" s="1" t="s">
        <v>18</v>
      </c>
      <c r="D1070" s="1" t="s">
        <v>19</v>
      </c>
      <c r="E1070" s="5">
        <v>42393</v>
      </c>
      <c r="F1070" s="3" t="s">
        <v>104</v>
      </c>
      <c r="G1070" s="1" t="s">
        <v>478</v>
      </c>
      <c r="H1070" s="1">
        <v>70</v>
      </c>
      <c r="I1070" s="1">
        <v>67</v>
      </c>
      <c r="J1070" s="2">
        <v>4.2900000000000001E-2</v>
      </c>
      <c r="K1070">
        <f t="shared" si="48"/>
        <v>2.8742999999999999</v>
      </c>
      <c r="L1070">
        <f t="shared" si="49"/>
        <v>64.125699999999995</v>
      </c>
      <c r="M1070" t="str">
        <f t="shared" si="50"/>
        <v>Jan-2016</v>
      </c>
    </row>
    <row r="1071" spans="1:13" x14ac:dyDescent="0.3">
      <c r="A1071" t="s">
        <v>1612</v>
      </c>
      <c r="B1071" s="1" t="s">
        <v>81</v>
      </c>
      <c r="C1071" s="1" t="s">
        <v>82</v>
      </c>
      <c r="D1071" s="1" t="s">
        <v>13</v>
      </c>
      <c r="E1071" s="5">
        <v>42428</v>
      </c>
      <c r="F1071" s="3" t="s">
        <v>115</v>
      </c>
      <c r="G1071" s="1" t="s">
        <v>556</v>
      </c>
      <c r="H1071" s="1">
        <v>250</v>
      </c>
      <c r="I1071" s="1">
        <v>213</v>
      </c>
      <c r="J1071" s="2">
        <v>0.14799999999999999</v>
      </c>
      <c r="K1071">
        <f t="shared" si="48"/>
        <v>31.523999999999997</v>
      </c>
      <c r="L1071">
        <f t="shared" si="49"/>
        <v>181.476</v>
      </c>
      <c r="M1071" t="str">
        <f t="shared" si="50"/>
        <v>Feb-2016</v>
      </c>
    </row>
    <row r="1072" spans="1:13" x14ac:dyDescent="0.3">
      <c r="A1072" t="s">
        <v>1613</v>
      </c>
      <c r="B1072" s="1" t="s">
        <v>95</v>
      </c>
      <c r="C1072" s="1" t="s">
        <v>96</v>
      </c>
      <c r="D1072" s="1" t="s">
        <v>13</v>
      </c>
      <c r="E1072" s="5">
        <v>41964</v>
      </c>
      <c r="F1072" s="3" t="s">
        <v>14</v>
      </c>
      <c r="G1072" s="1" t="s">
        <v>1275</v>
      </c>
      <c r="H1072" s="1">
        <v>80</v>
      </c>
      <c r="I1072" s="1">
        <v>79</v>
      </c>
      <c r="J1072" s="2">
        <v>1.2500000000000001E-2</v>
      </c>
      <c r="K1072">
        <f t="shared" si="48"/>
        <v>0.98750000000000004</v>
      </c>
      <c r="L1072">
        <f t="shared" si="49"/>
        <v>78.012500000000003</v>
      </c>
      <c r="M1072" t="str">
        <f t="shared" si="50"/>
        <v>Nov-2014</v>
      </c>
    </row>
    <row r="1073" spans="1:13" x14ac:dyDescent="0.3">
      <c r="A1073" t="s">
        <v>1614</v>
      </c>
      <c r="B1073" s="1" t="s">
        <v>187</v>
      </c>
      <c r="C1073" s="1" t="s">
        <v>188</v>
      </c>
      <c r="D1073" s="1" t="s">
        <v>13</v>
      </c>
      <c r="E1073" s="5">
        <v>42123</v>
      </c>
      <c r="F1073" s="3" t="s">
        <v>61</v>
      </c>
      <c r="G1073" s="1" t="s">
        <v>683</v>
      </c>
      <c r="H1073" s="1">
        <v>1000</v>
      </c>
      <c r="I1073" s="1">
        <v>700</v>
      </c>
      <c r="J1073" s="2">
        <v>0.3</v>
      </c>
      <c r="K1073">
        <f t="shared" si="48"/>
        <v>210</v>
      </c>
      <c r="L1073">
        <f t="shared" si="49"/>
        <v>490</v>
      </c>
      <c r="M1073" t="str">
        <f t="shared" si="50"/>
        <v>Apr-2015</v>
      </c>
    </row>
    <row r="1074" spans="1:13" x14ac:dyDescent="0.3">
      <c r="A1074" t="s">
        <v>1615</v>
      </c>
      <c r="B1074" s="1" t="s">
        <v>221</v>
      </c>
      <c r="C1074" s="1" t="s">
        <v>40</v>
      </c>
      <c r="D1074" s="1" t="s">
        <v>35</v>
      </c>
      <c r="E1074" s="5">
        <v>41696</v>
      </c>
      <c r="F1074" s="3" t="s">
        <v>46</v>
      </c>
      <c r="G1074" s="1" t="s">
        <v>1059</v>
      </c>
      <c r="H1074" s="1">
        <v>500</v>
      </c>
      <c r="I1074" s="1">
        <v>445</v>
      </c>
      <c r="J1074" s="2">
        <v>0.11</v>
      </c>
      <c r="K1074">
        <f t="shared" si="48"/>
        <v>48.95</v>
      </c>
      <c r="L1074">
        <f t="shared" si="49"/>
        <v>396.05</v>
      </c>
      <c r="M1074" t="str">
        <f t="shared" si="50"/>
        <v>Feb-2014</v>
      </c>
    </row>
    <row r="1075" spans="1:13" x14ac:dyDescent="0.3">
      <c r="A1075" t="s">
        <v>1616</v>
      </c>
      <c r="B1075" s="1" t="s">
        <v>103</v>
      </c>
      <c r="C1075" s="1" t="s">
        <v>71</v>
      </c>
      <c r="D1075" s="1" t="s">
        <v>35</v>
      </c>
      <c r="E1075" s="5">
        <v>42667</v>
      </c>
      <c r="F1075" s="3" t="s">
        <v>122</v>
      </c>
      <c r="G1075" s="1" t="s">
        <v>105</v>
      </c>
      <c r="H1075" s="1">
        <v>50</v>
      </c>
      <c r="I1075" s="1">
        <v>47</v>
      </c>
      <c r="J1075" s="2">
        <v>0.06</v>
      </c>
      <c r="K1075">
        <f t="shared" si="48"/>
        <v>2.82</v>
      </c>
      <c r="L1075">
        <f t="shared" si="49"/>
        <v>44.18</v>
      </c>
      <c r="M1075" t="str">
        <f t="shared" si="50"/>
        <v>Oct-2016</v>
      </c>
    </row>
    <row r="1076" spans="1:13" x14ac:dyDescent="0.3">
      <c r="A1076" t="s">
        <v>1617</v>
      </c>
      <c r="B1076" s="1" t="s">
        <v>241</v>
      </c>
      <c r="C1076" s="1" t="s">
        <v>242</v>
      </c>
      <c r="D1076" s="1" t="s">
        <v>13</v>
      </c>
      <c r="E1076" s="5">
        <v>43370</v>
      </c>
      <c r="F1076" s="3" t="s">
        <v>30</v>
      </c>
      <c r="G1076" s="1" t="s">
        <v>350</v>
      </c>
      <c r="H1076" s="1">
        <v>150</v>
      </c>
      <c r="I1076" s="1">
        <v>131</v>
      </c>
      <c r="J1076" s="2">
        <v>0.12670000000000001</v>
      </c>
      <c r="K1076">
        <f t="shared" si="48"/>
        <v>16.5977</v>
      </c>
      <c r="L1076">
        <f t="shared" si="49"/>
        <v>114.4023</v>
      </c>
      <c r="M1076" t="str">
        <f t="shared" si="50"/>
        <v>Sep-2018</v>
      </c>
    </row>
    <row r="1077" spans="1:13" x14ac:dyDescent="0.3">
      <c r="A1077" t="s">
        <v>1618</v>
      </c>
      <c r="B1077" s="1" t="s">
        <v>241</v>
      </c>
      <c r="C1077" s="1" t="s">
        <v>242</v>
      </c>
      <c r="D1077" s="1" t="s">
        <v>13</v>
      </c>
      <c r="E1077" s="5">
        <v>42613</v>
      </c>
      <c r="F1077" s="3" t="s">
        <v>25</v>
      </c>
      <c r="G1077" s="1" t="s">
        <v>626</v>
      </c>
      <c r="H1077" s="1">
        <v>700</v>
      </c>
      <c r="I1077" s="1">
        <v>616</v>
      </c>
      <c r="J1077" s="2">
        <v>0.12</v>
      </c>
      <c r="K1077">
        <f t="shared" si="48"/>
        <v>73.92</v>
      </c>
      <c r="L1077">
        <f t="shared" si="49"/>
        <v>542.08000000000004</v>
      </c>
      <c r="M1077" t="str">
        <f t="shared" si="50"/>
        <v>Aug-2016</v>
      </c>
    </row>
    <row r="1078" spans="1:13" x14ac:dyDescent="0.3">
      <c r="A1078" t="s">
        <v>1619</v>
      </c>
      <c r="B1078" s="1" t="s">
        <v>134</v>
      </c>
      <c r="C1078" s="1" t="s">
        <v>92</v>
      </c>
      <c r="D1078" s="1" t="s">
        <v>35</v>
      </c>
      <c r="E1078" s="5">
        <v>43115</v>
      </c>
      <c r="F1078" s="3" t="s">
        <v>36</v>
      </c>
      <c r="G1078" s="1" t="s">
        <v>849</v>
      </c>
      <c r="H1078" s="1">
        <v>50</v>
      </c>
      <c r="I1078" s="1">
        <v>46</v>
      </c>
      <c r="J1078" s="2">
        <v>0.08</v>
      </c>
      <c r="K1078">
        <f t="shared" si="48"/>
        <v>3.68</v>
      </c>
      <c r="L1078">
        <f t="shared" si="49"/>
        <v>42.32</v>
      </c>
      <c r="M1078" t="str">
        <f t="shared" si="50"/>
        <v>Jan-2018</v>
      </c>
    </row>
    <row r="1079" spans="1:13" x14ac:dyDescent="0.3">
      <c r="A1079" t="s">
        <v>1620</v>
      </c>
      <c r="B1079" s="1" t="s">
        <v>118</v>
      </c>
      <c r="C1079" s="1" t="s">
        <v>119</v>
      </c>
      <c r="D1079" s="1" t="s">
        <v>35</v>
      </c>
      <c r="E1079" s="5">
        <v>43239</v>
      </c>
      <c r="F1079" s="3" t="s">
        <v>46</v>
      </c>
      <c r="G1079" s="1" t="s">
        <v>120</v>
      </c>
      <c r="H1079" s="1">
        <v>500</v>
      </c>
      <c r="I1079" s="1">
        <v>480</v>
      </c>
      <c r="J1079" s="2">
        <v>0.04</v>
      </c>
      <c r="K1079">
        <f t="shared" si="48"/>
        <v>19.2</v>
      </c>
      <c r="L1079">
        <f t="shared" si="49"/>
        <v>460.8</v>
      </c>
      <c r="M1079" t="str">
        <f t="shared" si="50"/>
        <v>May-2018</v>
      </c>
    </row>
    <row r="1080" spans="1:13" x14ac:dyDescent="0.3">
      <c r="A1080" t="s">
        <v>1621</v>
      </c>
      <c r="B1080" s="1" t="s">
        <v>91</v>
      </c>
      <c r="C1080" s="1" t="s">
        <v>92</v>
      </c>
      <c r="D1080" s="1" t="s">
        <v>35</v>
      </c>
      <c r="E1080" s="5">
        <v>42268</v>
      </c>
      <c r="F1080" s="3" t="s">
        <v>122</v>
      </c>
      <c r="G1080" s="1" t="s">
        <v>495</v>
      </c>
      <c r="H1080" s="1">
        <v>50</v>
      </c>
      <c r="I1080" s="1">
        <v>47</v>
      </c>
      <c r="J1080" s="2">
        <v>0.06</v>
      </c>
      <c r="K1080">
        <f t="shared" si="48"/>
        <v>2.82</v>
      </c>
      <c r="L1080">
        <f t="shared" si="49"/>
        <v>44.18</v>
      </c>
      <c r="M1080" t="str">
        <f t="shared" si="50"/>
        <v>Sep-2015</v>
      </c>
    </row>
    <row r="1081" spans="1:13" x14ac:dyDescent="0.3">
      <c r="A1081" t="s">
        <v>1622</v>
      </c>
      <c r="B1081" s="1" t="s">
        <v>53</v>
      </c>
      <c r="C1081" s="1" t="s">
        <v>54</v>
      </c>
      <c r="D1081" s="1" t="s">
        <v>13</v>
      </c>
      <c r="E1081" s="5">
        <v>42022</v>
      </c>
      <c r="F1081" s="3" t="s">
        <v>30</v>
      </c>
      <c r="G1081" s="1" t="s">
        <v>56</v>
      </c>
      <c r="H1081" s="1">
        <v>150</v>
      </c>
      <c r="I1081" s="1">
        <v>146</v>
      </c>
      <c r="J1081" s="2">
        <v>2.6700000000000002E-2</v>
      </c>
      <c r="K1081">
        <f t="shared" si="48"/>
        <v>3.8982000000000001</v>
      </c>
      <c r="L1081">
        <f t="shared" si="49"/>
        <v>142.1018</v>
      </c>
      <c r="M1081" t="str">
        <f t="shared" si="50"/>
        <v>Jan-2015</v>
      </c>
    </row>
    <row r="1082" spans="1:13" x14ac:dyDescent="0.3">
      <c r="A1082" t="s">
        <v>1623</v>
      </c>
      <c r="B1082" s="1" t="s">
        <v>146</v>
      </c>
      <c r="C1082" s="1" t="s">
        <v>147</v>
      </c>
      <c r="D1082" s="1" t="s">
        <v>13</v>
      </c>
      <c r="E1082" s="5">
        <v>42507</v>
      </c>
      <c r="F1082" s="3" t="s">
        <v>104</v>
      </c>
      <c r="G1082" s="1" t="s">
        <v>1624</v>
      </c>
      <c r="H1082" s="1">
        <v>70</v>
      </c>
      <c r="I1082" s="1">
        <v>67</v>
      </c>
      <c r="J1082" s="2">
        <v>4.2900000000000001E-2</v>
      </c>
      <c r="K1082">
        <f t="shared" si="48"/>
        <v>2.8742999999999999</v>
      </c>
      <c r="L1082">
        <f t="shared" si="49"/>
        <v>64.125699999999995</v>
      </c>
      <c r="M1082" t="str">
        <f t="shared" si="50"/>
        <v>May-2016</v>
      </c>
    </row>
    <row r="1083" spans="1:13" x14ac:dyDescent="0.3">
      <c r="A1083" t="s">
        <v>1625</v>
      </c>
      <c r="B1083" s="1" t="s">
        <v>118</v>
      </c>
      <c r="C1083" s="1" t="s">
        <v>119</v>
      </c>
      <c r="D1083" s="1" t="s">
        <v>35</v>
      </c>
      <c r="E1083" s="5">
        <v>42050</v>
      </c>
      <c r="F1083" s="3" t="s">
        <v>72</v>
      </c>
      <c r="G1083" s="1" t="s">
        <v>709</v>
      </c>
      <c r="H1083" s="1">
        <v>500</v>
      </c>
      <c r="I1083" s="1">
        <v>495</v>
      </c>
      <c r="J1083" s="2">
        <v>0.01</v>
      </c>
      <c r="K1083">
        <f t="shared" si="48"/>
        <v>4.95</v>
      </c>
      <c r="L1083">
        <f t="shared" si="49"/>
        <v>490.05</v>
      </c>
      <c r="M1083" t="str">
        <f t="shared" si="50"/>
        <v>Feb-2015</v>
      </c>
    </row>
    <row r="1084" spans="1:13" x14ac:dyDescent="0.3">
      <c r="A1084" t="s">
        <v>1626</v>
      </c>
      <c r="B1084" s="1" t="s">
        <v>77</v>
      </c>
      <c r="C1084" s="1" t="s">
        <v>78</v>
      </c>
      <c r="D1084" s="1" t="s">
        <v>35</v>
      </c>
      <c r="E1084" s="5">
        <v>42757</v>
      </c>
      <c r="F1084" s="3" t="s">
        <v>104</v>
      </c>
      <c r="G1084" s="1" t="s">
        <v>317</v>
      </c>
      <c r="H1084" s="1">
        <v>70</v>
      </c>
      <c r="I1084" s="1">
        <v>57</v>
      </c>
      <c r="J1084" s="2">
        <v>0.1857</v>
      </c>
      <c r="K1084">
        <f t="shared" si="48"/>
        <v>10.584900000000001</v>
      </c>
      <c r="L1084">
        <f t="shared" si="49"/>
        <v>46.415099999999995</v>
      </c>
      <c r="M1084" t="str">
        <f t="shared" si="50"/>
        <v>Jan-2017</v>
      </c>
    </row>
    <row r="1085" spans="1:13" x14ac:dyDescent="0.3">
      <c r="A1085" t="s">
        <v>1627</v>
      </c>
      <c r="B1085" s="1" t="s">
        <v>264</v>
      </c>
      <c r="C1085" s="1" t="s">
        <v>265</v>
      </c>
      <c r="D1085" s="1" t="s">
        <v>13</v>
      </c>
      <c r="E1085" s="5">
        <v>42513</v>
      </c>
      <c r="F1085" s="3" t="s">
        <v>122</v>
      </c>
      <c r="G1085" s="1" t="s">
        <v>369</v>
      </c>
      <c r="H1085" s="1">
        <v>50</v>
      </c>
      <c r="I1085" s="1">
        <v>47</v>
      </c>
      <c r="J1085" s="2">
        <v>0.06</v>
      </c>
      <c r="K1085">
        <f t="shared" si="48"/>
        <v>2.82</v>
      </c>
      <c r="L1085">
        <f t="shared" si="49"/>
        <v>44.18</v>
      </c>
      <c r="M1085" t="str">
        <f t="shared" si="50"/>
        <v>May-2016</v>
      </c>
    </row>
    <row r="1086" spans="1:13" x14ac:dyDescent="0.3">
      <c r="A1086" t="s">
        <v>1628</v>
      </c>
      <c r="B1086" s="1" t="s">
        <v>241</v>
      </c>
      <c r="C1086" s="1" t="s">
        <v>242</v>
      </c>
      <c r="D1086" s="1" t="s">
        <v>13</v>
      </c>
      <c r="E1086" s="5">
        <v>42094</v>
      </c>
      <c r="F1086" s="3" t="s">
        <v>30</v>
      </c>
      <c r="G1086" s="1" t="s">
        <v>287</v>
      </c>
      <c r="H1086" s="1">
        <v>150</v>
      </c>
      <c r="I1086" s="1">
        <v>125</v>
      </c>
      <c r="J1086" s="2">
        <v>0.16669999999999999</v>
      </c>
      <c r="K1086">
        <f t="shared" si="48"/>
        <v>20.837499999999999</v>
      </c>
      <c r="L1086">
        <f t="shared" si="49"/>
        <v>104.16249999999999</v>
      </c>
      <c r="M1086" t="str">
        <f t="shared" si="50"/>
        <v>Mar-2015</v>
      </c>
    </row>
    <row r="1087" spans="1:13" x14ac:dyDescent="0.3">
      <c r="A1087" t="s">
        <v>1629</v>
      </c>
      <c r="B1087" s="1" t="s">
        <v>33</v>
      </c>
      <c r="C1087" s="1" t="s">
        <v>34</v>
      </c>
      <c r="D1087" s="1" t="s">
        <v>35</v>
      </c>
      <c r="E1087" s="5">
        <v>42424</v>
      </c>
      <c r="F1087" s="3" t="s">
        <v>36</v>
      </c>
      <c r="G1087" s="1" t="s">
        <v>160</v>
      </c>
      <c r="H1087" s="1">
        <v>50</v>
      </c>
      <c r="I1087" s="1">
        <v>34</v>
      </c>
      <c r="J1087" s="2">
        <v>0.32</v>
      </c>
      <c r="K1087">
        <f t="shared" si="48"/>
        <v>10.88</v>
      </c>
      <c r="L1087">
        <f t="shared" si="49"/>
        <v>23.119999999999997</v>
      </c>
      <c r="M1087" t="str">
        <f t="shared" si="50"/>
        <v>Feb-2016</v>
      </c>
    </row>
    <row r="1088" spans="1:13" x14ac:dyDescent="0.3">
      <c r="A1088" t="s">
        <v>1630</v>
      </c>
      <c r="B1088" s="1" t="s">
        <v>39</v>
      </c>
      <c r="C1088" s="1" t="s">
        <v>40</v>
      </c>
      <c r="D1088" s="1" t="s">
        <v>35</v>
      </c>
      <c r="E1088" s="5">
        <v>43155</v>
      </c>
      <c r="F1088" s="3" t="s">
        <v>25</v>
      </c>
      <c r="G1088" s="1" t="s">
        <v>1631</v>
      </c>
      <c r="H1088" s="1">
        <v>700</v>
      </c>
      <c r="I1088" s="1">
        <v>539</v>
      </c>
      <c r="J1088" s="2">
        <v>0.23</v>
      </c>
      <c r="K1088">
        <f t="shared" si="48"/>
        <v>123.97</v>
      </c>
      <c r="L1088">
        <f t="shared" si="49"/>
        <v>415.03</v>
      </c>
      <c r="M1088" t="str">
        <f t="shared" si="50"/>
        <v>Feb-2018</v>
      </c>
    </row>
    <row r="1089" spans="1:13" x14ac:dyDescent="0.3">
      <c r="A1089" t="s">
        <v>1632</v>
      </c>
      <c r="B1089" s="1" t="s">
        <v>434</v>
      </c>
      <c r="C1089" s="1" t="s">
        <v>435</v>
      </c>
      <c r="D1089" s="1" t="s">
        <v>24</v>
      </c>
      <c r="E1089" s="5">
        <v>41987</v>
      </c>
      <c r="F1089" s="3" t="s">
        <v>25</v>
      </c>
      <c r="G1089" s="1" t="s">
        <v>828</v>
      </c>
      <c r="H1089" s="1">
        <v>700</v>
      </c>
      <c r="I1089" s="1">
        <v>693</v>
      </c>
      <c r="J1089" s="2">
        <v>0.01</v>
      </c>
      <c r="K1089">
        <f t="shared" si="48"/>
        <v>6.93</v>
      </c>
      <c r="L1089">
        <f t="shared" si="49"/>
        <v>686.07</v>
      </c>
      <c r="M1089" t="str">
        <f t="shared" si="50"/>
        <v>Dec-2014</v>
      </c>
    </row>
    <row r="1090" spans="1:13" x14ac:dyDescent="0.3">
      <c r="A1090" t="s">
        <v>1633</v>
      </c>
      <c r="B1090" s="1" t="s">
        <v>11</v>
      </c>
      <c r="C1090" s="1" t="s">
        <v>12</v>
      </c>
      <c r="D1090" s="1" t="s">
        <v>13</v>
      </c>
      <c r="E1090" s="5">
        <v>42668</v>
      </c>
      <c r="F1090" s="3" t="s">
        <v>30</v>
      </c>
      <c r="G1090" s="1" t="s">
        <v>193</v>
      </c>
      <c r="H1090" s="1">
        <v>150</v>
      </c>
      <c r="I1090" s="1">
        <v>147</v>
      </c>
      <c r="J1090" s="2">
        <v>0.02</v>
      </c>
      <c r="K1090">
        <f t="shared" si="48"/>
        <v>2.94</v>
      </c>
      <c r="L1090">
        <f t="shared" si="49"/>
        <v>144.06</v>
      </c>
      <c r="M1090" t="str">
        <f t="shared" si="50"/>
        <v>Oct-2016</v>
      </c>
    </row>
    <row r="1091" spans="1:13" x14ac:dyDescent="0.3">
      <c r="A1091" t="s">
        <v>1634</v>
      </c>
      <c r="B1091" s="1" t="s">
        <v>174</v>
      </c>
      <c r="C1091" s="1" t="s">
        <v>175</v>
      </c>
      <c r="D1091" s="1" t="s">
        <v>13</v>
      </c>
      <c r="E1091" s="5">
        <v>43116</v>
      </c>
      <c r="F1091" s="3" t="s">
        <v>122</v>
      </c>
      <c r="G1091" s="1" t="s">
        <v>788</v>
      </c>
      <c r="H1091" s="1">
        <v>50</v>
      </c>
      <c r="I1091" s="1">
        <v>42</v>
      </c>
      <c r="J1091" s="2">
        <v>0.16</v>
      </c>
      <c r="K1091">
        <f t="shared" si="48"/>
        <v>6.72</v>
      </c>
      <c r="L1091">
        <f t="shared" si="49"/>
        <v>35.28</v>
      </c>
      <c r="M1091" t="str">
        <f t="shared" si="50"/>
        <v>Jan-2018</v>
      </c>
    </row>
    <row r="1092" spans="1:13" x14ac:dyDescent="0.3">
      <c r="A1092" t="s">
        <v>1635</v>
      </c>
      <c r="B1092" s="1" t="s">
        <v>28</v>
      </c>
      <c r="C1092" s="1" t="s">
        <v>29</v>
      </c>
      <c r="D1092" s="1" t="s">
        <v>13</v>
      </c>
      <c r="E1092" s="5">
        <v>42207</v>
      </c>
      <c r="F1092" s="3" t="s">
        <v>122</v>
      </c>
      <c r="G1092" s="1" t="s">
        <v>554</v>
      </c>
      <c r="H1092" s="1">
        <v>50</v>
      </c>
      <c r="I1092" s="1">
        <v>44</v>
      </c>
      <c r="J1092" s="2">
        <v>0.12</v>
      </c>
      <c r="K1092">
        <f t="shared" ref="K1092:K1155" si="51">I1092*J1092</f>
        <v>5.2799999999999994</v>
      </c>
      <c r="L1092">
        <f t="shared" ref="L1092:L1155" si="52">I1092-K1092</f>
        <v>38.72</v>
      </c>
      <c r="M1092" t="str">
        <f t="shared" ref="M1092:M1155" si="53">TEXT(E1092, "mmm-yyyy")</f>
        <v>Jul-2015</v>
      </c>
    </row>
    <row r="1093" spans="1:13" x14ac:dyDescent="0.3">
      <c r="A1093" t="s">
        <v>1636</v>
      </c>
      <c r="B1093" s="1" t="s">
        <v>111</v>
      </c>
      <c r="C1093" s="1" t="s">
        <v>82</v>
      </c>
      <c r="D1093" s="1" t="s">
        <v>13</v>
      </c>
      <c r="E1093" s="5">
        <v>42115</v>
      </c>
      <c r="F1093" s="3" t="s">
        <v>122</v>
      </c>
      <c r="G1093" s="1" t="s">
        <v>112</v>
      </c>
      <c r="H1093" s="1">
        <v>50</v>
      </c>
      <c r="I1093" s="1">
        <v>49</v>
      </c>
      <c r="J1093" s="2">
        <v>0.02</v>
      </c>
      <c r="K1093">
        <f t="shared" si="51"/>
        <v>0.98</v>
      </c>
      <c r="L1093">
        <f t="shared" si="52"/>
        <v>48.02</v>
      </c>
      <c r="M1093" t="str">
        <f t="shared" si="53"/>
        <v>Apr-2015</v>
      </c>
    </row>
    <row r="1094" spans="1:13" x14ac:dyDescent="0.3">
      <c r="A1094" t="s">
        <v>1637</v>
      </c>
      <c r="B1094" s="1" t="s">
        <v>11</v>
      </c>
      <c r="C1094" s="1" t="s">
        <v>12</v>
      </c>
      <c r="D1094" s="1" t="s">
        <v>13</v>
      </c>
      <c r="E1094" s="5">
        <v>42726</v>
      </c>
      <c r="F1094" s="3" t="s">
        <v>14</v>
      </c>
      <c r="G1094" s="1" t="s">
        <v>276</v>
      </c>
      <c r="H1094" s="1">
        <v>80</v>
      </c>
      <c r="I1094" s="1">
        <v>78</v>
      </c>
      <c r="J1094" s="2">
        <v>2.5000000000000001E-2</v>
      </c>
      <c r="K1094">
        <f t="shared" si="51"/>
        <v>1.9500000000000002</v>
      </c>
      <c r="L1094">
        <f t="shared" si="52"/>
        <v>76.05</v>
      </c>
      <c r="M1094" t="str">
        <f t="shared" si="53"/>
        <v>Dec-2016</v>
      </c>
    </row>
    <row r="1095" spans="1:13" x14ac:dyDescent="0.3">
      <c r="A1095" t="s">
        <v>1638</v>
      </c>
      <c r="B1095" s="1" t="s">
        <v>289</v>
      </c>
      <c r="C1095" s="1" t="s">
        <v>108</v>
      </c>
      <c r="D1095" s="1" t="s">
        <v>19</v>
      </c>
      <c r="E1095" s="5">
        <v>43300</v>
      </c>
      <c r="F1095" s="3" t="s">
        <v>122</v>
      </c>
      <c r="G1095" s="1" t="s">
        <v>290</v>
      </c>
      <c r="H1095" s="1">
        <v>50</v>
      </c>
      <c r="I1095" s="1">
        <v>48</v>
      </c>
      <c r="J1095" s="2">
        <v>0.04</v>
      </c>
      <c r="K1095">
        <f t="shared" si="51"/>
        <v>1.92</v>
      </c>
      <c r="L1095">
        <f t="shared" si="52"/>
        <v>46.08</v>
      </c>
      <c r="M1095" t="str">
        <f t="shared" si="53"/>
        <v>Jul-2018</v>
      </c>
    </row>
    <row r="1096" spans="1:13" x14ac:dyDescent="0.3">
      <c r="A1096" t="s">
        <v>1639</v>
      </c>
      <c r="B1096" s="1" t="s">
        <v>157</v>
      </c>
      <c r="C1096" s="1" t="s">
        <v>108</v>
      </c>
      <c r="D1096" s="1" t="s">
        <v>19</v>
      </c>
      <c r="E1096" s="5">
        <v>42875</v>
      </c>
      <c r="F1096" s="3" t="s">
        <v>30</v>
      </c>
      <c r="G1096" s="1" t="s">
        <v>464</v>
      </c>
      <c r="H1096" s="1">
        <v>150</v>
      </c>
      <c r="I1096" s="1">
        <v>147</v>
      </c>
      <c r="J1096" s="2">
        <v>0.02</v>
      </c>
      <c r="K1096">
        <f t="shared" si="51"/>
        <v>2.94</v>
      </c>
      <c r="L1096">
        <f t="shared" si="52"/>
        <v>144.06</v>
      </c>
      <c r="M1096" t="str">
        <f t="shared" si="53"/>
        <v>May-2017</v>
      </c>
    </row>
    <row r="1097" spans="1:13" x14ac:dyDescent="0.3">
      <c r="A1097" t="s">
        <v>1640</v>
      </c>
      <c r="B1097" s="1" t="s">
        <v>53</v>
      </c>
      <c r="C1097" s="1" t="s">
        <v>54</v>
      </c>
      <c r="D1097" s="1" t="s">
        <v>13</v>
      </c>
      <c r="E1097" s="5">
        <v>42847</v>
      </c>
      <c r="F1097" s="3" t="s">
        <v>61</v>
      </c>
      <c r="G1097" s="1" t="s">
        <v>1206</v>
      </c>
      <c r="H1097" s="1">
        <v>1000</v>
      </c>
      <c r="I1097" s="1">
        <v>620</v>
      </c>
      <c r="J1097" s="2">
        <v>0.38</v>
      </c>
      <c r="K1097">
        <f t="shared" si="51"/>
        <v>235.6</v>
      </c>
      <c r="L1097">
        <f t="shared" si="52"/>
        <v>384.4</v>
      </c>
      <c r="M1097" t="str">
        <f t="shared" si="53"/>
        <v>Apr-2017</v>
      </c>
    </row>
    <row r="1098" spans="1:13" x14ac:dyDescent="0.3">
      <c r="A1098" t="s">
        <v>1641</v>
      </c>
      <c r="B1098" s="1" t="s">
        <v>127</v>
      </c>
      <c r="C1098" s="1" t="s">
        <v>128</v>
      </c>
      <c r="D1098" s="1" t="s">
        <v>13</v>
      </c>
      <c r="E1098" s="5">
        <v>41869</v>
      </c>
      <c r="F1098" s="3" t="s">
        <v>72</v>
      </c>
      <c r="G1098" s="1" t="s">
        <v>920</v>
      </c>
      <c r="H1098" s="1">
        <v>500</v>
      </c>
      <c r="I1098" s="1">
        <v>495</v>
      </c>
      <c r="J1098" s="2">
        <v>0.01</v>
      </c>
      <c r="K1098">
        <f t="shared" si="51"/>
        <v>4.95</v>
      </c>
      <c r="L1098">
        <f t="shared" si="52"/>
        <v>490.05</v>
      </c>
      <c r="M1098" t="str">
        <f t="shared" si="53"/>
        <v>Aug-2014</v>
      </c>
    </row>
    <row r="1099" spans="1:13" x14ac:dyDescent="0.3">
      <c r="A1099" t="s">
        <v>1642</v>
      </c>
      <c r="B1099" s="1" t="s">
        <v>221</v>
      </c>
      <c r="C1099" s="1" t="s">
        <v>40</v>
      </c>
      <c r="D1099" s="1" t="s">
        <v>35</v>
      </c>
      <c r="E1099" s="5">
        <v>41747</v>
      </c>
      <c r="F1099" s="3" t="s">
        <v>122</v>
      </c>
      <c r="G1099" s="1" t="s">
        <v>1059</v>
      </c>
      <c r="H1099" s="1">
        <v>50</v>
      </c>
      <c r="I1099" s="1">
        <v>47</v>
      </c>
      <c r="J1099" s="2">
        <v>0.06</v>
      </c>
      <c r="K1099">
        <f t="shared" si="51"/>
        <v>2.82</v>
      </c>
      <c r="L1099">
        <f t="shared" si="52"/>
        <v>44.18</v>
      </c>
      <c r="M1099" t="str">
        <f t="shared" si="53"/>
        <v>Apr-2014</v>
      </c>
    </row>
    <row r="1100" spans="1:13" x14ac:dyDescent="0.3">
      <c r="A1100" t="s">
        <v>1643</v>
      </c>
      <c r="B1100" s="1" t="s">
        <v>134</v>
      </c>
      <c r="C1100" s="1" t="s">
        <v>92</v>
      </c>
      <c r="D1100" s="1" t="s">
        <v>35</v>
      </c>
      <c r="E1100" s="5">
        <v>43456</v>
      </c>
      <c r="F1100" s="3" t="s">
        <v>55</v>
      </c>
      <c r="G1100" s="1" t="s">
        <v>135</v>
      </c>
      <c r="H1100" s="1">
        <v>800</v>
      </c>
      <c r="I1100" s="1">
        <v>744</v>
      </c>
      <c r="J1100" s="2">
        <v>7.0000000000000007E-2</v>
      </c>
      <c r="K1100">
        <f t="shared" si="51"/>
        <v>52.080000000000005</v>
      </c>
      <c r="L1100">
        <f t="shared" si="52"/>
        <v>691.92</v>
      </c>
      <c r="M1100" t="str">
        <f t="shared" si="53"/>
        <v>Dec-2018</v>
      </c>
    </row>
    <row r="1101" spans="1:13" x14ac:dyDescent="0.3">
      <c r="A1101" t="s">
        <v>1644</v>
      </c>
      <c r="B1101" s="1" t="s">
        <v>49</v>
      </c>
      <c r="C1101" s="1" t="s">
        <v>50</v>
      </c>
      <c r="D1101" s="1" t="s">
        <v>24</v>
      </c>
      <c r="E1101" s="5">
        <v>43387</v>
      </c>
      <c r="F1101" s="3" t="s">
        <v>46</v>
      </c>
      <c r="G1101" s="1" t="s">
        <v>68</v>
      </c>
      <c r="H1101" s="1">
        <v>500</v>
      </c>
      <c r="I1101" s="1">
        <v>490</v>
      </c>
      <c r="J1101" s="2">
        <v>0.02</v>
      </c>
      <c r="K1101">
        <f t="shared" si="51"/>
        <v>9.8000000000000007</v>
      </c>
      <c r="L1101">
        <f t="shared" si="52"/>
        <v>480.2</v>
      </c>
      <c r="M1101" t="str">
        <f t="shared" si="53"/>
        <v>Oct-2018</v>
      </c>
    </row>
    <row r="1102" spans="1:13" x14ac:dyDescent="0.3">
      <c r="A1102" t="s">
        <v>1645</v>
      </c>
      <c r="B1102" s="1" t="s">
        <v>174</v>
      </c>
      <c r="C1102" s="1" t="s">
        <v>175</v>
      </c>
      <c r="D1102" s="1" t="s">
        <v>13</v>
      </c>
      <c r="E1102" s="5">
        <v>43233</v>
      </c>
      <c r="F1102" s="3" t="s">
        <v>55</v>
      </c>
      <c r="G1102" s="1" t="s">
        <v>219</v>
      </c>
      <c r="H1102" s="1">
        <v>800</v>
      </c>
      <c r="I1102" s="1">
        <v>576</v>
      </c>
      <c r="J1102" s="2">
        <v>0.28000000000000003</v>
      </c>
      <c r="K1102">
        <f t="shared" si="51"/>
        <v>161.28000000000003</v>
      </c>
      <c r="L1102">
        <f t="shared" si="52"/>
        <v>414.71999999999997</v>
      </c>
      <c r="M1102" t="str">
        <f t="shared" si="53"/>
        <v>May-2018</v>
      </c>
    </row>
    <row r="1103" spans="1:13" x14ac:dyDescent="0.3">
      <c r="A1103" t="s">
        <v>1646</v>
      </c>
      <c r="B1103" s="1" t="s">
        <v>146</v>
      </c>
      <c r="C1103" s="1" t="s">
        <v>147</v>
      </c>
      <c r="D1103" s="1" t="s">
        <v>13</v>
      </c>
      <c r="E1103" s="5">
        <v>43419</v>
      </c>
      <c r="F1103" s="3" t="s">
        <v>46</v>
      </c>
      <c r="G1103" s="1" t="s">
        <v>1647</v>
      </c>
      <c r="H1103" s="1">
        <v>500</v>
      </c>
      <c r="I1103" s="1">
        <v>455</v>
      </c>
      <c r="J1103" s="2">
        <v>0.09</v>
      </c>
      <c r="K1103">
        <f t="shared" si="51"/>
        <v>40.949999999999996</v>
      </c>
      <c r="L1103">
        <f t="shared" si="52"/>
        <v>414.05</v>
      </c>
      <c r="M1103" t="str">
        <f t="shared" si="53"/>
        <v>Nov-2018</v>
      </c>
    </row>
    <row r="1104" spans="1:13" x14ac:dyDescent="0.3">
      <c r="A1104" t="s">
        <v>1648</v>
      </c>
      <c r="B1104" s="1" t="s">
        <v>227</v>
      </c>
      <c r="C1104" s="1" t="s">
        <v>228</v>
      </c>
      <c r="D1104" s="1" t="s">
        <v>24</v>
      </c>
      <c r="E1104" s="5">
        <v>42216</v>
      </c>
      <c r="F1104" s="3" t="s">
        <v>30</v>
      </c>
      <c r="G1104" s="1" t="s">
        <v>685</v>
      </c>
      <c r="H1104" s="1">
        <v>150</v>
      </c>
      <c r="I1104" s="1">
        <v>135</v>
      </c>
      <c r="J1104" s="2">
        <v>0.1</v>
      </c>
      <c r="K1104">
        <f t="shared" si="51"/>
        <v>13.5</v>
      </c>
      <c r="L1104">
        <f t="shared" si="52"/>
        <v>121.5</v>
      </c>
      <c r="M1104" t="str">
        <f t="shared" si="53"/>
        <v>Jul-2015</v>
      </c>
    </row>
    <row r="1105" spans="1:13" x14ac:dyDescent="0.3">
      <c r="A1105" t="s">
        <v>1649</v>
      </c>
      <c r="B1105" s="1" t="s">
        <v>11</v>
      </c>
      <c r="C1105" s="1" t="s">
        <v>12</v>
      </c>
      <c r="D1105" s="1" t="s">
        <v>13</v>
      </c>
      <c r="E1105" s="5">
        <v>43248</v>
      </c>
      <c r="F1105" s="3" t="s">
        <v>72</v>
      </c>
      <c r="G1105" s="1" t="s">
        <v>137</v>
      </c>
      <c r="H1105" s="1">
        <v>500</v>
      </c>
      <c r="I1105" s="1">
        <v>490</v>
      </c>
      <c r="J1105" s="2">
        <v>0.02</v>
      </c>
      <c r="K1105">
        <f t="shared" si="51"/>
        <v>9.8000000000000007</v>
      </c>
      <c r="L1105">
        <f t="shared" si="52"/>
        <v>480.2</v>
      </c>
      <c r="M1105" t="str">
        <f t="shared" si="53"/>
        <v>May-2018</v>
      </c>
    </row>
    <row r="1106" spans="1:13" x14ac:dyDescent="0.3">
      <c r="A1106" t="s">
        <v>1650</v>
      </c>
      <c r="B1106" s="1" t="s">
        <v>270</v>
      </c>
      <c r="C1106" s="1" t="s">
        <v>271</v>
      </c>
      <c r="D1106" s="1" t="s">
        <v>35</v>
      </c>
      <c r="E1106" s="5">
        <v>41937</v>
      </c>
      <c r="F1106" s="3" t="s">
        <v>72</v>
      </c>
      <c r="G1106" s="1" t="s">
        <v>809</v>
      </c>
      <c r="H1106" s="1">
        <v>500</v>
      </c>
      <c r="I1106" s="1">
        <v>495</v>
      </c>
      <c r="J1106" s="2">
        <v>0.01</v>
      </c>
      <c r="K1106">
        <f t="shared" si="51"/>
        <v>4.95</v>
      </c>
      <c r="L1106">
        <f t="shared" si="52"/>
        <v>490.05</v>
      </c>
      <c r="M1106" t="str">
        <f t="shared" si="53"/>
        <v>Oct-2014</v>
      </c>
    </row>
    <row r="1107" spans="1:13" x14ac:dyDescent="0.3">
      <c r="A1107" t="s">
        <v>1651</v>
      </c>
      <c r="B1107" s="1" t="s">
        <v>59</v>
      </c>
      <c r="C1107" s="1" t="s">
        <v>60</v>
      </c>
      <c r="D1107" s="1" t="s">
        <v>13</v>
      </c>
      <c r="E1107" s="5">
        <v>42505</v>
      </c>
      <c r="F1107" s="3" t="s">
        <v>122</v>
      </c>
      <c r="G1107" s="1" t="s">
        <v>62</v>
      </c>
      <c r="H1107" s="1">
        <v>50</v>
      </c>
      <c r="I1107" s="1">
        <v>45</v>
      </c>
      <c r="J1107" s="2">
        <v>0.1</v>
      </c>
      <c r="K1107">
        <f t="shared" si="51"/>
        <v>4.5</v>
      </c>
      <c r="L1107">
        <f t="shared" si="52"/>
        <v>40.5</v>
      </c>
      <c r="M1107" t="str">
        <f t="shared" si="53"/>
        <v>May-2016</v>
      </c>
    </row>
    <row r="1108" spans="1:13" x14ac:dyDescent="0.3">
      <c r="A1108" t="s">
        <v>1652</v>
      </c>
      <c r="B1108" s="1" t="s">
        <v>224</v>
      </c>
      <c r="C1108" s="1" t="s">
        <v>50</v>
      </c>
      <c r="D1108" s="1" t="s">
        <v>24</v>
      </c>
      <c r="E1108" s="5">
        <v>43063</v>
      </c>
      <c r="F1108" s="3" t="s">
        <v>41</v>
      </c>
      <c r="G1108" s="1" t="s">
        <v>774</v>
      </c>
      <c r="H1108" s="1">
        <v>30</v>
      </c>
      <c r="I1108" s="1">
        <v>28</v>
      </c>
      <c r="J1108" s="2">
        <v>6.6699999999999995E-2</v>
      </c>
      <c r="K1108">
        <f t="shared" si="51"/>
        <v>1.8675999999999999</v>
      </c>
      <c r="L1108">
        <f t="shared" si="52"/>
        <v>26.132400000000001</v>
      </c>
      <c r="M1108" t="str">
        <f t="shared" si="53"/>
        <v>Nov-2017</v>
      </c>
    </row>
    <row r="1109" spans="1:13" x14ac:dyDescent="0.3">
      <c r="A1109" t="s">
        <v>1653</v>
      </c>
      <c r="B1109" s="1" t="s">
        <v>324</v>
      </c>
      <c r="C1109" s="1" t="s">
        <v>325</v>
      </c>
      <c r="D1109" s="1" t="s">
        <v>13</v>
      </c>
      <c r="E1109" s="5">
        <v>43451</v>
      </c>
      <c r="F1109" s="3" t="s">
        <v>55</v>
      </c>
      <c r="G1109" s="1" t="s">
        <v>922</v>
      </c>
      <c r="H1109" s="1">
        <v>800</v>
      </c>
      <c r="I1109" s="1">
        <v>472</v>
      </c>
      <c r="J1109" s="2">
        <v>0.41</v>
      </c>
      <c r="K1109">
        <f t="shared" si="51"/>
        <v>193.51999999999998</v>
      </c>
      <c r="L1109">
        <f t="shared" si="52"/>
        <v>278.48</v>
      </c>
      <c r="M1109" t="str">
        <f t="shared" si="53"/>
        <v>Dec-2018</v>
      </c>
    </row>
    <row r="1110" spans="1:13" x14ac:dyDescent="0.3">
      <c r="A1110" t="s">
        <v>1654</v>
      </c>
      <c r="B1110" s="1" t="s">
        <v>146</v>
      </c>
      <c r="C1110" s="1" t="s">
        <v>147</v>
      </c>
      <c r="D1110" s="1" t="s">
        <v>13</v>
      </c>
      <c r="E1110" s="5">
        <v>41729</v>
      </c>
      <c r="F1110" s="3" t="s">
        <v>61</v>
      </c>
      <c r="G1110" s="1" t="s">
        <v>1334</v>
      </c>
      <c r="H1110" s="1">
        <v>1000</v>
      </c>
      <c r="I1110" s="1">
        <v>680</v>
      </c>
      <c r="J1110" s="2">
        <v>0.32</v>
      </c>
      <c r="K1110">
        <f t="shared" si="51"/>
        <v>217.6</v>
      </c>
      <c r="L1110">
        <f t="shared" si="52"/>
        <v>462.4</v>
      </c>
      <c r="M1110" t="str">
        <f t="shared" si="53"/>
        <v>Mar-2014</v>
      </c>
    </row>
    <row r="1111" spans="1:13" x14ac:dyDescent="0.3">
      <c r="A1111" t="s">
        <v>1655</v>
      </c>
      <c r="B1111" s="1" t="s">
        <v>127</v>
      </c>
      <c r="C1111" s="1" t="s">
        <v>128</v>
      </c>
      <c r="D1111" s="1" t="s">
        <v>13</v>
      </c>
      <c r="E1111" s="5">
        <v>42264</v>
      </c>
      <c r="F1111" s="3" t="s">
        <v>30</v>
      </c>
      <c r="G1111" s="1" t="s">
        <v>233</v>
      </c>
      <c r="H1111" s="1">
        <v>150</v>
      </c>
      <c r="I1111" s="1">
        <v>150</v>
      </c>
      <c r="J1111" s="2">
        <v>0</v>
      </c>
      <c r="K1111">
        <f t="shared" si="51"/>
        <v>0</v>
      </c>
      <c r="L1111">
        <f t="shared" si="52"/>
        <v>150</v>
      </c>
      <c r="M1111" t="str">
        <f t="shared" si="53"/>
        <v>Sep-2015</v>
      </c>
    </row>
    <row r="1112" spans="1:13" x14ac:dyDescent="0.3">
      <c r="A1112" t="s">
        <v>1656</v>
      </c>
      <c r="B1112" s="1" t="s">
        <v>227</v>
      </c>
      <c r="C1112" s="1" t="s">
        <v>228</v>
      </c>
      <c r="D1112" s="1" t="s">
        <v>24</v>
      </c>
      <c r="E1112" s="5">
        <v>42236</v>
      </c>
      <c r="F1112" s="3" t="s">
        <v>41</v>
      </c>
      <c r="G1112" s="1" t="s">
        <v>836</v>
      </c>
      <c r="H1112" s="1">
        <v>30</v>
      </c>
      <c r="I1112" s="1">
        <v>28</v>
      </c>
      <c r="J1112" s="2">
        <v>6.6699999999999995E-2</v>
      </c>
      <c r="K1112">
        <f t="shared" si="51"/>
        <v>1.8675999999999999</v>
      </c>
      <c r="L1112">
        <f t="shared" si="52"/>
        <v>26.132400000000001</v>
      </c>
      <c r="M1112" t="str">
        <f t="shared" si="53"/>
        <v>Aug-2015</v>
      </c>
    </row>
    <row r="1113" spans="1:13" x14ac:dyDescent="0.3">
      <c r="A1113" t="s">
        <v>1657</v>
      </c>
      <c r="B1113" s="1" t="s">
        <v>49</v>
      </c>
      <c r="C1113" s="1" t="s">
        <v>50</v>
      </c>
      <c r="D1113" s="1" t="s">
        <v>24</v>
      </c>
      <c r="E1113" s="5">
        <v>42966</v>
      </c>
      <c r="F1113" s="3" t="s">
        <v>46</v>
      </c>
      <c r="G1113" s="1" t="s">
        <v>1000</v>
      </c>
      <c r="H1113" s="1">
        <v>500</v>
      </c>
      <c r="I1113" s="1">
        <v>450</v>
      </c>
      <c r="J1113" s="2">
        <v>0.1</v>
      </c>
      <c r="K1113">
        <f t="shared" si="51"/>
        <v>45</v>
      </c>
      <c r="L1113">
        <f t="shared" si="52"/>
        <v>405</v>
      </c>
      <c r="M1113" t="str">
        <f t="shared" si="53"/>
        <v>Aug-2017</v>
      </c>
    </row>
    <row r="1114" spans="1:13" x14ac:dyDescent="0.3">
      <c r="A1114" t="s">
        <v>1658</v>
      </c>
      <c r="B1114" s="1" t="s">
        <v>187</v>
      </c>
      <c r="C1114" s="1" t="s">
        <v>188</v>
      </c>
      <c r="D1114" s="1" t="s">
        <v>13</v>
      </c>
      <c r="E1114" s="5">
        <v>42854</v>
      </c>
      <c r="F1114" s="3" t="s">
        <v>30</v>
      </c>
      <c r="G1114" s="1" t="s">
        <v>683</v>
      </c>
      <c r="H1114" s="1">
        <v>150</v>
      </c>
      <c r="I1114" s="1">
        <v>149</v>
      </c>
      <c r="J1114" s="2">
        <v>6.7000000000000002E-3</v>
      </c>
      <c r="K1114">
        <f t="shared" si="51"/>
        <v>0.99830000000000008</v>
      </c>
      <c r="L1114">
        <f t="shared" si="52"/>
        <v>148.0017</v>
      </c>
      <c r="M1114" t="str">
        <f t="shared" si="53"/>
        <v>Apr-2017</v>
      </c>
    </row>
    <row r="1115" spans="1:13" x14ac:dyDescent="0.3">
      <c r="A1115" t="s">
        <v>1659</v>
      </c>
      <c r="B1115" s="1" t="s">
        <v>49</v>
      </c>
      <c r="C1115" s="1" t="s">
        <v>50</v>
      </c>
      <c r="D1115" s="1" t="s">
        <v>24</v>
      </c>
      <c r="E1115" s="5">
        <v>42535</v>
      </c>
      <c r="F1115" s="3" t="s">
        <v>14</v>
      </c>
      <c r="G1115" s="1" t="s">
        <v>658</v>
      </c>
      <c r="H1115" s="1">
        <v>80</v>
      </c>
      <c r="I1115" s="1">
        <v>53</v>
      </c>
      <c r="J1115" s="2">
        <v>0.33750000000000002</v>
      </c>
      <c r="K1115">
        <f t="shared" si="51"/>
        <v>17.887500000000003</v>
      </c>
      <c r="L1115">
        <f t="shared" si="52"/>
        <v>35.112499999999997</v>
      </c>
      <c r="M1115" t="str">
        <f t="shared" si="53"/>
        <v>Jun-2016</v>
      </c>
    </row>
    <row r="1116" spans="1:13" x14ac:dyDescent="0.3">
      <c r="A1116" t="s">
        <v>1660</v>
      </c>
      <c r="B1116" s="1" t="s">
        <v>11</v>
      </c>
      <c r="C1116" s="1" t="s">
        <v>12</v>
      </c>
      <c r="D1116" s="1" t="s">
        <v>13</v>
      </c>
      <c r="E1116" s="5">
        <v>42079</v>
      </c>
      <c r="F1116" s="3" t="s">
        <v>46</v>
      </c>
      <c r="G1116" s="1" t="s">
        <v>293</v>
      </c>
      <c r="H1116" s="1">
        <v>500</v>
      </c>
      <c r="I1116" s="1">
        <v>480</v>
      </c>
      <c r="J1116" s="2">
        <v>0.04</v>
      </c>
      <c r="K1116">
        <f t="shared" si="51"/>
        <v>19.2</v>
      </c>
      <c r="L1116">
        <f t="shared" si="52"/>
        <v>460.8</v>
      </c>
      <c r="M1116" t="str">
        <f t="shared" si="53"/>
        <v>Mar-2015</v>
      </c>
    </row>
    <row r="1117" spans="1:13" x14ac:dyDescent="0.3">
      <c r="A1117" t="s">
        <v>1661</v>
      </c>
      <c r="B1117" s="1" t="s">
        <v>22</v>
      </c>
      <c r="C1117" s="1" t="s">
        <v>23</v>
      </c>
      <c r="D1117" s="1" t="s">
        <v>24</v>
      </c>
      <c r="E1117" s="5">
        <v>43063</v>
      </c>
      <c r="F1117" s="3" t="s">
        <v>46</v>
      </c>
      <c r="G1117" s="1" t="s">
        <v>624</v>
      </c>
      <c r="H1117" s="1">
        <v>500</v>
      </c>
      <c r="I1117" s="1">
        <v>495</v>
      </c>
      <c r="J1117" s="2">
        <v>0.01</v>
      </c>
      <c r="K1117">
        <f t="shared" si="51"/>
        <v>4.95</v>
      </c>
      <c r="L1117">
        <f t="shared" si="52"/>
        <v>490.05</v>
      </c>
      <c r="M1117" t="str">
        <f t="shared" si="53"/>
        <v>Nov-2017</v>
      </c>
    </row>
    <row r="1118" spans="1:13" x14ac:dyDescent="0.3">
      <c r="A1118" t="s">
        <v>1662</v>
      </c>
      <c r="B1118" s="1" t="s">
        <v>11</v>
      </c>
      <c r="C1118" s="1" t="s">
        <v>12</v>
      </c>
      <c r="D1118" s="1" t="s">
        <v>13</v>
      </c>
      <c r="E1118" s="5">
        <v>42367</v>
      </c>
      <c r="F1118" s="3" t="s">
        <v>122</v>
      </c>
      <c r="G1118" s="1" t="s">
        <v>1159</v>
      </c>
      <c r="H1118" s="1">
        <v>50</v>
      </c>
      <c r="I1118" s="1">
        <v>48</v>
      </c>
      <c r="J1118" s="2">
        <v>0.04</v>
      </c>
      <c r="K1118">
        <f t="shared" si="51"/>
        <v>1.92</v>
      </c>
      <c r="L1118">
        <f t="shared" si="52"/>
        <v>46.08</v>
      </c>
      <c r="M1118" t="str">
        <f t="shared" si="53"/>
        <v>Dec-2015</v>
      </c>
    </row>
    <row r="1119" spans="1:13" x14ac:dyDescent="0.3">
      <c r="A1119" t="s">
        <v>1663</v>
      </c>
      <c r="B1119" s="1" t="s">
        <v>205</v>
      </c>
      <c r="C1119" s="1" t="s">
        <v>206</v>
      </c>
      <c r="D1119" s="1" t="s">
        <v>24</v>
      </c>
      <c r="E1119" s="5">
        <v>42885</v>
      </c>
      <c r="F1119" s="3" t="s">
        <v>36</v>
      </c>
      <c r="G1119" s="1" t="s">
        <v>361</v>
      </c>
      <c r="H1119" s="1">
        <v>50</v>
      </c>
      <c r="I1119" s="1">
        <v>45</v>
      </c>
      <c r="J1119" s="2">
        <v>0.1</v>
      </c>
      <c r="K1119">
        <f t="shared" si="51"/>
        <v>4.5</v>
      </c>
      <c r="L1119">
        <f t="shared" si="52"/>
        <v>40.5</v>
      </c>
      <c r="M1119" t="str">
        <f t="shared" si="53"/>
        <v>May-2017</v>
      </c>
    </row>
    <row r="1120" spans="1:13" x14ac:dyDescent="0.3">
      <c r="A1120" t="s">
        <v>1664</v>
      </c>
      <c r="B1120" s="1" t="s">
        <v>227</v>
      </c>
      <c r="C1120" s="1" t="s">
        <v>228</v>
      </c>
      <c r="D1120" s="1" t="s">
        <v>24</v>
      </c>
      <c r="E1120" s="5">
        <v>43203</v>
      </c>
      <c r="F1120" s="3" t="s">
        <v>14</v>
      </c>
      <c r="G1120" s="1" t="s">
        <v>621</v>
      </c>
      <c r="H1120" s="1">
        <v>80</v>
      </c>
      <c r="I1120" s="1">
        <v>74</v>
      </c>
      <c r="J1120" s="2">
        <v>7.4999999999999997E-2</v>
      </c>
      <c r="K1120">
        <f t="shared" si="51"/>
        <v>5.55</v>
      </c>
      <c r="L1120">
        <f t="shared" si="52"/>
        <v>68.45</v>
      </c>
      <c r="M1120" t="str">
        <f t="shared" si="53"/>
        <v>Apr-2018</v>
      </c>
    </row>
    <row r="1121" spans="1:13" x14ac:dyDescent="0.3">
      <c r="A1121" t="s">
        <v>1665</v>
      </c>
      <c r="B1121" s="1" t="s">
        <v>150</v>
      </c>
      <c r="C1121" s="1" t="s">
        <v>151</v>
      </c>
      <c r="D1121" s="1" t="s">
        <v>13</v>
      </c>
      <c r="E1121" s="5">
        <v>42152</v>
      </c>
      <c r="F1121" s="3" t="s">
        <v>55</v>
      </c>
      <c r="G1121" s="1" t="s">
        <v>152</v>
      </c>
      <c r="H1121" s="1">
        <v>800</v>
      </c>
      <c r="I1121" s="1">
        <v>592</v>
      </c>
      <c r="J1121" s="2">
        <v>0.26</v>
      </c>
      <c r="K1121">
        <f t="shared" si="51"/>
        <v>153.92000000000002</v>
      </c>
      <c r="L1121">
        <f t="shared" si="52"/>
        <v>438.08</v>
      </c>
      <c r="M1121" t="str">
        <f t="shared" si="53"/>
        <v>May-2015</v>
      </c>
    </row>
    <row r="1122" spans="1:13" x14ac:dyDescent="0.3">
      <c r="A1122" t="s">
        <v>1666</v>
      </c>
      <c r="B1122" s="1" t="s">
        <v>111</v>
      </c>
      <c r="C1122" s="1" t="s">
        <v>82</v>
      </c>
      <c r="D1122" s="1" t="s">
        <v>13</v>
      </c>
      <c r="E1122" s="5">
        <v>42027</v>
      </c>
      <c r="F1122" s="3" t="s">
        <v>14</v>
      </c>
      <c r="G1122" s="1" t="s">
        <v>372</v>
      </c>
      <c r="H1122" s="1">
        <v>80</v>
      </c>
      <c r="I1122" s="1">
        <v>74</v>
      </c>
      <c r="J1122" s="2">
        <v>7.4999999999999997E-2</v>
      </c>
      <c r="K1122">
        <f t="shared" si="51"/>
        <v>5.55</v>
      </c>
      <c r="L1122">
        <f t="shared" si="52"/>
        <v>68.45</v>
      </c>
      <c r="M1122" t="str">
        <f t="shared" si="53"/>
        <v>Jan-2015</v>
      </c>
    </row>
    <row r="1123" spans="1:13" x14ac:dyDescent="0.3">
      <c r="A1123" t="s">
        <v>1667</v>
      </c>
      <c r="B1123" s="1" t="s">
        <v>127</v>
      </c>
      <c r="C1123" s="1" t="s">
        <v>128</v>
      </c>
      <c r="D1123" s="1" t="s">
        <v>13</v>
      </c>
      <c r="E1123" s="5">
        <v>41687</v>
      </c>
      <c r="F1123" s="3" t="s">
        <v>41</v>
      </c>
      <c r="G1123" s="1" t="s">
        <v>920</v>
      </c>
      <c r="H1123" s="1">
        <v>30</v>
      </c>
      <c r="I1123" s="1">
        <v>20</v>
      </c>
      <c r="J1123" s="2">
        <v>0.33329999999999999</v>
      </c>
      <c r="K1123">
        <f t="shared" si="51"/>
        <v>6.6659999999999995</v>
      </c>
      <c r="L1123">
        <f t="shared" si="52"/>
        <v>13.334</v>
      </c>
      <c r="M1123" t="str">
        <f t="shared" si="53"/>
        <v>Feb-2014</v>
      </c>
    </row>
    <row r="1124" spans="1:13" x14ac:dyDescent="0.3">
      <c r="A1124" t="s">
        <v>1668</v>
      </c>
      <c r="B1124" s="1" t="s">
        <v>44</v>
      </c>
      <c r="C1124" s="1" t="s">
        <v>45</v>
      </c>
      <c r="D1124" s="1" t="s">
        <v>24</v>
      </c>
      <c r="E1124" s="5">
        <v>43326</v>
      </c>
      <c r="F1124" s="3" t="s">
        <v>30</v>
      </c>
      <c r="G1124" s="1" t="s">
        <v>47</v>
      </c>
      <c r="H1124" s="1">
        <v>150</v>
      </c>
      <c r="I1124" s="1">
        <v>138</v>
      </c>
      <c r="J1124" s="2">
        <v>0.08</v>
      </c>
      <c r="K1124">
        <f t="shared" si="51"/>
        <v>11.040000000000001</v>
      </c>
      <c r="L1124">
        <f t="shared" si="52"/>
        <v>126.96</v>
      </c>
      <c r="M1124" t="str">
        <f t="shared" si="53"/>
        <v>Aug-2018</v>
      </c>
    </row>
    <row r="1125" spans="1:13" x14ac:dyDescent="0.3">
      <c r="A1125" t="s">
        <v>1669</v>
      </c>
      <c r="B1125" s="1" t="s">
        <v>59</v>
      </c>
      <c r="C1125" s="1" t="s">
        <v>60</v>
      </c>
      <c r="D1125" s="1" t="s">
        <v>13</v>
      </c>
      <c r="E1125" s="5">
        <v>42945</v>
      </c>
      <c r="F1125" s="3" t="s">
        <v>41</v>
      </c>
      <c r="G1125" s="1" t="s">
        <v>312</v>
      </c>
      <c r="H1125" s="1">
        <v>30</v>
      </c>
      <c r="I1125" s="1">
        <v>30</v>
      </c>
      <c r="J1125" s="2">
        <v>0</v>
      </c>
      <c r="K1125">
        <f t="shared" si="51"/>
        <v>0</v>
      </c>
      <c r="L1125">
        <f t="shared" si="52"/>
        <v>30</v>
      </c>
      <c r="M1125" t="str">
        <f t="shared" si="53"/>
        <v>Jul-2017</v>
      </c>
    </row>
    <row r="1126" spans="1:13" x14ac:dyDescent="0.3">
      <c r="A1126" t="s">
        <v>1670</v>
      </c>
      <c r="B1126" s="1" t="s">
        <v>170</v>
      </c>
      <c r="C1126" s="1" t="s">
        <v>171</v>
      </c>
      <c r="D1126" s="1" t="s">
        <v>13</v>
      </c>
      <c r="E1126" s="5">
        <v>42518</v>
      </c>
      <c r="F1126" s="3" t="s">
        <v>115</v>
      </c>
      <c r="G1126" s="1" t="s">
        <v>440</v>
      </c>
      <c r="H1126" s="1">
        <v>250</v>
      </c>
      <c r="I1126" s="1">
        <v>225</v>
      </c>
      <c r="J1126" s="2">
        <v>0.1</v>
      </c>
      <c r="K1126">
        <f t="shared" si="51"/>
        <v>22.5</v>
      </c>
      <c r="L1126">
        <f t="shared" si="52"/>
        <v>202.5</v>
      </c>
      <c r="M1126" t="str">
        <f t="shared" si="53"/>
        <v>May-2016</v>
      </c>
    </row>
    <row r="1127" spans="1:13" x14ac:dyDescent="0.3">
      <c r="A1127" t="s">
        <v>1671</v>
      </c>
      <c r="B1127" s="1" t="s">
        <v>11</v>
      </c>
      <c r="C1127" s="1" t="s">
        <v>12</v>
      </c>
      <c r="D1127" s="1" t="s">
        <v>13</v>
      </c>
      <c r="E1127" s="5">
        <v>43343</v>
      </c>
      <c r="F1127" s="3" t="s">
        <v>30</v>
      </c>
      <c r="G1127" s="1" t="s">
        <v>348</v>
      </c>
      <c r="H1127" s="1">
        <v>150</v>
      </c>
      <c r="I1127" s="1">
        <v>143</v>
      </c>
      <c r="J1127" s="2">
        <v>4.6699999999999998E-2</v>
      </c>
      <c r="K1127">
        <f t="shared" si="51"/>
        <v>6.6780999999999997</v>
      </c>
      <c r="L1127">
        <f t="shared" si="52"/>
        <v>136.3219</v>
      </c>
      <c r="M1127" t="str">
        <f t="shared" si="53"/>
        <v>Aug-2018</v>
      </c>
    </row>
    <row r="1128" spans="1:13" x14ac:dyDescent="0.3">
      <c r="A1128" t="s">
        <v>1672</v>
      </c>
      <c r="B1128" s="1" t="s">
        <v>187</v>
      </c>
      <c r="C1128" s="1" t="s">
        <v>188</v>
      </c>
      <c r="D1128" s="1" t="s">
        <v>13</v>
      </c>
      <c r="E1128" s="5">
        <v>43399</v>
      </c>
      <c r="F1128" s="3" t="s">
        <v>25</v>
      </c>
      <c r="G1128" s="1" t="s">
        <v>791</v>
      </c>
      <c r="H1128" s="1">
        <v>700</v>
      </c>
      <c r="I1128" s="1">
        <v>679</v>
      </c>
      <c r="J1128" s="2">
        <v>0.03</v>
      </c>
      <c r="K1128">
        <f t="shared" si="51"/>
        <v>20.37</v>
      </c>
      <c r="L1128">
        <f t="shared" si="52"/>
        <v>658.63</v>
      </c>
      <c r="M1128" t="str">
        <f t="shared" si="53"/>
        <v>Oct-2018</v>
      </c>
    </row>
    <row r="1129" spans="1:13" x14ac:dyDescent="0.3">
      <c r="A1129" t="s">
        <v>1673</v>
      </c>
      <c r="B1129" s="1" t="s">
        <v>400</v>
      </c>
      <c r="C1129" s="1" t="s">
        <v>401</v>
      </c>
      <c r="D1129" s="1" t="s">
        <v>13</v>
      </c>
      <c r="E1129" s="5">
        <v>41867</v>
      </c>
      <c r="F1129" s="3" t="s">
        <v>72</v>
      </c>
      <c r="G1129" s="1" t="s">
        <v>1167</v>
      </c>
      <c r="H1129" s="1">
        <v>500</v>
      </c>
      <c r="I1129" s="1">
        <v>495</v>
      </c>
      <c r="J1129" s="2">
        <v>0.01</v>
      </c>
      <c r="K1129">
        <f t="shared" si="51"/>
        <v>4.95</v>
      </c>
      <c r="L1129">
        <f t="shared" si="52"/>
        <v>490.05</v>
      </c>
      <c r="M1129" t="str">
        <f t="shared" si="53"/>
        <v>Aug-2014</v>
      </c>
    </row>
    <row r="1130" spans="1:13" x14ac:dyDescent="0.3">
      <c r="A1130" t="s">
        <v>1674</v>
      </c>
      <c r="B1130" s="1" t="s">
        <v>131</v>
      </c>
      <c r="C1130" s="1" t="s">
        <v>108</v>
      </c>
      <c r="D1130" s="1" t="s">
        <v>19</v>
      </c>
      <c r="E1130" s="5">
        <v>42426</v>
      </c>
      <c r="F1130" s="3" t="s">
        <v>46</v>
      </c>
      <c r="G1130" s="1" t="s">
        <v>536</v>
      </c>
      <c r="H1130" s="1">
        <v>500</v>
      </c>
      <c r="I1130" s="1">
        <v>400</v>
      </c>
      <c r="J1130" s="2">
        <v>0.2</v>
      </c>
      <c r="K1130">
        <f t="shared" si="51"/>
        <v>80</v>
      </c>
      <c r="L1130">
        <f t="shared" si="52"/>
        <v>320</v>
      </c>
      <c r="M1130" t="str">
        <f t="shared" si="53"/>
        <v>Feb-2016</v>
      </c>
    </row>
    <row r="1131" spans="1:13" x14ac:dyDescent="0.3">
      <c r="A1131" t="s">
        <v>1675</v>
      </c>
      <c r="B1131" s="1" t="s">
        <v>107</v>
      </c>
      <c r="C1131" s="1" t="s">
        <v>108</v>
      </c>
      <c r="D1131" s="1" t="s">
        <v>19</v>
      </c>
      <c r="E1131" s="5">
        <v>43366</v>
      </c>
      <c r="F1131" s="3" t="s">
        <v>36</v>
      </c>
      <c r="G1131" s="1" t="s">
        <v>894</v>
      </c>
      <c r="H1131" s="1">
        <v>50</v>
      </c>
      <c r="I1131" s="1">
        <v>48</v>
      </c>
      <c r="J1131" s="2">
        <v>0.04</v>
      </c>
      <c r="K1131">
        <f t="shared" si="51"/>
        <v>1.92</v>
      </c>
      <c r="L1131">
        <f t="shared" si="52"/>
        <v>46.08</v>
      </c>
      <c r="M1131" t="str">
        <f t="shared" si="53"/>
        <v>Sep-2018</v>
      </c>
    </row>
    <row r="1132" spans="1:13" x14ac:dyDescent="0.3">
      <c r="A1132" t="s">
        <v>1676</v>
      </c>
      <c r="B1132" s="1" t="s">
        <v>81</v>
      </c>
      <c r="C1132" s="1" t="s">
        <v>82</v>
      </c>
      <c r="D1132" s="1" t="s">
        <v>13</v>
      </c>
      <c r="E1132" s="5">
        <v>42202</v>
      </c>
      <c r="F1132" s="3" t="s">
        <v>41</v>
      </c>
      <c r="G1132" s="1" t="s">
        <v>953</v>
      </c>
      <c r="H1132" s="1">
        <v>30</v>
      </c>
      <c r="I1132" s="1">
        <v>19</v>
      </c>
      <c r="J1132" s="2">
        <v>0.36670000000000003</v>
      </c>
      <c r="K1132">
        <f t="shared" si="51"/>
        <v>6.9673000000000007</v>
      </c>
      <c r="L1132">
        <f t="shared" si="52"/>
        <v>12.032699999999998</v>
      </c>
      <c r="M1132" t="str">
        <f t="shared" si="53"/>
        <v>Jul-2015</v>
      </c>
    </row>
    <row r="1133" spans="1:13" x14ac:dyDescent="0.3">
      <c r="A1133" t="s">
        <v>1677</v>
      </c>
      <c r="B1133" s="1" t="s">
        <v>127</v>
      </c>
      <c r="C1133" s="1" t="s">
        <v>128</v>
      </c>
      <c r="D1133" s="1" t="s">
        <v>13</v>
      </c>
      <c r="E1133" s="5">
        <v>41817</v>
      </c>
      <c r="F1133" s="3" t="s">
        <v>41</v>
      </c>
      <c r="G1133" s="1" t="s">
        <v>233</v>
      </c>
      <c r="H1133" s="1">
        <v>30</v>
      </c>
      <c r="I1133" s="1">
        <v>22</v>
      </c>
      <c r="J1133" s="2">
        <v>0.26669999999999999</v>
      </c>
      <c r="K1133">
        <f t="shared" si="51"/>
        <v>5.8673999999999999</v>
      </c>
      <c r="L1133">
        <f t="shared" si="52"/>
        <v>16.1326</v>
      </c>
      <c r="M1133" t="str">
        <f t="shared" si="53"/>
        <v>Jun-2014</v>
      </c>
    </row>
    <row r="1134" spans="1:13" x14ac:dyDescent="0.3">
      <c r="A1134" t="s">
        <v>1678</v>
      </c>
      <c r="B1134" s="1" t="s">
        <v>28</v>
      </c>
      <c r="C1134" s="1" t="s">
        <v>29</v>
      </c>
      <c r="D1134" s="1" t="s">
        <v>13</v>
      </c>
      <c r="E1134" s="5">
        <v>41690</v>
      </c>
      <c r="F1134" s="3" t="s">
        <v>72</v>
      </c>
      <c r="G1134" s="1" t="s">
        <v>424</v>
      </c>
      <c r="H1134" s="1">
        <v>500</v>
      </c>
      <c r="I1134" s="1">
        <v>500</v>
      </c>
      <c r="J1134" s="2">
        <v>0</v>
      </c>
      <c r="K1134">
        <f t="shared" si="51"/>
        <v>0</v>
      </c>
      <c r="L1134">
        <f t="shared" si="52"/>
        <v>500</v>
      </c>
      <c r="M1134" t="str">
        <f t="shared" si="53"/>
        <v>Feb-2014</v>
      </c>
    </row>
    <row r="1135" spans="1:13" x14ac:dyDescent="0.3">
      <c r="A1135" t="s">
        <v>1679</v>
      </c>
      <c r="B1135" s="1" t="s">
        <v>131</v>
      </c>
      <c r="C1135" s="1" t="s">
        <v>108</v>
      </c>
      <c r="D1135" s="1" t="s">
        <v>19</v>
      </c>
      <c r="E1135" s="5">
        <v>42847</v>
      </c>
      <c r="F1135" s="3" t="s">
        <v>36</v>
      </c>
      <c r="G1135" s="1" t="s">
        <v>1550</v>
      </c>
      <c r="H1135" s="1">
        <v>50</v>
      </c>
      <c r="I1135" s="1">
        <v>50</v>
      </c>
      <c r="J1135" s="2">
        <v>0</v>
      </c>
      <c r="K1135">
        <f t="shared" si="51"/>
        <v>0</v>
      </c>
      <c r="L1135">
        <f t="shared" si="52"/>
        <v>50</v>
      </c>
      <c r="M1135" t="str">
        <f t="shared" si="53"/>
        <v>Apr-2017</v>
      </c>
    </row>
    <row r="1136" spans="1:13" x14ac:dyDescent="0.3">
      <c r="A1136" t="s">
        <v>1680</v>
      </c>
      <c r="B1136" s="1" t="s">
        <v>118</v>
      </c>
      <c r="C1136" s="1" t="s">
        <v>119</v>
      </c>
      <c r="D1136" s="1" t="s">
        <v>35</v>
      </c>
      <c r="E1136" s="5">
        <v>42389</v>
      </c>
      <c r="F1136" s="3" t="s">
        <v>122</v>
      </c>
      <c r="G1136" s="1" t="s">
        <v>1681</v>
      </c>
      <c r="H1136" s="1">
        <v>50</v>
      </c>
      <c r="I1136" s="1">
        <v>50</v>
      </c>
      <c r="J1136" s="2">
        <v>0</v>
      </c>
      <c r="K1136">
        <f t="shared" si="51"/>
        <v>0</v>
      </c>
      <c r="L1136">
        <f t="shared" si="52"/>
        <v>50</v>
      </c>
      <c r="M1136" t="str">
        <f t="shared" si="53"/>
        <v>Jan-2016</v>
      </c>
    </row>
    <row r="1137" spans="1:13" x14ac:dyDescent="0.3">
      <c r="A1137" t="s">
        <v>1682</v>
      </c>
      <c r="B1137" s="1" t="s">
        <v>154</v>
      </c>
      <c r="C1137" s="1" t="s">
        <v>108</v>
      </c>
      <c r="D1137" s="1" t="s">
        <v>19</v>
      </c>
      <c r="E1137" s="5">
        <v>42078</v>
      </c>
      <c r="F1137" s="3" t="s">
        <v>61</v>
      </c>
      <c r="G1137" s="1" t="s">
        <v>1411</v>
      </c>
      <c r="H1137" s="1">
        <v>1000</v>
      </c>
      <c r="I1137" s="1">
        <v>710</v>
      </c>
      <c r="J1137" s="2">
        <v>0.28999999999999998</v>
      </c>
      <c r="K1137">
        <f t="shared" si="51"/>
        <v>205.89999999999998</v>
      </c>
      <c r="L1137">
        <f t="shared" si="52"/>
        <v>504.1</v>
      </c>
      <c r="M1137" t="str">
        <f t="shared" si="53"/>
        <v>Mar-2015</v>
      </c>
    </row>
    <row r="1138" spans="1:13" x14ac:dyDescent="0.3">
      <c r="A1138" t="s">
        <v>1683</v>
      </c>
      <c r="B1138" s="1" t="s">
        <v>127</v>
      </c>
      <c r="C1138" s="1" t="s">
        <v>128</v>
      </c>
      <c r="D1138" s="1" t="s">
        <v>13</v>
      </c>
      <c r="E1138" s="5">
        <v>42120</v>
      </c>
      <c r="F1138" s="3" t="s">
        <v>14</v>
      </c>
      <c r="G1138" s="1" t="s">
        <v>385</v>
      </c>
      <c r="H1138" s="1">
        <v>80</v>
      </c>
      <c r="I1138" s="1">
        <v>74</v>
      </c>
      <c r="J1138" s="2">
        <v>7.4999999999999997E-2</v>
      </c>
      <c r="K1138">
        <f t="shared" si="51"/>
        <v>5.55</v>
      </c>
      <c r="L1138">
        <f t="shared" si="52"/>
        <v>68.45</v>
      </c>
      <c r="M1138" t="str">
        <f t="shared" si="53"/>
        <v>Apr-2015</v>
      </c>
    </row>
    <row r="1139" spans="1:13" x14ac:dyDescent="0.3">
      <c r="A1139" t="s">
        <v>1684</v>
      </c>
      <c r="B1139" s="1" t="s">
        <v>81</v>
      </c>
      <c r="C1139" s="1" t="s">
        <v>82</v>
      </c>
      <c r="D1139" s="1" t="s">
        <v>13</v>
      </c>
      <c r="E1139" s="5">
        <v>42725</v>
      </c>
      <c r="F1139" s="3" t="s">
        <v>122</v>
      </c>
      <c r="G1139" s="1" t="s">
        <v>1493</v>
      </c>
      <c r="H1139" s="1">
        <v>50</v>
      </c>
      <c r="I1139" s="1">
        <v>50</v>
      </c>
      <c r="J1139" s="2">
        <v>0</v>
      </c>
      <c r="K1139">
        <f t="shared" si="51"/>
        <v>0</v>
      </c>
      <c r="L1139">
        <f t="shared" si="52"/>
        <v>50</v>
      </c>
      <c r="M1139" t="str">
        <f t="shared" si="53"/>
        <v>Dec-2016</v>
      </c>
    </row>
    <row r="1140" spans="1:13" x14ac:dyDescent="0.3">
      <c r="A1140" t="s">
        <v>1685</v>
      </c>
      <c r="B1140" s="1" t="s">
        <v>154</v>
      </c>
      <c r="C1140" s="1" t="s">
        <v>108</v>
      </c>
      <c r="D1140" s="1" t="s">
        <v>19</v>
      </c>
      <c r="E1140" s="5">
        <v>42911</v>
      </c>
      <c r="F1140" s="3" t="s">
        <v>115</v>
      </c>
      <c r="G1140" s="1" t="s">
        <v>1185</v>
      </c>
      <c r="H1140" s="1">
        <v>250</v>
      </c>
      <c r="I1140" s="1">
        <v>208</v>
      </c>
      <c r="J1140" s="2">
        <v>0.16800000000000001</v>
      </c>
      <c r="K1140">
        <f t="shared" si="51"/>
        <v>34.944000000000003</v>
      </c>
      <c r="L1140">
        <f t="shared" si="52"/>
        <v>173.05599999999998</v>
      </c>
      <c r="M1140" t="str">
        <f t="shared" si="53"/>
        <v>Jun-2017</v>
      </c>
    </row>
    <row r="1141" spans="1:13" x14ac:dyDescent="0.3">
      <c r="A1141" t="s">
        <v>1686</v>
      </c>
      <c r="B1141" s="1" t="s">
        <v>91</v>
      </c>
      <c r="C1141" s="1" t="s">
        <v>92</v>
      </c>
      <c r="D1141" s="1" t="s">
        <v>35</v>
      </c>
      <c r="E1141" s="5">
        <v>43129</v>
      </c>
      <c r="F1141" s="3" t="s">
        <v>122</v>
      </c>
      <c r="G1141" s="1" t="s">
        <v>199</v>
      </c>
      <c r="H1141" s="1">
        <v>50</v>
      </c>
      <c r="I1141" s="1">
        <v>46</v>
      </c>
      <c r="J1141" s="2">
        <v>0.08</v>
      </c>
      <c r="K1141">
        <f t="shared" si="51"/>
        <v>3.68</v>
      </c>
      <c r="L1141">
        <f t="shared" si="52"/>
        <v>42.32</v>
      </c>
      <c r="M1141" t="str">
        <f t="shared" si="53"/>
        <v>Jan-2018</v>
      </c>
    </row>
    <row r="1142" spans="1:13" x14ac:dyDescent="0.3">
      <c r="A1142" t="s">
        <v>1687</v>
      </c>
      <c r="B1142" s="1" t="s">
        <v>111</v>
      </c>
      <c r="C1142" s="1" t="s">
        <v>82</v>
      </c>
      <c r="D1142" s="1" t="s">
        <v>13</v>
      </c>
      <c r="E1142" s="5">
        <v>43465</v>
      </c>
      <c r="F1142" s="3" t="s">
        <v>55</v>
      </c>
      <c r="G1142" s="1" t="s">
        <v>1688</v>
      </c>
      <c r="H1142" s="1">
        <v>800</v>
      </c>
      <c r="I1142" s="1">
        <v>744</v>
      </c>
      <c r="J1142" s="2">
        <v>7.0000000000000007E-2</v>
      </c>
      <c r="K1142">
        <f t="shared" si="51"/>
        <v>52.080000000000005</v>
      </c>
      <c r="L1142">
        <f t="shared" si="52"/>
        <v>691.92</v>
      </c>
      <c r="M1142" t="str">
        <f t="shared" si="53"/>
        <v>Dec-2018</v>
      </c>
    </row>
    <row r="1143" spans="1:13" x14ac:dyDescent="0.3">
      <c r="A1143" t="s">
        <v>1689</v>
      </c>
      <c r="B1143" s="1" t="s">
        <v>64</v>
      </c>
      <c r="C1143" s="1" t="s">
        <v>65</v>
      </c>
      <c r="D1143" s="1" t="s">
        <v>35</v>
      </c>
      <c r="E1143" s="5">
        <v>43025</v>
      </c>
      <c r="F1143" s="3" t="s">
        <v>14</v>
      </c>
      <c r="G1143" s="1" t="s">
        <v>1536</v>
      </c>
      <c r="H1143" s="1">
        <v>80</v>
      </c>
      <c r="I1143" s="1">
        <v>76</v>
      </c>
      <c r="J1143" s="2">
        <v>0.05</v>
      </c>
      <c r="K1143">
        <f t="shared" si="51"/>
        <v>3.8000000000000003</v>
      </c>
      <c r="L1143">
        <f t="shared" si="52"/>
        <v>72.2</v>
      </c>
      <c r="M1143" t="str">
        <f t="shared" si="53"/>
        <v>Oct-2017</v>
      </c>
    </row>
    <row r="1144" spans="1:13" x14ac:dyDescent="0.3">
      <c r="A1144" t="s">
        <v>1690</v>
      </c>
      <c r="B1144" s="1" t="s">
        <v>118</v>
      </c>
      <c r="C1144" s="1" t="s">
        <v>119</v>
      </c>
      <c r="D1144" s="1" t="s">
        <v>35</v>
      </c>
      <c r="E1144" s="5">
        <v>42510</v>
      </c>
      <c r="F1144" s="3" t="s">
        <v>30</v>
      </c>
      <c r="G1144" s="1" t="s">
        <v>540</v>
      </c>
      <c r="H1144" s="1">
        <v>150</v>
      </c>
      <c r="I1144" s="1">
        <v>146</v>
      </c>
      <c r="J1144" s="2">
        <v>2.6700000000000002E-2</v>
      </c>
      <c r="K1144">
        <f t="shared" si="51"/>
        <v>3.8982000000000001</v>
      </c>
      <c r="L1144">
        <f t="shared" si="52"/>
        <v>142.1018</v>
      </c>
      <c r="M1144" t="str">
        <f t="shared" si="53"/>
        <v>May-2016</v>
      </c>
    </row>
    <row r="1145" spans="1:13" x14ac:dyDescent="0.3">
      <c r="A1145" t="s">
        <v>1691</v>
      </c>
      <c r="B1145" s="1" t="s">
        <v>221</v>
      </c>
      <c r="C1145" s="1" t="s">
        <v>40</v>
      </c>
      <c r="D1145" s="1" t="s">
        <v>35</v>
      </c>
      <c r="E1145" s="5">
        <v>43329</v>
      </c>
      <c r="F1145" s="3" t="s">
        <v>46</v>
      </c>
      <c r="G1145" s="1" t="s">
        <v>1179</v>
      </c>
      <c r="H1145" s="1">
        <v>500</v>
      </c>
      <c r="I1145" s="1">
        <v>475</v>
      </c>
      <c r="J1145" s="2">
        <v>0.05</v>
      </c>
      <c r="K1145">
        <f t="shared" si="51"/>
        <v>23.75</v>
      </c>
      <c r="L1145">
        <f t="shared" si="52"/>
        <v>451.25</v>
      </c>
      <c r="M1145" t="str">
        <f t="shared" si="53"/>
        <v>Aug-2018</v>
      </c>
    </row>
    <row r="1146" spans="1:13" x14ac:dyDescent="0.3">
      <c r="A1146" t="s">
        <v>1692</v>
      </c>
      <c r="B1146" s="1" t="s">
        <v>241</v>
      </c>
      <c r="C1146" s="1" t="s">
        <v>242</v>
      </c>
      <c r="D1146" s="1" t="s">
        <v>13</v>
      </c>
      <c r="E1146" s="5">
        <v>43342</v>
      </c>
      <c r="F1146" s="3" t="s">
        <v>14</v>
      </c>
      <c r="G1146" s="1" t="s">
        <v>380</v>
      </c>
      <c r="H1146" s="1">
        <v>80</v>
      </c>
      <c r="I1146" s="1">
        <v>68</v>
      </c>
      <c r="J1146" s="2">
        <v>0.15</v>
      </c>
      <c r="K1146">
        <f t="shared" si="51"/>
        <v>10.199999999999999</v>
      </c>
      <c r="L1146">
        <f t="shared" si="52"/>
        <v>57.8</v>
      </c>
      <c r="M1146" t="str">
        <f t="shared" si="53"/>
        <v>Aug-2018</v>
      </c>
    </row>
    <row r="1147" spans="1:13" x14ac:dyDescent="0.3">
      <c r="A1147" t="s">
        <v>1693</v>
      </c>
      <c r="B1147" s="1" t="s">
        <v>324</v>
      </c>
      <c r="C1147" s="1" t="s">
        <v>325</v>
      </c>
      <c r="D1147" s="1" t="s">
        <v>13</v>
      </c>
      <c r="E1147" s="5">
        <v>41869</v>
      </c>
      <c r="F1147" s="3" t="s">
        <v>72</v>
      </c>
      <c r="G1147" s="1" t="s">
        <v>1468</v>
      </c>
      <c r="H1147" s="1">
        <v>500</v>
      </c>
      <c r="I1147" s="1">
        <v>500</v>
      </c>
      <c r="J1147" s="2">
        <v>0</v>
      </c>
      <c r="K1147">
        <f t="shared" si="51"/>
        <v>0</v>
      </c>
      <c r="L1147">
        <f t="shared" si="52"/>
        <v>500</v>
      </c>
      <c r="M1147" t="str">
        <f t="shared" si="53"/>
        <v>Aug-2014</v>
      </c>
    </row>
    <row r="1148" spans="1:13" x14ac:dyDescent="0.3">
      <c r="A1148" t="s">
        <v>1694</v>
      </c>
      <c r="B1148" s="1" t="s">
        <v>255</v>
      </c>
      <c r="C1148" s="1" t="s">
        <v>256</v>
      </c>
      <c r="D1148" s="1" t="s">
        <v>13</v>
      </c>
      <c r="E1148" s="5">
        <v>42204</v>
      </c>
      <c r="F1148" s="3" t="s">
        <v>115</v>
      </c>
      <c r="G1148" s="1" t="s">
        <v>1373</v>
      </c>
      <c r="H1148" s="1">
        <v>250</v>
      </c>
      <c r="I1148" s="1">
        <v>243</v>
      </c>
      <c r="J1148" s="2">
        <v>2.8000000000000001E-2</v>
      </c>
      <c r="K1148">
        <f t="shared" si="51"/>
        <v>6.8040000000000003</v>
      </c>
      <c r="L1148">
        <f t="shared" si="52"/>
        <v>236.196</v>
      </c>
      <c r="M1148" t="str">
        <f t="shared" si="53"/>
        <v>Jul-2015</v>
      </c>
    </row>
    <row r="1149" spans="1:13" x14ac:dyDescent="0.3">
      <c r="A1149" t="s">
        <v>1695</v>
      </c>
      <c r="B1149" s="1" t="s">
        <v>22</v>
      </c>
      <c r="C1149" s="1" t="s">
        <v>23</v>
      </c>
      <c r="D1149" s="1" t="s">
        <v>24</v>
      </c>
      <c r="E1149" s="5">
        <v>42366</v>
      </c>
      <c r="F1149" s="3" t="s">
        <v>61</v>
      </c>
      <c r="G1149" s="1" t="s">
        <v>144</v>
      </c>
      <c r="H1149" s="1">
        <v>1000</v>
      </c>
      <c r="I1149" s="1">
        <v>500</v>
      </c>
      <c r="J1149" s="2">
        <v>0.5</v>
      </c>
      <c r="K1149">
        <f t="shared" si="51"/>
        <v>250</v>
      </c>
      <c r="L1149">
        <f t="shared" si="52"/>
        <v>250</v>
      </c>
      <c r="M1149" t="str">
        <f t="shared" si="53"/>
        <v>Dec-2015</v>
      </c>
    </row>
    <row r="1150" spans="1:13" x14ac:dyDescent="0.3">
      <c r="A1150" t="s">
        <v>1696</v>
      </c>
      <c r="B1150" s="1" t="s">
        <v>224</v>
      </c>
      <c r="C1150" s="1" t="s">
        <v>50</v>
      </c>
      <c r="D1150" s="1" t="s">
        <v>24</v>
      </c>
      <c r="E1150" s="5">
        <v>42668</v>
      </c>
      <c r="F1150" s="3" t="s">
        <v>61</v>
      </c>
      <c r="G1150" s="1" t="s">
        <v>734</v>
      </c>
      <c r="H1150" s="1">
        <v>1000</v>
      </c>
      <c r="I1150" s="1">
        <v>700</v>
      </c>
      <c r="J1150" s="2">
        <v>0.3</v>
      </c>
      <c r="K1150">
        <f t="shared" si="51"/>
        <v>210</v>
      </c>
      <c r="L1150">
        <f t="shared" si="52"/>
        <v>490</v>
      </c>
      <c r="M1150" t="str">
        <f t="shared" si="53"/>
        <v>Oct-2016</v>
      </c>
    </row>
    <row r="1151" spans="1:13" x14ac:dyDescent="0.3">
      <c r="A1151" t="s">
        <v>1697</v>
      </c>
      <c r="B1151" s="1" t="s">
        <v>400</v>
      </c>
      <c r="C1151" s="1" t="s">
        <v>401</v>
      </c>
      <c r="D1151" s="1" t="s">
        <v>13</v>
      </c>
      <c r="E1151" s="5">
        <v>42385</v>
      </c>
      <c r="F1151" s="3" t="s">
        <v>14</v>
      </c>
      <c r="G1151" s="1" t="s">
        <v>402</v>
      </c>
      <c r="H1151" s="1">
        <v>80</v>
      </c>
      <c r="I1151" s="1">
        <v>58</v>
      </c>
      <c r="J1151" s="2">
        <v>0.27500000000000002</v>
      </c>
      <c r="K1151">
        <f t="shared" si="51"/>
        <v>15.950000000000001</v>
      </c>
      <c r="L1151">
        <f t="shared" si="52"/>
        <v>42.05</v>
      </c>
      <c r="M1151" t="str">
        <f t="shared" si="53"/>
        <v>Jan-2016</v>
      </c>
    </row>
    <row r="1152" spans="1:13" x14ac:dyDescent="0.3">
      <c r="A1152" t="s">
        <v>1698</v>
      </c>
      <c r="B1152" s="1" t="s">
        <v>174</v>
      </c>
      <c r="C1152" s="1" t="s">
        <v>175</v>
      </c>
      <c r="D1152" s="1" t="s">
        <v>13</v>
      </c>
      <c r="E1152" s="5">
        <v>42269</v>
      </c>
      <c r="F1152" s="3" t="s">
        <v>55</v>
      </c>
      <c r="G1152" s="1" t="s">
        <v>607</v>
      </c>
      <c r="H1152" s="1">
        <v>800</v>
      </c>
      <c r="I1152" s="1">
        <v>664</v>
      </c>
      <c r="J1152" s="2">
        <v>0.17</v>
      </c>
      <c r="K1152">
        <f t="shared" si="51"/>
        <v>112.88000000000001</v>
      </c>
      <c r="L1152">
        <f t="shared" si="52"/>
        <v>551.12</v>
      </c>
      <c r="M1152" t="str">
        <f t="shared" si="53"/>
        <v>Sep-2015</v>
      </c>
    </row>
    <row r="1153" spans="1:13" x14ac:dyDescent="0.3">
      <c r="A1153" t="s">
        <v>1699</v>
      </c>
      <c r="B1153" s="1" t="s">
        <v>53</v>
      </c>
      <c r="C1153" s="1" t="s">
        <v>54</v>
      </c>
      <c r="D1153" s="1" t="s">
        <v>13</v>
      </c>
      <c r="E1153" s="5">
        <v>43265</v>
      </c>
      <c r="F1153" s="3" t="s">
        <v>104</v>
      </c>
      <c r="G1153" s="1" t="s">
        <v>795</v>
      </c>
      <c r="H1153" s="1">
        <v>70</v>
      </c>
      <c r="I1153" s="1">
        <v>69</v>
      </c>
      <c r="J1153" s="2">
        <v>1.43E-2</v>
      </c>
      <c r="K1153">
        <f t="shared" si="51"/>
        <v>0.98670000000000002</v>
      </c>
      <c r="L1153">
        <f t="shared" si="52"/>
        <v>68.013300000000001</v>
      </c>
      <c r="M1153" t="str">
        <f t="shared" si="53"/>
        <v>Jun-2018</v>
      </c>
    </row>
    <row r="1154" spans="1:13" x14ac:dyDescent="0.3">
      <c r="A1154" t="s">
        <v>1700</v>
      </c>
      <c r="B1154" s="1" t="s">
        <v>49</v>
      </c>
      <c r="C1154" s="1" t="s">
        <v>50</v>
      </c>
      <c r="D1154" s="1" t="s">
        <v>24</v>
      </c>
      <c r="E1154" s="5">
        <v>42538</v>
      </c>
      <c r="F1154" s="3" t="s">
        <v>122</v>
      </c>
      <c r="G1154" s="1" t="s">
        <v>378</v>
      </c>
      <c r="H1154" s="1">
        <v>50</v>
      </c>
      <c r="I1154" s="1">
        <v>50</v>
      </c>
      <c r="J1154" s="2">
        <v>0</v>
      </c>
      <c r="K1154">
        <f t="shared" si="51"/>
        <v>0</v>
      </c>
      <c r="L1154">
        <f t="shared" si="52"/>
        <v>50</v>
      </c>
      <c r="M1154" t="str">
        <f t="shared" si="53"/>
        <v>Jun-2016</v>
      </c>
    </row>
    <row r="1155" spans="1:13" x14ac:dyDescent="0.3">
      <c r="A1155" t="s">
        <v>1701</v>
      </c>
      <c r="B1155" s="1" t="s">
        <v>270</v>
      </c>
      <c r="C1155" s="1" t="s">
        <v>271</v>
      </c>
      <c r="D1155" s="1" t="s">
        <v>35</v>
      </c>
      <c r="E1155" s="5">
        <v>42359</v>
      </c>
      <c r="F1155" s="3" t="s">
        <v>14</v>
      </c>
      <c r="G1155" s="1" t="s">
        <v>337</v>
      </c>
      <c r="H1155" s="1">
        <v>80</v>
      </c>
      <c r="I1155" s="1">
        <v>75</v>
      </c>
      <c r="J1155" s="2">
        <v>6.25E-2</v>
      </c>
      <c r="K1155">
        <f t="shared" si="51"/>
        <v>4.6875</v>
      </c>
      <c r="L1155">
        <f t="shared" si="52"/>
        <v>70.3125</v>
      </c>
      <c r="M1155" t="str">
        <f t="shared" si="53"/>
        <v>Dec-2015</v>
      </c>
    </row>
    <row r="1156" spans="1:13" x14ac:dyDescent="0.3">
      <c r="A1156" t="s">
        <v>1702</v>
      </c>
      <c r="B1156" s="1" t="s">
        <v>11</v>
      </c>
      <c r="C1156" s="1" t="s">
        <v>12</v>
      </c>
      <c r="D1156" s="1" t="s">
        <v>13</v>
      </c>
      <c r="E1156" s="5">
        <v>42549</v>
      </c>
      <c r="F1156" s="3" t="s">
        <v>14</v>
      </c>
      <c r="G1156" s="1" t="s">
        <v>1159</v>
      </c>
      <c r="H1156" s="1">
        <v>80</v>
      </c>
      <c r="I1156" s="1">
        <v>76</v>
      </c>
      <c r="J1156" s="2">
        <v>0.05</v>
      </c>
      <c r="K1156">
        <f t="shared" ref="K1156:K1219" si="54">I1156*J1156</f>
        <v>3.8000000000000003</v>
      </c>
      <c r="L1156">
        <f t="shared" ref="L1156:L1219" si="55">I1156-K1156</f>
        <v>72.2</v>
      </c>
      <c r="M1156" t="str">
        <f t="shared" ref="M1156:M1219" si="56">TEXT(E1156, "mmm-yyyy")</f>
        <v>Jun-2016</v>
      </c>
    </row>
    <row r="1157" spans="1:13" x14ac:dyDescent="0.3">
      <c r="A1157" t="s">
        <v>1703</v>
      </c>
      <c r="B1157" s="1" t="s">
        <v>103</v>
      </c>
      <c r="C1157" s="1" t="s">
        <v>71</v>
      </c>
      <c r="D1157" s="1" t="s">
        <v>35</v>
      </c>
      <c r="E1157" s="5">
        <v>42853</v>
      </c>
      <c r="F1157" s="3" t="s">
        <v>115</v>
      </c>
      <c r="G1157" s="1" t="s">
        <v>727</v>
      </c>
      <c r="H1157" s="1">
        <v>250</v>
      </c>
      <c r="I1157" s="1">
        <v>190</v>
      </c>
      <c r="J1157" s="2">
        <v>0.24</v>
      </c>
      <c r="K1157">
        <f t="shared" si="54"/>
        <v>45.6</v>
      </c>
      <c r="L1157">
        <f t="shared" si="55"/>
        <v>144.4</v>
      </c>
      <c r="M1157" t="str">
        <f t="shared" si="56"/>
        <v>Apr-2017</v>
      </c>
    </row>
    <row r="1158" spans="1:13" x14ac:dyDescent="0.3">
      <c r="A1158" t="s">
        <v>1704</v>
      </c>
      <c r="B1158" s="1" t="s">
        <v>241</v>
      </c>
      <c r="C1158" s="1" t="s">
        <v>242</v>
      </c>
      <c r="D1158" s="1" t="s">
        <v>13</v>
      </c>
      <c r="E1158" s="5">
        <v>41670</v>
      </c>
      <c r="F1158" s="3" t="s">
        <v>61</v>
      </c>
      <c r="G1158" s="1" t="s">
        <v>1152</v>
      </c>
      <c r="H1158" s="1">
        <v>1000</v>
      </c>
      <c r="I1158" s="1">
        <v>650</v>
      </c>
      <c r="J1158" s="2">
        <v>0.35</v>
      </c>
      <c r="K1158">
        <f t="shared" si="54"/>
        <v>227.49999999999997</v>
      </c>
      <c r="L1158">
        <f t="shared" si="55"/>
        <v>422.5</v>
      </c>
      <c r="M1158" t="str">
        <f t="shared" si="56"/>
        <v>Jan-2014</v>
      </c>
    </row>
    <row r="1159" spans="1:13" x14ac:dyDescent="0.3">
      <c r="A1159" t="s">
        <v>1705</v>
      </c>
      <c r="B1159" s="1" t="s">
        <v>221</v>
      </c>
      <c r="C1159" s="1" t="s">
        <v>40</v>
      </c>
      <c r="D1159" s="1" t="s">
        <v>35</v>
      </c>
      <c r="E1159" s="5">
        <v>42180</v>
      </c>
      <c r="F1159" s="3" t="s">
        <v>14</v>
      </c>
      <c r="G1159" s="1" t="s">
        <v>222</v>
      </c>
      <c r="H1159" s="1">
        <v>80</v>
      </c>
      <c r="I1159" s="1">
        <v>58</v>
      </c>
      <c r="J1159" s="2">
        <v>0.27500000000000002</v>
      </c>
      <c r="K1159">
        <f t="shared" si="54"/>
        <v>15.950000000000001</v>
      </c>
      <c r="L1159">
        <f t="shared" si="55"/>
        <v>42.05</v>
      </c>
      <c r="M1159" t="str">
        <f t="shared" si="56"/>
        <v>Jun-2015</v>
      </c>
    </row>
    <row r="1160" spans="1:13" x14ac:dyDescent="0.3">
      <c r="A1160" t="s">
        <v>1706</v>
      </c>
      <c r="B1160" s="1" t="s">
        <v>39</v>
      </c>
      <c r="C1160" s="1" t="s">
        <v>40</v>
      </c>
      <c r="D1160" s="1" t="s">
        <v>35</v>
      </c>
      <c r="E1160" s="5">
        <v>41868</v>
      </c>
      <c r="F1160" s="3" t="s">
        <v>115</v>
      </c>
      <c r="G1160" s="1" t="s">
        <v>1707</v>
      </c>
      <c r="H1160" s="1">
        <v>250</v>
      </c>
      <c r="I1160" s="1">
        <v>235</v>
      </c>
      <c r="J1160" s="2">
        <v>0.06</v>
      </c>
      <c r="K1160">
        <f t="shared" si="54"/>
        <v>14.1</v>
      </c>
      <c r="L1160">
        <f t="shared" si="55"/>
        <v>220.9</v>
      </c>
      <c r="M1160" t="str">
        <f t="shared" si="56"/>
        <v>Aug-2014</v>
      </c>
    </row>
    <row r="1161" spans="1:13" x14ac:dyDescent="0.3">
      <c r="A1161" t="s">
        <v>1708</v>
      </c>
      <c r="B1161" s="1" t="s">
        <v>187</v>
      </c>
      <c r="C1161" s="1" t="s">
        <v>188</v>
      </c>
      <c r="D1161" s="1" t="s">
        <v>13</v>
      </c>
      <c r="E1161" s="5">
        <v>42139</v>
      </c>
      <c r="F1161" s="3" t="s">
        <v>46</v>
      </c>
      <c r="G1161" s="1" t="s">
        <v>237</v>
      </c>
      <c r="H1161" s="1">
        <v>500</v>
      </c>
      <c r="I1161" s="1">
        <v>440</v>
      </c>
      <c r="J1161" s="2">
        <v>0.12</v>
      </c>
      <c r="K1161">
        <f t="shared" si="54"/>
        <v>52.8</v>
      </c>
      <c r="L1161">
        <f t="shared" si="55"/>
        <v>387.2</v>
      </c>
      <c r="M1161" t="str">
        <f t="shared" si="56"/>
        <v>May-2015</v>
      </c>
    </row>
    <row r="1162" spans="1:13" x14ac:dyDescent="0.3">
      <c r="A1162" t="s">
        <v>1709</v>
      </c>
      <c r="B1162" s="1" t="s">
        <v>127</v>
      </c>
      <c r="C1162" s="1" t="s">
        <v>128</v>
      </c>
      <c r="D1162" s="1" t="s">
        <v>13</v>
      </c>
      <c r="E1162" s="5">
        <v>42873</v>
      </c>
      <c r="F1162" s="3" t="s">
        <v>122</v>
      </c>
      <c r="G1162" s="1" t="s">
        <v>129</v>
      </c>
      <c r="H1162" s="1">
        <v>50</v>
      </c>
      <c r="I1162" s="1">
        <v>46</v>
      </c>
      <c r="J1162" s="2">
        <v>0.08</v>
      </c>
      <c r="K1162">
        <f t="shared" si="54"/>
        <v>3.68</v>
      </c>
      <c r="L1162">
        <f t="shared" si="55"/>
        <v>42.32</v>
      </c>
      <c r="M1162" t="str">
        <f t="shared" si="56"/>
        <v>May-2017</v>
      </c>
    </row>
    <row r="1163" spans="1:13" x14ac:dyDescent="0.3">
      <c r="A1163" t="s">
        <v>1710</v>
      </c>
      <c r="B1163" s="1" t="s">
        <v>182</v>
      </c>
      <c r="C1163" s="1" t="s">
        <v>108</v>
      </c>
      <c r="D1163" s="1" t="s">
        <v>19</v>
      </c>
      <c r="E1163" s="5">
        <v>43150</v>
      </c>
      <c r="F1163" s="3" t="s">
        <v>104</v>
      </c>
      <c r="G1163" s="1" t="s">
        <v>673</v>
      </c>
      <c r="H1163" s="1">
        <v>70</v>
      </c>
      <c r="I1163" s="1">
        <v>63</v>
      </c>
      <c r="J1163" s="2">
        <v>0.1</v>
      </c>
      <c r="K1163">
        <f t="shared" si="54"/>
        <v>6.3000000000000007</v>
      </c>
      <c r="L1163">
        <f t="shared" si="55"/>
        <v>56.7</v>
      </c>
      <c r="M1163" t="str">
        <f t="shared" si="56"/>
        <v>Feb-2018</v>
      </c>
    </row>
    <row r="1164" spans="1:13" x14ac:dyDescent="0.3">
      <c r="A1164" t="s">
        <v>1711</v>
      </c>
      <c r="B1164" s="1" t="s">
        <v>227</v>
      </c>
      <c r="C1164" s="1" t="s">
        <v>228</v>
      </c>
      <c r="D1164" s="1" t="s">
        <v>24</v>
      </c>
      <c r="E1164" s="5">
        <v>42760</v>
      </c>
      <c r="F1164" s="3" t="s">
        <v>30</v>
      </c>
      <c r="G1164" s="1" t="s">
        <v>438</v>
      </c>
      <c r="H1164" s="1">
        <v>150</v>
      </c>
      <c r="I1164" s="1">
        <v>128</v>
      </c>
      <c r="J1164" s="2">
        <v>0.1467</v>
      </c>
      <c r="K1164">
        <f t="shared" si="54"/>
        <v>18.7776</v>
      </c>
      <c r="L1164">
        <f t="shared" si="55"/>
        <v>109.22239999999999</v>
      </c>
      <c r="M1164" t="str">
        <f t="shared" si="56"/>
        <v>Jan-2017</v>
      </c>
    </row>
    <row r="1165" spans="1:13" x14ac:dyDescent="0.3">
      <c r="A1165" t="s">
        <v>1712</v>
      </c>
      <c r="B1165" s="1" t="s">
        <v>64</v>
      </c>
      <c r="C1165" s="1" t="s">
        <v>65</v>
      </c>
      <c r="D1165" s="1" t="s">
        <v>35</v>
      </c>
      <c r="E1165" s="5">
        <v>42362</v>
      </c>
      <c r="F1165" s="3" t="s">
        <v>30</v>
      </c>
      <c r="G1165" s="1" t="s">
        <v>529</v>
      </c>
      <c r="H1165" s="1">
        <v>150</v>
      </c>
      <c r="I1165" s="1">
        <v>150</v>
      </c>
      <c r="J1165" s="2">
        <v>0</v>
      </c>
      <c r="K1165">
        <f t="shared" si="54"/>
        <v>0</v>
      </c>
      <c r="L1165">
        <f t="shared" si="55"/>
        <v>150</v>
      </c>
      <c r="M1165" t="str">
        <f t="shared" si="56"/>
        <v>Dec-2015</v>
      </c>
    </row>
    <row r="1166" spans="1:13" x14ac:dyDescent="0.3">
      <c r="A1166" t="s">
        <v>1713</v>
      </c>
      <c r="B1166" s="1" t="s">
        <v>11</v>
      </c>
      <c r="C1166" s="1" t="s">
        <v>12</v>
      </c>
      <c r="D1166" s="1" t="s">
        <v>13</v>
      </c>
      <c r="E1166" s="5">
        <v>42630</v>
      </c>
      <c r="F1166" s="3" t="s">
        <v>46</v>
      </c>
      <c r="G1166" s="1" t="s">
        <v>348</v>
      </c>
      <c r="H1166" s="1">
        <v>500</v>
      </c>
      <c r="I1166" s="1">
        <v>485</v>
      </c>
      <c r="J1166" s="2">
        <v>0.03</v>
      </c>
      <c r="K1166">
        <f t="shared" si="54"/>
        <v>14.549999999999999</v>
      </c>
      <c r="L1166">
        <f t="shared" si="55"/>
        <v>470.45</v>
      </c>
      <c r="M1166" t="str">
        <f t="shared" si="56"/>
        <v>Sep-2016</v>
      </c>
    </row>
    <row r="1167" spans="1:13" x14ac:dyDescent="0.3">
      <c r="A1167" t="s">
        <v>1714</v>
      </c>
      <c r="B1167" s="1" t="s">
        <v>85</v>
      </c>
      <c r="C1167" s="1" t="s">
        <v>86</v>
      </c>
      <c r="D1167" s="1" t="s">
        <v>13</v>
      </c>
      <c r="E1167" s="5">
        <v>42267</v>
      </c>
      <c r="F1167" s="3" t="s">
        <v>115</v>
      </c>
      <c r="G1167" s="1" t="s">
        <v>340</v>
      </c>
      <c r="H1167" s="1">
        <v>250</v>
      </c>
      <c r="I1167" s="1">
        <v>230</v>
      </c>
      <c r="J1167" s="2">
        <v>0.08</v>
      </c>
      <c r="K1167">
        <f t="shared" si="54"/>
        <v>18.400000000000002</v>
      </c>
      <c r="L1167">
        <f t="shared" si="55"/>
        <v>211.6</v>
      </c>
      <c r="M1167" t="str">
        <f t="shared" si="56"/>
        <v>Sep-2015</v>
      </c>
    </row>
    <row r="1168" spans="1:13" x14ac:dyDescent="0.3">
      <c r="A1168" t="s">
        <v>1715</v>
      </c>
      <c r="B1168" s="1" t="s">
        <v>114</v>
      </c>
      <c r="C1168" s="1" t="s">
        <v>54</v>
      </c>
      <c r="D1168" s="1" t="s">
        <v>13</v>
      </c>
      <c r="E1168" s="5">
        <v>42202</v>
      </c>
      <c r="F1168" s="3" t="s">
        <v>104</v>
      </c>
      <c r="G1168" s="1" t="s">
        <v>367</v>
      </c>
      <c r="H1168" s="1">
        <v>70</v>
      </c>
      <c r="I1168" s="1">
        <v>62</v>
      </c>
      <c r="J1168" s="2">
        <v>0.1143</v>
      </c>
      <c r="K1168">
        <f t="shared" si="54"/>
        <v>7.0865999999999998</v>
      </c>
      <c r="L1168">
        <f t="shared" si="55"/>
        <v>54.913400000000003</v>
      </c>
      <c r="M1168" t="str">
        <f t="shared" si="56"/>
        <v>Jul-2015</v>
      </c>
    </row>
    <row r="1169" spans="1:13" x14ac:dyDescent="0.3">
      <c r="A1169" t="s">
        <v>1716</v>
      </c>
      <c r="B1169" s="1" t="s">
        <v>64</v>
      </c>
      <c r="C1169" s="1" t="s">
        <v>65</v>
      </c>
      <c r="D1169" s="1" t="s">
        <v>35</v>
      </c>
      <c r="E1169" s="5">
        <v>43296</v>
      </c>
      <c r="F1169" s="3" t="s">
        <v>25</v>
      </c>
      <c r="G1169" s="1" t="s">
        <v>1717</v>
      </c>
      <c r="H1169" s="1">
        <v>700</v>
      </c>
      <c r="I1169" s="1">
        <v>665</v>
      </c>
      <c r="J1169" s="2">
        <v>0.05</v>
      </c>
      <c r="K1169">
        <f t="shared" si="54"/>
        <v>33.25</v>
      </c>
      <c r="L1169">
        <f t="shared" si="55"/>
        <v>631.75</v>
      </c>
      <c r="M1169" t="str">
        <f t="shared" si="56"/>
        <v>Jul-2018</v>
      </c>
    </row>
    <row r="1170" spans="1:13" x14ac:dyDescent="0.3">
      <c r="A1170" t="s">
        <v>1718</v>
      </c>
      <c r="B1170" s="1" t="s">
        <v>131</v>
      </c>
      <c r="C1170" s="1" t="s">
        <v>108</v>
      </c>
      <c r="D1170" s="1" t="s">
        <v>19</v>
      </c>
      <c r="E1170" s="5">
        <v>43121</v>
      </c>
      <c r="F1170" s="3" t="s">
        <v>36</v>
      </c>
      <c r="G1170" s="1" t="s">
        <v>382</v>
      </c>
      <c r="H1170" s="1">
        <v>50</v>
      </c>
      <c r="I1170" s="1">
        <v>50</v>
      </c>
      <c r="J1170" s="2">
        <v>0</v>
      </c>
      <c r="K1170">
        <f t="shared" si="54"/>
        <v>0</v>
      </c>
      <c r="L1170">
        <f t="shared" si="55"/>
        <v>50</v>
      </c>
      <c r="M1170" t="str">
        <f t="shared" si="56"/>
        <v>Jan-2018</v>
      </c>
    </row>
    <row r="1171" spans="1:13" x14ac:dyDescent="0.3">
      <c r="A1171" t="s">
        <v>1719</v>
      </c>
      <c r="B1171" s="1" t="s">
        <v>187</v>
      </c>
      <c r="C1171" s="1" t="s">
        <v>188</v>
      </c>
      <c r="D1171" s="1" t="s">
        <v>13</v>
      </c>
      <c r="E1171" s="5">
        <v>43052</v>
      </c>
      <c r="F1171" s="3" t="s">
        <v>14</v>
      </c>
      <c r="G1171" s="1" t="s">
        <v>791</v>
      </c>
      <c r="H1171" s="1">
        <v>80</v>
      </c>
      <c r="I1171" s="1">
        <v>56</v>
      </c>
      <c r="J1171" s="2">
        <v>0.3</v>
      </c>
      <c r="K1171">
        <f t="shared" si="54"/>
        <v>16.8</v>
      </c>
      <c r="L1171">
        <f t="shared" si="55"/>
        <v>39.200000000000003</v>
      </c>
      <c r="M1171" t="str">
        <f t="shared" si="56"/>
        <v>Nov-2017</v>
      </c>
    </row>
    <row r="1172" spans="1:13" x14ac:dyDescent="0.3">
      <c r="A1172" t="s">
        <v>1720</v>
      </c>
      <c r="B1172" s="1" t="s">
        <v>95</v>
      </c>
      <c r="C1172" s="1" t="s">
        <v>96</v>
      </c>
      <c r="D1172" s="1" t="s">
        <v>13</v>
      </c>
      <c r="E1172" s="5">
        <v>43245</v>
      </c>
      <c r="F1172" s="3" t="s">
        <v>104</v>
      </c>
      <c r="G1172" s="1" t="s">
        <v>460</v>
      </c>
      <c r="H1172" s="1">
        <v>70</v>
      </c>
      <c r="I1172" s="1">
        <v>65</v>
      </c>
      <c r="J1172" s="2">
        <v>7.1400000000000005E-2</v>
      </c>
      <c r="K1172">
        <f t="shared" si="54"/>
        <v>4.641</v>
      </c>
      <c r="L1172">
        <f t="shared" si="55"/>
        <v>60.359000000000002</v>
      </c>
      <c r="M1172" t="str">
        <f t="shared" si="56"/>
        <v>May-2018</v>
      </c>
    </row>
    <row r="1173" spans="1:13" x14ac:dyDescent="0.3">
      <c r="A1173" t="s">
        <v>1721</v>
      </c>
      <c r="B1173" s="1" t="s">
        <v>434</v>
      </c>
      <c r="C1173" s="1" t="s">
        <v>435</v>
      </c>
      <c r="D1173" s="1" t="s">
        <v>24</v>
      </c>
      <c r="E1173" s="5">
        <v>41837</v>
      </c>
      <c r="F1173" s="3" t="s">
        <v>36</v>
      </c>
      <c r="G1173" s="1" t="s">
        <v>764</v>
      </c>
      <c r="H1173" s="1">
        <v>50</v>
      </c>
      <c r="I1173" s="1">
        <v>43</v>
      </c>
      <c r="J1173" s="2">
        <v>0.14000000000000001</v>
      </c>
      <c r="K1173">
        <f t="shared" si="54"/>
        <v>6.0200000000000005</v>
      </c>
      <c r="L1173">
        <f t="shared" si="55"/>
        <v>36.979999999999997</v>
      </c>
      <c r="M1173" t="str">
        <f t="shared" si="56"/>
        <v>Jul-2014</v>
      </c>
    </row>
    <row r="1174" spans="1:13" x14ac:dyDescent="0.3">
      <c r="A1174" t="s">
        <v>1722</v>
      </c>
      <c r="B1174" s="1" t="s">
        <v>70</v>
      </c>
      <c r="C1174" s="1" t="s">
        <v>71</v>
      </c>
      <c r="D1174" s="1" t="s">
        <v>35</v>
      </c>
      <c r="E1174" s="5">
        <v>42308</v>
      </c>
      <c r="F1174" s="3" t="s">
        <v>30</v>
      </c>
      <c r="G1174" s="1" t="s">
        <v>1723</v>
      </c>
      <c r="H1174" s="1">
        <v>150</v>
      </c>
      <c r="I1174" s="1">
        <v>126</v>
      </c>
      <c r="J1174" s="2">
        <v>0.16</v>
      </c>
      <c r="K1174">
        <f t="shared" si="54"/>
        <v>20.16</v>
      </c>
      <c r="L1174">
        <f t="shared" si="55"/>
        <v>105.84</v>
      </c>
      <c r="M1174" t="str">
        <f t="shared" si="56"/>
        <v>Oct-2015</v>
      </c>
    </row>
    <row r="1175" spans="1:13" x14ac:dyDescent="0.3">
      <c r="A1175" t="s">
        <v>1724</v>
      </c>
      <c r="B1175" s="1" t="s">
        <v>221</v>
      </c>
      <c r="C1175" s="1" t="s">
        <v>40</v>
      </c>
      <c r="D1175" s="1" t="s">
        <v>35</v>
      </c>
      <c r="E1175" s="5">
        <v>42787</v>
      </c>
      <c r="F1175" s="3" t="s">
        <v>46</v>
      </c>
      <c r="G1175" s="1" t="s">
        <v>1322</v>
      </c>
      <c r="H1175" s="1">
        <v>500</v>
      </c>
      <c r="I1175" s="1">
        <v>360</v>
      </c>
      <c r="J1175" s="2">
        <v>0.28000000000000003</v>
      </c>
      <c r="K1175">
        <f t="shared" si="54"/>
        <v>100.80000000000001</v>
      </c>
      <c r="L1175">
        <f t="shared" si="55"/>
        <v>259.2</v>
      </c>
      <c r="M1175" t="str">
        <f t="shared" si="56"/>
        <v>Feb-2017</v>
      </c>
    </row>
    <row r="1176" spans="1:13" x14ac:dyDescent="0.3">
      <c r="A1176" t="s">
        <v>1725</v>
      </c>
      <c r="B1176" s="1" t="s">
        <v>227</v>
      </c>
      <c r="C1176" s="1" t="s">
        <v>228</v>
      </c>
      <c r="D1176" s="1" t="s">
        <v>24</v>
      </c>
      <c r="E1176" s="5">
        <v>42902</v>
      </c>
      <c r="F1176" s="3" t="s">
        <v>14</v>
      </c>
      <c r="G1176" s="1" t="s">
        <v>621</v>
      </c>
      <c r="H1176" s="1">
        <v>80</v>
      </c>
      <c r="I1176" s="1">
        <v>71</v>
      </c>
      <c r="J1176" s="2">
        <v>0.1125</v>
      </c>
      <c r="K1176">
        <f t="shared" si="54"/>
        <v>7.9874999999999998</v>
      </c>
      <c r="L1176">
        <f t="shared" si="55"/>
        <v>63.012500000000003</v>
      </c>
      <c r="M1176" t="str">
        <f t="shared" si="56"/>
        <v>Jun-2017</v>
      </c>
    </row>
    <row r="1177" spans="1:13" x14ac:dyDescent="0.3">
      <c r="A1177" t="s">
        <v>1726</v>
      </c>
      <c r="B1177" s="1" t="s">
        <v>131</v>
      </c>
      <c r="C1177" s="1" t="s">
        <v>108</v>
      </c>
      <c r="D1177" s="1" t="s">
        <v>19</v>
      </c>
      <c r="E1177" s="5">
        <v>42321</v>
      </c>
      <c r="F1177" s="3" t="s">
        <v>41</v>
      </c>
      <c r="G1177" s="1" t="s">
        <v>132</v>
      </c>
      <c r="H1177" s="1">
        <v>30</v>
      </c>
      <c r="I1177" s="1">
        <v>29</v>
      </c>
      <c r="J1177" s="2">
        <v>3.3300000000000003E-2</v>
      </c>
      <c r="K1177">
        <f t="shared" si="54"/>
        <v>0.96570000000000011</v>
      </c>
      <c r="L1177">
        <f t="shared" si="55"/>
        <v>28.034299999999998</v>
      </c>
      <c r="M1177" t="str">
        <f t="shared" si="56"/>
        <v>Nov-2015</v>
      </c>
    </row>
    <row r="1178" spans="1:13" x14ac:dyDescent="0.3">
      <c r="A1178" t="s">
        <v>1727</v>
      </c>
      <c r="B1178" s="1" t="s">
        <v>170</v>
      </c>
      <c r="C1178" s="1" t="s">
        <v>171</v>
      </c>
      <c r="D1178" s="1" t="s">
        <v>13</v>
      </c>
      <c r="E1178" s="5">
        <v>42383</v>
      </c>
      <c r="F1178" s="3" t="s">
        <v>115</v>
      </c>
      <c r="G1178" s="1" t="s">
        <v>518</v>
      </c>
      <c r="H1178" s="1">
        <v>250</v>
      </c>
      <c r="I1178" s="1">
        <v>248</v>
      </c>
      <c r="J1178" s="2">
        <v>8.0000000000000002E-3</v>
      </c>
      <c r="K1178">
        <f t="shared" si="54"/>
        <v>1.984</v>
      </c>
      <c r="L1178">
        <f t="shared" si="55"/>
        <v>246.01599999999999</v>
      </c>
      <c r="M1178" t="str">
        <f t="shared" si="56"/>
        <v>Jan-2016</v>
      </c>
    </row>
    <row r="1179" spans="1:13" x14ac:dyDescent="0.3">
      <c r="A1179" t="s">
        <v>1728</v>
      </c>
      <c r="B1179" s="1" t="s">
        <v>134</v>
      </c>
      <c r="C1179" s="1" t="s">
        <v>92</v>
      </c>
      <c r="D1179" s="1" t="s">
        <v>35</v>
      </c>
      <c r="E1179" s="5">
        <v>41987</v>
      </c>
      <c r="F1179" s="3" t="s">
        <v>41</v>
      </c>
      <c r="G1179" s="1" t="s">
        <v>1062</v>
      </c>
      <c r="H1179" s="1">
        <v>30</v>
      </c>
      <c r="I1179" s="1">
        <v>27</v>
      </c>
      <c r="J1179" s="2">
        <v>0.1</v>
      </c>
      <c r="K1179">
        <f t="shared" si="54"/>
        <v>2.7</v>
      </c>
      <c r="L1179">
        <f t="shared" si="55"/>
        <v>24.3</v>
      </c>
      <c r="M1179" t="str">
        <f t="shared" si="56"/>
        <v>Dec-2014</v>
      </c>
    </row>
    <row r="1180" spans="1:13" x14ac:dyDescent="0.3">
      <c r="A1180" t="s">
        <v>1729</v>
      </c>
      <c r="B1180" s="1" t="s">
        <v>146</v>
      </c>
      <c r="C1180" s="1" t="s">
        <v>147</v>
      </c>
      <c r="D1180" s="1" t="s">
        <v>13</v>
      </c>
      <c r="E1180" s="5">
        <v>42414</v>
      </c>
      <c r="F1180" s="3" t="s">
        <v>104</v>
      </c>
      <c r="G1180" s="1" t="s">
        <v>1318</v>
      </c>
      <c r="H1180" s="1">
        <v>70</v>
      </c>
      <c r="I1180" s="1">
        <v>66</v>
      </c>
      <c r="J1180" s="2">
        <v>5.7099999999999998E-2</v>
      </c>
      <c r="K1180">
        <f t="shared" si="54"/>
        <v>3.7685999999999997</v>
      </c>
      <c r="L1180">
        <f t="shared" si="55"/>
        <v>62.231400000000001</v>
      </c>
      <c r="M1180" t="str">
        <f t="shared" si="56"/>
        <v>Feb-2016</v>
      </c>
    </row>
    <row r="1181" spans="1:13" x14ac:dyDescent="0.3">
      <c r="A1181" t="s">
        <v>1730</v>
      </c>
      <c r="B1181" s="1" t="s">
        <v>17</v>
      </c>
      <c r="C1181" s="1" t="s">
        <v>18</v>
      </c>
      <c r="D1181" s="1" t="s">
        <v>19</v>
      </c>
      <c r="E1181" s="5">
        <v>43297</v>
      </c>
      <c r="F1181" s="3" t="s">
        <v>36</v>
      </c>
      <c r="G1181" s="1" t="s">
        <v>20</v>
      </c>
      <c r="H1181" s="1">
        <v>50</v>
      </c>
      <c r="I1181" s="1">
        <v>50</v>
      </c>
      <c r="J1181" s="2">
        <v>0</v>
      </c>
      <c r="K1181">
        <f t="shared" si="54"/>
        <v>0</v>
      </c>
      <c r="L1181">
        <f t="shared" si="55"/>
        <v>50</v>
      </c>
      <c r="M1181" t="str">
        <f t="shared" si="56"/>
        <v>Jul-2018</v>
      </c>
    </row>
    <row r="1182" spans="1:13" x14ac:dyDescent="0.3">
      <c r="A1182" t="s">
        <v>1731</v>
      </c>
      <c r="B1182" s="1" t="s">
        <v>150</v>
      </c>
      <c r="C1182" s="1" t="s">
        <v>151</v>
      </c>
      <c r="D1182" s="1" t="s">
        <v>13</v>
      </c>
      <c r="E1182" s="5">
        <v>41901</v>
      </c>
      <c r="F1182" s="3" t="s">
        <v>61</v>
      </c>
      <c r="G1182" s="1" t="s">
        <v>824</v>
      </c>
      <c r="H1182" s="1">
        <v>1000</v>
      </c>
      <c r="I1182" s="1">
        <v>690</v>
      </c>
      <c r="J1182" s="2">
        <v>0.31</v>
      </c>
      <c r="K1182">
        <f t="shared" si="54"/>
        <v>213.9</v>
      </c>
      <c r="L1182">
        <f t="shared" si="55"/>
        <v>476.1</v>
      </c>
      <c r="M1182" t="str">
        <f t="shared" si="56"/>
        <v>Sep-2014</v>
      </c>
    </row>
    <row r="1183" spans="1:13" x14ac:dyDescent="0.3">
      <c r="A1183" t="s">
        <v>1732</v>
      </c>
      <c r="B1183" s="1" t="s">
        <v>131</v>
      </c>
      <c r="C1183" s="1" t="s">
        <v>108</v>
      </c>
      <c r="D1183" s="1" t="s">
        <v>19</v>
      </c>
      <c r="E1183" s="5">
        <v>43067</v>
      </c>
      <c r="F1183" s="3" t="s">
        <v>30</v>
      </c>
      <c r="G1183" s="1" t="s">
        <v>536</v>
      </c>
      <c r="H1183" s="1">
        <v>150</v>
      </c>
      <c r="I1183" s="1">
        <v>150</v>
      </c>
      <c r="J1183" s="2">
        <v>0</v>
      </c>
      <c r="K1183">
        <f t="shared" si="54"/>
        <v>0</v>
      </c>
      <c r="L1183">
        <f t="shared" si="55"/>
        <v>150</v>
      </c>
      <c r="M1183" t="str">
        <f t="shared" si="56"/>
        <v>Nov-2017</v>
      </c>
    </row>
    <row r="1184" spans="1:13" x14ac:dyDescent="0.3">
      <c r="A1184" t="s">
        <v>1733</v>
      </c>
      <c r="B1184" s="1" t="s">
        <v>103</v>
      </c>
      <c r="C1184" s="1" t="s">
        <v>71</v>
      </c>
      <c r="D1184" s="1" t="s">
        <v>35</v>
      </c>
      <c r="E1184" s="5">
        <v>42545</v>
      </c>
      <c r="F1184" s="3" t="s">
        <v>25</v>
      </c>
      <c r="G1184" s="1" t="s">
        <v>247</v>
      </c>
      <c r="H1184" s="1">
        <v>700</v>
      </c>
      <c r="I1184" s="1">
        <v>560</v>
      </c>
      <c r="J1184" s="2">
        <v>0.2</v>
      </c>
      <c r="K1184">
        <f t="shared" si="54"/>
        <v>112</v>
      </c>
      <c r="L1184">
        <f t="shared" si="55"/>
        <v>448</v>
      </c>
      <c r="M1184" t="str">
        <f t="shared" si="56"/>
        <v>Jun-2016</v>
      </c>
    </row>
    <row r="1185" spans="1:13" x14ac:dyDescent="0.3">
      <c r="A1185" t="s">
        <v>1734</v>
      </c>
      <c r="B1185" s="1" t="s">
        <v>224</v>
      </c>
      <c r="C1185" s="1" t="s">
        <v>50</v>
      </c>
      <c r="D1185" s="1" t="s">
        <v>24</v>
      </c>
      <c r="E1185" s="5">
        <v>43453</v>
      </c>
      <c r="F1185" s="3" t="s">
        <v>72</v>
      </c>
      <c r="G1185" s="1" t="s">
        <v>413</v>
      </c>
      <c r="H1185" s="1">
        <v>500</v>
      </c>
      <c r="I1185" s="1">
        <v>495</v>
      </c>
      <c r="J1185" s="2">
        <v>0.01</v>
      </c>
      <c r="K1185">
        <f t="shared" si="54"/>
        <v>4.95</v>
      </c>
      <c r="L1185">
        <f t="shared" si="55"/>
        <v>490.05</v>
      </c>
      <c r="M1185" t="str">
        <f t="shared" si="56"/>
        <v>Dec-2018</v>
      </c>
    </row>
    <row r="1186" spans="1:13" x14ac:dyDescent="0.3">
      <c r="A1186" t="s">
        <v>1735</v>
      </c>
      <c r="B1186" s="1" t="s">
        <v>289</v>
      </c>
      <c r="C1186" s="1" t="s">
        <v>108</v>
      </c>
      <c r="D1186" s="1" t="s">
        <v>19</v>
      </c>
      <c r="E1186" s="5">
        <v>42305</v>
      </c>
      <c r="F1186" s="3" t="s">
        <v>41</v>
      </c>
      <c r="G1186" s="1" t="s">
        <v>1129</v>
      </c>
      <c r="H1186" s="1">
        <v>30</v>
      </c>
      <c r="I1186" s="1">
        <v>30</v>
      </c>
      <c r="J1186" s="2">
        <v>0</v>
      </c>
      <c r="K1186">
        <f t="shared" si="54"/>
        <v>0</v>
      </c>
      <c r="L1186">
        <f t="shared" si="55"/>
        <v>30</v>
      </c>
      <c r="M1186" t="str">
        <f t="shared" si="56"/>
        <v>Oct-2015</v>
      </c>
    </row>
    <row r="1187" spans="1:13" x14ac:dyDescent="0.3">
      <c r="A1187" t="s">
        <v>1736</v>
      </c>
      <c r="B1187" s="1" t="s">
        <v>33</v>
      </c>
      <c r="C1187" s="1" t="s">
        <v>34</v>
      </c>
      <c r="D1187" s="1" t="s">
        <v>35</v>
      </c>
      <c r="E1187" s="5">
        <v>41961</v>
      </c>
      <c r="F1187" s="3" t="s">
        <v>30</v>
      </c>
      <c r="G1187" s="1" t="s">
        <v>451</v>
      </c>
      <c r="H1187" s="1">
        <v>150</v>
      </c>
      <c r="I1187" s="1">
        <v>132</v>
      </c>
      <c r="J1187" s="2">
        <v>0.12</v>
      </c>
      <c r="K1187">
        <f t="shared" si="54"/>
        <v>15.84</v>
      </c>
      <c r="L1187">
        <f t="shared" si="55"/>
        <v>116.16</v>
      </c>
      <c r="M1187" t="str">
        <f t="shared" si="56"/>
        <v>Nov-2014</v>
      </c>
    </row>
    <row r="1188" spans="1:13" x14ac:dyDescent="0.3">
      <c r="A1188" t="s">
        <v>1737</v>
      </c>
      <c r="B1188" s="1" t="s">
        <v>44</v>
      </c>
      <c r="C1188" s="1" t="s">
        <v>45</v>
      </c>
      <c r="D1188" s="1" t="s">
        <v>24</v>
      </c>
      <c r="E1188" s="5">
        <v>41900</v>
      </c>
      <c r="F1188" s="3" t="s">
        <v>46</v>
      </c>
      <c r="G1188" s="1" t="s">
        <v>201</v>
      </c>
      <c r="H1188" s="1">
        <v>500</v>
      </c>
      <c r="I1188" s="1">
        <v>425</v>
      </c>
      <c r="J1188" s="2">
        <v>0.15</v>
      </c>
      <c r="K1188">
        <f t="shared" si="54"/>
        <v>63.75</v>
      </c>
      <c r="L1188">
        <f t="shared" si="55"/>
        <v>361.25</v>
      </c>
      <c r="M1188" t="str">
        <f t="shared" si="56"/>
        <v>Sep-2014</v>
      </c>
    </row>
    <row r="1189" spans="1:13" x14ac:dyDescent="0.3">
      <c r="A1189" t="s">
        <v>1738</v>
      </c>
      <c r="B1189" s="1" t="s">
        <v>400</v>
      </c>
      <c r="C1189" s="1" t="s">
        <v>401</v>
      </c>
      <c r="D1189" s="1" t="s">
        <v>13</v>
      </c>
      <c r="E1189" s="5">
        <v>42243</v>
      </c>
      <c r="F1189" s="3" t="s">
        <v>61</v>
      </c>
      <c r="G1189" s="1" t="s">
        <v>1739</v>
      </c>
      <c r="H1189" s="1">
        <v>1000</v>
      </c>
      <c r="I1189" s="1">
        <v>790</v>
      </c>
      <c r="J1189" s="2">
        <v>0.21</v>
      </c>
      <c r="K1189">
        <f t="shared" si="54"/>
        <v>165.9</v>
      </c>
      <c r="L1189">
        <f t="shared" si="55"/>
        <v>624.1</v>
      </c>
      <c r="M1189" t="str">
        <f t="shared" si="56"/>
        <v>Aug-2015</v>
      </c>
    </row>
    <row r="1190" spans="1:13" x14ac:dyDescent="0.3">
      <c r="A1190" t="s">
        <v>1740</v>
      </c>
      <c r="B1190" s="1" t="s">
        <v>28</v>
      </c>
      <c r="C1190" s="1" t="s">
        <v>29</v>
      </c>
      <c r="D1190" s="1" t="s">
        <v>13</v>
      </c>
      <c r="E1190" s="5">
        <v>42658</v>
      </c>
      <c r="F1190" s="3" t="s">
        <v>61</v>
      </c>
      <c r="G1190" s="1" t="s">
        <v>424</v>
      </c>
      <c r="H1190" s="1">
        <v>1000</v>
      </c>
      <c r="I1190" s="1">
        <v>980</v>
      </c>
      <c r="J1190" s="2">
        <v>0.02</v>
      </c>
      <c r="K1190">
        <f t="shared" si="54"/>
        <v>19.600000000000001</v>
      </c>
      <c r="L1190">
        <f t="shared" si="55"/>
        <v>960.4</v>
      </c>
      <c r="M1190" t="str">
        <f t="shared" si="56"/>
        <v>Oct-2016</v>
      </c>
    </row>
    <row r="1191" spans="1:13" x14ac:dyDescent="0.3">
      <c r="A1191" t="s">
        <v>1741</v>
      </c>
      <c r="B1191" s="1" t="s">
        <v>81</v>
      </c>
      <c r="C1191" s="1" t="s">
        <v>82</v>
      </c>
      <c r="D1191" s="1" t="s">
        <v>13</v>
      </c>
      <c r="E1191" s="5">
        <v>42146</v>
      </c>
      <c r="F1191" s="3" t="s">
        <v>46</v>
      </c>
      <c r="G1191" s="1" t="s">
        <v>861</v>
      </c>
      <c r="H1191" s="1">
        <v>500</v>
      </c>
      <c r="I1191" s="1">
        <v>345</v>
      </c>
      <c r="J1191" s="2">
        <v>0.31</v>
      </c>
      <c r="K1191">
        <f t="shared" si="54"/>
        <v>106.95</v>
      </c>
      <c r="L1191">
        <f t="shared" si="55"/>
        <v>238.05</v>
      </c>
      <c r="M1191" t="str">
        <f t="shared" si="56"/>
        <v>May-2015</v>
      </c>
    </row>
    <row r="1192" spans="1:13" x14ac:dyDescent="0.3">
      <c r="A1192" t="s">
        <v>1742</v>
      </c>
      <c r="B1192" s="1" t="s">
        <v>28</v>
      </c>
      <c r="C1192" s="1" t="s">
        <v>29</v>
      </c>
      <c r="D1192" s="1" t="s">
        <v>13</v>
      </c>
      <c r="E1192" s="5">
        <v>42058</v>
      </c>
      <c r="F1192" s="3" t="s">
        <v>122</v>
      </c>
      <c r="G1192" s="1" t="s">
        <v>1743</v>
      </c>
      <c r="H1192" s="1">
        <v>50</v>
      </c>
      <c r="I1192" s="1">
        <v>44</v>
      </c>
      <c r="J1192" s="2">
        <v>0.12</v>
      </c>
      <c r="K1192">
        <f t="shared" si="54"/>
        <v>5.2799999999999994</v>
      </c>
      <c r="L1192">
        <f t="shared" si="55"/>
        <v>38.72</v>
      </c>
      <c r="M1192" t="str">
        <f t="shared" si="56"/>
        <v>Feb-2015</v>
      </c>
    </row>
    <row r="1193" spans="1:13" x14ac:dyDescent="0.3">
      <c r="A1193" t="s">
        <v>1744</v>
      </c>
      <c r="B1193" s="1" t="s">
        <v>224</v>
      </c>
      <c r="C1193" s="1" t="s">
        <v>50</v>
      </c>
      <c r="D1193" s="1" t="s">
        <v>24</v>
      </c>
      <c r="E1193" s="5">
        <v>43365</v>
      </c>
      <c r="F1193" s="3" t="s">
        <v>122</v>
      </c>
      <c r="G1193" s="1" t="s">
        <v>413</v>
      </c>
      <c r="H1193" s="1">
        <v>50</v>
      </c>
      <c r="I1193" s="1">
        <v>43</v>
      </c>
      <c r="J1193" s="2">
        <v>0.14000000000000001</v>
      </c>
      <c r="K1193">
        <f t="shared" si="54"/>
        <v>6.0200000000000005</v>
      </c>
      <c r="L1193">
        <f t="shared" si="55"/>
        <v>36.979999999999997</v>
      </c>
      <c r="M1193" t="str">
        <f t="shared" si="56"/>
        <v>Sep-2018</v>
      </c>
    </row>
    <row r="1194" spans="1:13" x14ac:dyDescent="0.3">
      <c r="A1194" t="s">
        <v>1745</v>
      </c>
      <c r="B1194" s="1" t="s">
        <v>270</v>
      </c>
      <c r="C1194" s="1" t="s">
        <v>271</v>
      </c>
      <c r="D1194" s="1" t="s">
        <v>35</v>
      </c>
      <c r="E1194" s="5">
        <v>42544</v>
      </c>
      <c r="F1194" s="3" t="s">
        <v>41</v>
      </c>
      <c r="G1194" s="1" t="s">
        <v>715</v>
      </c>
      <c r="H1194" s="1">
        <v>30</v>
      </c>
      <c r="I1194" s="1">
        <v>29</v>
      </c>
      <c r="J1194" s="2">
        <v>3.3300000000000003E-2</v>
      </c>
      <c r="K1194">
        <f t="shared" si="54"/>
        <v>0.96570000000000011</v>
      </c>
      <c r="L1194">
        <f t="shared" si="55"/>
        <v>28.034299999999998</v>
      </c>
      <c r="M1194" t="str">
        <f t="shared" si="56"/>
        <v>Jun-2016</v>
      </c>
    </row>
    <row r="1195" spans="1:13" x14ac:dyDescent="0.3">
      <c r="A1195" t="s">
        <v>1746</v>
      </c>
      <c r="B1195" s="1" t="s">
        <v>270</v>
      </c>
      <c r="C1195" s="1" t="s">
        <v>271</v>
      </c>
      <c r="D1195" s="1" t="s">
        <v>35</v>
      </c>
      <c r="E1195" s="5">
        <v>42199</v>
      </c>
      <c r="F1195" s="3" t="s">
        <v>41</v>
      </c>
      <c r="G1195" s="1" t="s">
        <v>566</v>
      </c>
      <c r="H1195" s="1">
        <v>30</v>
      </c>
      <c r="I1195" s="1">
        <v>29</v>
      </c>
      <c r="J1195" s="2">
        <v>3.3300000000000003E-2</v>
      </c>
      <c r="K1195">
        <f t="shared" si="54"/>
        <v>0.96570000000000011</v>
      </c>
      <c r="L1195">
        <f t="shared" si="55"/>
        <v>28.034299999999998</v>
      </c>
      <c r="M1195" t="str">
        <f t="shared" si="56"/>
        <v>Jul-2015</v>
      </c>
    </row>
    <row r="1196" spans="1:13" x14ac:dyDescent="0.3">
      <c r="A1196" t="s">
        <v>1747</v>
      </c>
      <c r="B1196" s="1" t="s">
        <v>289</v>
      </c>
      <c r="C1196" s="1" t="s">
        <v>108</v>
      </c>
      <c r="D1196" s="1" t="s">
        <v>19</v>
      </c>
      <c r="E1196" s="5">
        <v>41759</v>
      </c>
      <c r="F1196" s="3" t="s">
        <v>25</v>
      </c>
      <c r="G1196" s="1" t="s">
        <v>290</v>
      </c>
      <c r="H1196" s="1">
        <v>700</v>
      </c>
      <c r="I1196" s="1">
        <v>700</v>
      </c>
      <c r="J1196" s="2">
        <v>0</v>
      </c>
      <c r="K1196">
        <f t="shared" si="54"/>
        <v>0</v>
      </c>
      <c r="L1196">
        <f t="shared" si="55"/>
        <v>700</v>
      </c>
      <c r="M1196" t="str">
        <f t="shared" si="56"/>
        <v>Apr-2014</v>
      </c>
    </row>
    <row r="1197" spans="1:13" x14ac:dyDescent="0.3">
      <c r="A1197" t="s">
        <v>1748</v>
      </c>
      <c r="B1197" s="1" t="s">
        <v>53</v>
      </c>
      <c r="C1197" s="1" t="s">
        <v>54</v>
      </c>
      <c r="D1197" s="1" t="s">
        <v>13</v>
      </c>
      <c r="E1197" s="5">
        <v>43459</v>
      </c>
      <c r="F1197" s="3" t="s">
        <v>115</v>
      </c>
      <c r="G1197" s="1" t="s">
        <v>822</v>
      </c>
      <c r="H1197" s="1">
        <v>250</v>
      </c>
      <c r="I1197" s="1">
        <v>238</v>
      </c>
      <c r="J1197" s="2">
        <v>4.8000000000000001E-2</v>
      </c>
      <c r="K1197">
        <f t="shared" si="54"/>
        <v>11.423999999999999</v>
      </c>
      <c r="L1197">
        <f t="shared" si="55"/>
        <v>226.57599999999999</v>
      </c>
      <c r="M1197" t="str">
        <f t="shared" si="56"/>
        <v>Dec-2018</v>
      </c>
    </row>
    <row r="1198" spans="1:13" x14ac:dyDescent="0.3">
      <c r="A1198" t="s">
        <v>1749</v>
      </c>
      <c r="B1198" s="1" t="s">
        <v>59</v>
      </c>
      <c r="C1198" s="1" t="s">
        <v>60</v>
      </c>
      <c r="D1198" s="1" t="s">
        <v>13</v>
      </c>
      <c r="E1198" s="5">
        <v>42304</v>
      </c>
      <c r="F1198" s="3" t="s">
        <v>46</v>
      </c>
      <c r="G1198" s="1" t="s">
        <v>1750</v>
      </c>
      <c r="H1198" s="1">
        <v>500</v>
      </c>
      <c r="I1198" s="1">
        <v>485</v>
      </c>
      <c r="J1198" s="2">
        <v>0.03</v>
      </c>
      <c r="K1198">
        <f t="shared" si="54"/>
        <v>14.549999999999999</v>
      </c>
      <c r="L1198">
        <f t="shared" si="55"/>
        <v>470.45</v>
      </c>
      <c r="M1198" t="str">
        <f t="shared" si="56"/>
        <v>Oct-2015</v>
      </c>
    </row>
    <row r="1199" spans="1:13" x14ac:dyDescent="0.3">
      <c r="A1199" t="s">
        <v>1751</v>
      </c>
      <c r="B1199" s="1" t="s">
        <v>157</v>
      </c>
      <c r="C1199" s="1" t="s">
        <v>108</v>
      </c>
      <c r="D1199" s="1" t="s">
        <v>19</v>
      </c>
      <c r="E1199" s="5">
        <v>42298</v>
      </c>
      <c r="F1199" s="3" t="s">
        <v>55</v>
      </c>
      <c r="G1199" s="1" t="s">
        <v>464</v>
      </c>
      <c r="H1199" s="1">
        <v>800</v>
      </c>
      <c r="I1199" s="1">
        <v>456</v>
      </c>
      <c r="J1199" s="2">
        <v>0.43</v>
      </c>
      <c r="K1199">
        <f t="shared" si="54"/>
        <v>196.07999999999998</v>
      </c>
      <c r="L1199">
        <f t="shared" si="55"/>
        <v>259.92</v>
      </c>
      <c r="M1199" t="str">
        <f t="shared" si="56"/>
        <v>Oct-2015</v>
      </c>
    </row>
    <row r="1200" spans="1:13" x14ac:dyDescent="0.3">
      <c r="A1200" t="s">
        <v>1752</v>
      </c>
      <c r="B1200" s="1" t="s">
        <v>107</v>
      </c>
      <c r="C1200" s="1" t="s">
        <v>108</v>
      </c>
      <c r="D1200" s="1" t="s">
        <v>19</v>
      </c>
      <c r="E1200" s="5">
        <v>41756</v>
      </c>
      <c r="F1200" s="3" t="s">
        <v>104</v>
      </c>
      <c r="G1200" s="1" t="s">
        <v>109</v>
      </c>
      <c r="H1200" s="1">
        <v>70</v>
      </c>
      <c r="I1200" s="1">
        <v>66</v>
      </c>
      <c r="J1200" s="2">
        <v>5.7099999999999998E-2</v>
      </c>
      <c r="K1200">
        <f t="shared" si="54"/>
        <v>3.7685999999999997</v>
      </c>
      <c r="L1200">
        <f t="shared" si="55"/>
        <v>62.231400000000001</v>
      </c>
      <c r="M1200" t="str">
        <f t="shared" si="56"/>
        <v>Apr-2014</v>
      </c>
    </row>
    <row r="1201" spans="1:13" x14ac:dyDescent="0.3">
      <c r="A1201" t="s">
        <v>1753</v>
      </c>
      <c r="B1201" s="1" t="s">
        <v>53</v>
      </c>
      <c r="C1201" s="1" t="s">
        <v>54</v>
      </c>
      <c r="D1201" s="1" t="s">
        <v>13</v>
      </c>
      <c r="E1201" s="5">
        <v>43125</v>
      </c>
      <c r="F1201" s="3" t="s">
        <v>41</v>
      </c>
      <c r="G1201" s="1" t="s">
        <v>647</v>
      </c>
      <c r="H1201" s="1">
        <v>30</v>
      </c>
      <c r="I1201" s="1">
        <v>30</v>
      </c>
      <c r="J1201" s="2">
        <v>0</v>
      </c>
      <c r="K1201">
        <f t="shared" si="54"/>
        <v>0</v>
      </c>
      <c r="L1201">
        <f t="shared" si="55"/>
        <v>30</v>
      </c>
      <c r="M1201" t="str">
        <f t="shared" si="56"/>
        <v>Jan-2018</v>
      </c>
    </row>
    <row r="1202" spans="1:13" x14ac:dyDescent="0.3">
      <c r="A1202" t="s">
        <v>1754</v>
      </c>
      <c r="B1202" s="1" t="s">
        <v>118</v>
      </c>
      <c r="C1202" s="1" t="s">
        <v>119</v>
      </c>
      <c r="D1202" s="1" t="s">
        <v>35</v>
      </c>
      <c r="E1202" s="5">
        <v>42155</v>
      </c>
      <c r="F1202" s="3" t="s">
        <v>41</v>
      </c>
      <c r="G1202" s="1" t="s">
        <v>120</v>
      </c>
      <c r="H1202" s="1">
        <v>30</v>
      </c>
      <c r="I1202" s="1">
        <v>29</v>
      </c>
      <c r="J1202" s="2">
        <v>3.3300000000000003E-2</v>
      </c>
      <c r="K1202">
        <f t="shared" si="54"/>
        <v>0.96570000000000011</v>
      </c>
      <c r="L1202">
        <f t="shared" si="55"/>
        <v>28.034299999999998</v>
      </c>
      <c r="M1202" t="str">
        <f t="shared" si="56"/>
        <v>May-2015</v>
      </c>
    </row>
    <row r="1203" spans="1:13" x14ac:dyDescent="0.3">
      <c r="A1203" t="s">
        <v>1755</v>
      </c>
      <c r="B1203" s="1" t="s">
        <v>146</v>
      </c>
      <c r="C1203" s="1" t="s">
        <v>147</v>
      </c>
      <c r="D1203" s="1" t="s">
        <v>13</v>
      </c>
      <c r="E1203" s="5">
        <v>42078</v>
      </c>
      <c r="F1203" s="3" t="s">
        <v>104</v>
      </c>
      <c r="G1203" s="1" t="s">
        <v>1647</v>
      </c>
      <c r="H1203" s="1">
        <v>70</v>
      </c>
      <c r="I1203" s="1">
        <v>62</v>
      </c>
      <c r="J1203" s="2">
        <v>0.1143</v>
      </c>
      <c r="K1203">
        <f t="shared" si="54"/>
        <v>7.0865999999999998</v>
      </c>
      <c r="L1203">
        <f t="shared" si="55"/>
        <v>54.913400000000003</v>
      </c>
      <c r="M1203" t="str">
        <f t="shared" si="56"/>
        <v>Mar-2015</v>
      </c>
    </row>
    <row r="1204" spans="1:13" x14ac:dyDescent="0.3">
      <c r="A1204" t="s">
        <v>1756</v>
      </c>
      <c r="B1204" s="1" t="s">
        <v>131</v>
      </c>
      <c r="C1204" s="1" t="s">
        <v>108</v>
      </c>
      <c r="D1204" s="1" t="s">
        <v>19</v>
      </c>
      <c r="E1204" s="5">
        <v>43216</v>
      </c>
      <c r="F1204" s="3" t="s">
        <v>72</v>
      </c>
      <c r="G1204" s="1" t="s">
        <v>382</v>
      </c>
      <c r="H1204" s="1">
        <v>500</v>
      </c>
      <c r="I1204" s="1">
        <v>500</v>
      </c>
      <c r="J1204" s="2">
        <v>0</v>
      </c>
      <c r="K1204">
        <f t="shared" si="54"/>
        <v>0</v>
      </c>
      <c r="L1204">
        <f t="shared" si="55"/>
        <v>500</v>
      </c>
      <c r="M1204" t="str">
        <f t="shared" si="56"/>
        <v>Apr-2018</v>
      </c>
    </row>
    <row r="1205" spans="1:13" x14ac:dyDescent="0.3">
      <c r="A1205" t="s">
        <v>1757</v>
      </c>
      <c r="B1205" s="1" t="s">
        <v>17</v>
      </c>
      <c r="C1205" s="1" t="s">
        <v>18</v>
      </c>
      <c r="D1205" s="1" t="s">
        <v>19</v>
      </c>
      <c r="E1205" s="5">
        <v>42934</v>
      </c>
      <c r="F1205" s="3" t="s">
        <v>122</v>
      </c>
      <c r="G1205" s="1" t="s">
        <v>543</v>
      </c>
      <c r="H1205" s="1">
        <v>50</v>
      </c>
      <c r="I1205" s="1">
        <v>45</v>
      </c>
      <c r="J1205" s="2">
        <v>0.1</v>
      </c>
      <c r="K1205">
        <f t="shared" si="54"/>
        <v>4.5</v>
      </c>
      <c r="L1205">
        <f t="shared" si="55"/>
        <v>40.5</v>
      </c>
      <c r="M1205" t="str">
        <f t="shared" si="56"/>
        <v>Jul-2017</v>
      </c>
    </row>
    <row r="1206" spans="1:13" x14ac:dyDescent="0.3">
      <c r="A1206" t="s">
        <v>1758</v>
      </c>
      <c r="B1206" s="1" t="s">
        <v>241</v>
      </c>
      <c r="C1206" s="1" t="s">
        <v>242</v>
      </c>
      <c r="D1206" s="1" t="s">
        <v>13</v>
      </c>
      <c r="E1206" s="5">
        <v>42602</v>
      </c>
      <c r="F1206" s="3" t="s">
        <v>25</v>
      </c>
      <c r="G1206" s="1" t="s">
        <v>779</v>
      </c>
      <c r="H1206" s="1">
        <v>700</v>
      </c>
      <c r="I1206" s="1">
        <v>623</v>
      </c>
      <c r="J1206" s="2">
        <v>0.11</v>
      </c>
      <c r="K1206">
        <f t="shared" si="54"/>
        <v>68.53</v>
      </c>
      <c r="L1206">
        <f t="shared" si="55"/>
        <v>554.47</v>
      </c>
      <c r="M1206" t="str">
        <f t="shared" si="56"/>
        <v>Aug-2016</v>
      </c>
    </row>
    <row r="1207" spans="1:13" x14ac:dyDescent="0.3">
      <c r="A1207" t="s">
        <v>1759</v>
      </c>
      <c r="B1207" s="1" t="s">
        <v>70</v>
      </c>
      <c r="C1207" s="1" t="s">
        <v>71</v>
      </c>
      <c r="D1207" s="1" t="s">
        <v>35</v>
      </c>
      <c r="E1207" s="5">
        <v>42699</v>
      </c>
      <c r="F1207" s="3" t="s">
        <v>72</v>
      </c>
      <c r="G1207" s="1" t="s">
        <v>1414</v>
      </c>
      <c r="H1207" s="1">
        <v>500</v>
      </c>
      <c r="I1207" s="1">
        <v>490</v>
      </c>
      <c r="J1207" s="2">
        <v>0.02</v>
      </c>
      <c r="K1207">
        <f t="shared" si="54"/>
        <v>9.8000000000000007</v>
      </c>
      <c r="L1207">
        <f t="shared" si="55"/>
        <v>480.2</v>
      </c>
      <c r="M1207" t="str">
        <f t="shared" si="56"/>
        <v>Nov-2016</v>
      </c>
    </row>
    <row r="1208" spans="1:13" x14ac:dyDescent="0.3">
      <c r="A1208" t="s">
        <v>1760</v>
      </c>
      <c r="B1208" s="1" t="s">
        <v>95</v>
      </c>
      <c r="C1208" s="1" t="s">
        <v>96</v>
      </c>
      <c r="D1208" s="1" t="s">
        <v>13</v>
      </c>
      <c r="E1208" s="5">
        <v>42700</v>
      </c>
      <c r="F1208" s="3" t="s">
        <v>122</v>
      </c>
      <c r="G1208" s="1" t="s">
        <v>97</v>
      </c>
      <c r="H1208" s="1">
        <v>50</v>
      </c>
      <c r="I1208" s="1">
        <v>22</v>
      </c>
      <c r="J1208" s="2">
        <v>0.56000000000000005</v>
      </c>
      <c r="K1208">
        <f t="shared" si="54"/>
        <v>12.32</v>
      </c>
      <c r="L1208">
        <f t="shared" si="55"/>
        <v>9.68</v>
      </c>
      <c r="M1208" t="str">
        <f t="shared" si="56"/>
        <v>Nov-2016</v>
      </c>
    </row>
    <row r="1209" spans="1:13" x14ac:dyDescent="0.3">
      <c r="A1209" t="s">
        <v>1761</v>
      </c>
      <c r="B1209" s="1" t="s">
        <v>205</v>
      </c>
      <c r="C1209" s="1" t="s">
        <v>206</v>
      </c>
      <c r="D1209" s="1" t="s">
        <v>24</v>
      </c>
      <c r="E1209" s="5">
        <v>42569</v>
      </c>
      <c r="F1209" s="3" t="s">
        <v>30</v>
      </c>
      <c r="G1209" s="1" t="s">
        <v>660</v>
      </c>
      <c r="H1209" s="1">
        <v>150</v>
      </c>
      <c r="I1209" s="1">
        <v>129</v>
      </c>
      <c r="J1209" s="2">
        <v>0.14000000000000001</v>
      </c>
      <c r="K1209">
        <f t="shared" si="54"/>
        <v>18.060000000000002</v>
      </c>
      <c r="L1209">
        <f t="shared" si="55"/>
        <v>110.94</v>
      </c>
      <c r="M1209" t="str">
        <f t="shared" si="56"/>
        <v>Jul-2016</v>
      </c>
    </row>
    <row r="1210" spans="1:13" x14ac:dyDescent="0.3">
      <c r="A1210" t="s">
        <v>1762</v>
      </c>
      <c r="B1210" s="1" t="s">
        <v>114</v>
      </c>
      <c r="C1210" s="1" t="s">
        <v>54</v>
      </c>
      <c r="D1210" s="1" t="s">
        <v>13</v>
      </c>
      <c r="E1210" s="5">
        <v>42762</v>
      </c>
      <c r="F1210" s="3" t="s">
        <v>14</v>
      </c>
      <c r="G1210" s="1" t="s">
        <v>367</v>
      </c>
      <c r="H1210" s="1">
        <v>80</v>
      </c>
      <c r="I1210" s="1">
        <v>78</v>
      </c>
      <c r="J1210" s="2">
        <v>2.5000000000000001E-2</v>
      </c>
      <c r="K1210">
        <f t="shared" si="54"/>
        <v>1.9500000000000002</v>
      </c>
      <c r="L1210">
        <f t="shared" si="55"/>
        <v>76.05</v>
      </c>
      <c r="M1210" t="str">
        <f t="shared" si="56"/>
        <v>Jan-2017</v>
      </c>
    </row>
    <row r="1211" spans="1:13" x14ac:dyDescent="0.3">
      <c r="A1211" t="s">
        <v>1763</v>
      </c>
      <c r="B1211" s="1" t="s">
        <v>127</v>
      </c>
      <c r="C1211" s="1" t="s">
        <v>128</v>
      </c>
      <c r="D1211" s="1" t="s">
        <v>13</v>
      </c>
      <c r="E1211" s="5">
        <v>43339</v>
      </c>
      <c r="F1211" s="3" t="s">
        <v>115</v>
      </c>
      <c r="G1211" s="1" t="s">
        <v>129</v>
      </c>
      <c r="H1211" s="1">
        <v>250</v>
      </c>
      <c r="I1211" s="1">
        <v>208</v>
      </c>
      <c r="J1211" s="2">
        <v>0.16800000000000001</v>
      </c>
      <c r="K1211">
        <f t="shared" si="54"/>
        <v>34.944000000000003</v>
      </c>
      <c r="L1211">
        <f t="shared" si="55"/>
        <v>173.05599999999998</v>
      </c>
      <c r="M1211" t="str">
        <f t="shared" si="56"/>
        <v>Aug-2018</v>
      </c>
    </row>
    <row r="1212" spans="1:13" x14ac:dyDescent="0.3">
      <c r="A1212" t="s">
        <v>1764</v>
      </c>
      <c r="B1212" s="1" t="s">
        <v>99</v>
      </c>
      <c r="C1212" s="1" t="s">
        <v>100</v>
      </c>
      <c r="D1212" s="1" t="s">
        <v>13</v>
      </c>
      <c r="E1212" s="5">
        <v>41683</v>
      </c>
      <c r="F1212" s="3" t="s">
        <v>122</v>
      </c>
      <c r="G1212" s="1" t="s">
        <v>752</v>
      </c>
      <c r="H1212" s="1">
        <v>50</v>
      </c>
      <c r="I1212" s="1">
        <v>37</v>
      </c>
      <c r="J1212" s="2">
        <v>0.26</v>
      </c>
      <c r="K1212">
        <f t="shared" si="54"/>
        <v>9.620000000000001</v>
      </c>
      <c r="L1212">
        <f t="shared" si="55"/>
        <v>27.38</v>
      </c>
      <c r="M1212" t="str">
        <f t="shared" si="56"/>
        <v>Feb-2014</v>
      </c>
    </row>
    <row r="1213" spans="1:13" x14ac:dyDescent="0.3">
      <c r="A1213" t="s">
        <v>1765</v>
      </c>
      <c r="B1213" s="1" t="s">
        <v>434</v>
      </c>
      <c r="C1213" s="1" t="s">
        <v>435</v>
      </c>
      <c r="D1213" s="1" t="s">
        <v>24</v>
      </c>
      <c r="E1213" s="5">
        <v>42544</v>
      </c>
      <c r="F1213" s="3" t="s">
        <v>30</v>
      </c>
      <c r="G1213" s="1" t="s">
        <v>550</v>
      </c>
      <c r="H1213" s="1">
        <v>150</v>
      </c>
      <c r="I1213" s="1">
        <v>143</v>
      </c>
      <c r="J1213" s="2">
        <v>4.6699999999999998E-2</v>
      </c>
      <c r="K1213">
        <f t="shared" si="54"/>
        <v>6.6780999999999997</v>
      </c>
      <c r="L1213">
        <f t="shared" si="55"/>
        <v>136.3219</v>
      </c>
      <c r="M1213" t="str">
        <f t="shared" si="56"/>
        <v>Jun-2016</v>
      </c>
    </row>
    <row r="1214" spans="1:13" x14ac:dyDescent="0.3">
      <c r="A1214" t="s">
        <v>1766</v>
      </c>
      <c r="B1214" s="1" t="s">
        <v>17</v>
      </c>
      <c r="C1214" s="1" t="s">
        <v>18</v>
      </c>
      <c r="D1214" s="1" t="s">
        <v>19</v>
      </c>
      <c r="E1214" s="5">
        <v>41967</v>
      </c>
      <c r="F1214" s="3" t="s">
        <v>122</v>
      </c>
      <c r="G1214" s="1" t="s">
        <v>776</v>
      </c>
      <c r="H1214" s="1">
        <v>50</v>
      </c>
      <c r="I1214" s="1">
        <v>46</v>
      </c>
      <c r="J1214" s="2">
        <v>0.08</v>
      </c>
      <c r="K1214">
        <f t="shared" si="54"/>
        <v>3.68</v>
      </c>
      <c r="L1214">
        <f t="shared" si="55"/>
        <v>42.32</v>
      </c>
      <c r="M1214" t="str">
        <f t="shared" si="56"/>
        <v>Nov-2014</v>
      </c>
    </row>
    <row r="1215" spans="1:13" x14ac:dyDescent="0.3">
      <c r="A1215" t="s">
        <v>1767</v>
      </c>
      <c r="B1215" s="1" t="s">
        <v>205</v>
      </c>
      <c r="C1215" s="1" t="s">
        <v>206</v>
      </c>
      <c r="D1215" s="1" t="s">
        <v>24</v>
      </c>
      <c r="E1215" s="5">
        <v>42998</v>
      </c>
      <c r="F1215" s="3" t="s">
        <v>41</v>
      </c>
      <c r="G1215" s="1" t="s">
        <v>681</v>
      </c>
      <c r="H1215" s="1">
        <v>30</v>
      </c>
      <c r="I1215" s="1">
        <v>29</v>
      </c>
      <c r="J1215" s="2">
        <v>3.3300000000000003E-2</v>
      </c>
      <c r="K1215">
        <f t="shared" si="54"/>
        <v>0.96570000000000011</v>
      </c>
      <c r="L1215">
        <f t="shared" si="55"/>
        <v>28.034299999999998</v>
      </c>
      <c r="M1215" t="str">
        <f t="shared" si="56"/>
        <v>Sep-2017</v>
      </c>
    </row>
    <row r="1216" spans="1:13" x14ac:dyDescent="0.3">
      <c r="A1216" t="s">
        <v>1768</v>
      </c>
      <c r="B1216" s="1" t="s">
        <v>270</v>
      </c>
      <c r="C1216" s="1" t="s">
        <v>271</v>
      </c>
      <c r="D1216" s="1" t="s">
        <v>35</v>
      </c>
      <c r="E1216" s="5">
        <v>41925</v>
      </c>
      <c r="F1216" s="3" t="s">
        <v>122</v>
      </c>
      <c r="G1216" s="1" t="s">
        <v>809</v>
      </c>
      <c r="H1216" s="1">
        <v>50</v>
      </c>
      <c r="I1216" s="1">
        <v>44</v>
      </c>
      <c r="J1216" s="2">
        <v>0.12</v>
      </c>
      <c r="K1216">
        <f t="shared" si="54"/>
        <v>5.2799999999999994</v>
      </c>
      <c r="L1216">
        <f t="shared" si="55"/>
        <v>38.72</v>
      </c>
      <c r="M1216" t="str">
        <f t="shared" si="56"/>
        <v>Oct-2014</v>
      </c>
    </row>
    <row r="1217" spans="1:13" x14ac:dyDescent="0.3">
      <c r="A1217" t="s">
        <v>1769</v>
      </c>
      <c r="B1217" s="1" t="s">
        <v>85</v>
      </c>
      <c r="C1217" s="1" t="s">
        <v>86</v>
      </c>
      <c r="D1217" s="1" t="s">
        <v>13</v>
      </c>
      <c r="E1217" s="5">
        <v>42354</v>
      </c>
      <c r="F1217" s="3" t="s">
        <v>41</v>
      </c>
      <c r="G1217" s="1" t="s">
        <v>628</v>
      </c>
      <c r="H1217" s="1">
        <v>30</v>
      </c>
      <c r="I1217" s="1">
        <v>29</v>
      </c>
      <c r="J1217" s="2">
        <v>3.3300000000000003E-2</v>
      </c>
      <c r="K1217">
        <f t="shared" si="54"/>
        <v>0.96570000000000011</v>
      </c>
      <c r="L1217">
        <f t="shared" si="55"/>
        <v>28.034299999999998</v>
      </c>
      <c r="M1217" t="str">
        <f t="shared" si="56"/>
        <v>Dec-2015</v>
      </c>
    </row>
    <row r="1218" spans="1:13" x14ac:dyDescent="0.3">
      <c r="A1218" t="s">
        <v>1770</v>
      </c>
      <c r="B1218" s="1" t="s">
        <v>146</v>
      </c>
      <c r="C1218" s="1" t="s">
        <v>147</v>
      </c>
      <c r="D1218" s="1" t="s">
        <v>13</v>
      </c>
      <c r="E1218" s="5">
        <v>41868</v>
      </c>
      <c r="F1218" s="3" t="s">
        <v>55</v>
      </c>
      <c r="G1218" s="1" t="s">
        <v>358</v>
      </c>
      <c r="H1218" s="1">
        <v>800</v>
      </c>
      <c r="I1218" s="1">
        <v>720</v>
      </c>
      <c r="J1218" s="2">
        <v>0.1</v>
      </c>
      <c r="K1218">
        <f t="shared" si="54"/>
        <v>72</v>
      </c>
      <c r="L1218">
        <f t="shared" si="55"/>
        <v>648</v>
      </c>
      <c r="M1218" t="str">
        <f t="shared" si="56"/>
        <v>Aug-2014</v>
      </c>
    </row>
    <row r="1219" spans="1:13" x14ac:dyDescent="0.3">
      <c r="A1219" t="s">
        <v>1771</v>
      </c>
      <c r="B1219" s="1" t="s">
        <v>205</v>
      </c>
      <c r="C1219" s="1" t="s">
        <v>206</v>
      </c>
      <c r="D1219" s="1" t="s">
        <v>24</v>
      </c>
      <c r="E1219" s="5">
        <v>42725</v>
      </c>
      <c r="F1219" s="3" t="s">
        <v>46</v>
      </c>
      <c r="G1219" s="1" t="s">
        <v>1772</v>
      </c>
      <c r="H1219" s="1">
        <v>500</v>
      </c>
      <c r="I1219" s="1">
        <v>430</v>
      </c>
      <c r="J1219" s="2">
        <v>0.14000000000000001</v>
      </c>
      <c r="K1219">
        <f t="shared" si="54"/>
        <v>60.2</v>
      </c>
      <c r="L1219">
        <f t="shared" si="55"/>
        <v>369.8</v>
      </c>
      <c r="M1219" t="str">
        <f t="shared" si="56"/>
        <v>Dec-2016</v>
      </c>
    </row>
    <row r="1220" spans="1:13" x14ac:dyDescent="0.3">
      <c r="A1220" t="s">
        <v>1773</v>
      </c>
      <c r="B1220" s="1" t="s">
        <v>241</v>
      </c>
      <c r="C1220" s="1" t="s">
        <v>242</v>
      </c>
      <c r="D1220" s="1" t="s">
        <v>13</v>
      </c>
      <c r="E1220" s="5">
        <v>42631</v>
      </c>
      <c r="F1220" s="3" t="s">
        <v>41</v>
      </c>
      <c r="G1220" s="1" t="s">
        <v>243</v>
      </c>
      <c r="H1220" s="1">
        <v>30</v>
      </c>
      <c r="I1220" s="1">
        <v>29</v>
      </c>
      <c r="J1220" s="2">
        <v>3.3300000000000003E-2</v>
      </c>
      <c r="K1220">
        <f t="shared" ref="K1220:K1283" si="57">I1220*J1220</f>
        <v>0.96570000000000011</v>
      </c>
      <c r="L1220">
        <f t="shared" ref="L1220:L1283" si="58">I1220-K1220</f>
        <v>28.034299999999998</v>
      </c>
      <c r="M1220" t="str">
        <f t="shared" ref="M1220:M1283" si="59">TEXT(E1220, "mmm-yyyy")</f>
        <v>Sep-2016</v>
      </c>
    </row>
    <row r="1221" spans="1:13" x14ac:dyDescent="0.3">
      <c r="A1221" t="s">
        <v>1774</v>
      </c>
      <c r="B1221" s="1" t="s">
        <v>170</v>
      </c>
      <c r="C1221" s="1" t="s">
        <v>171</v>
      </c>
      <c r="D1221" s="1" t="s">
        <v>13</v>
      </c>
      <c r="E1221" s="5">
        <v>41691</v>
      </c>
      <c r="F1221" s="3" t="s">
        <v>104</v>
      </c>
      <c r="G1221" s="1" t="s">
        <v>518</v>
      </c>
      <c r="H1221" s="1">
        <v>70</v>
      </c>
      <c r="I1221" s="1">
        <v>53</v>
      </c>
      <c r="J1221" s="2">
        <v>0.2429</v>
      </c>
      <c r="K1221">
        <f t="shared" si="57"/>
        <v>12.873699999999999</v>
      </c>
      <c r="L1221">
        <f t="shared" si="58"/>
        <v>40.126300000000001</v>
      </c>
      <c r="M1221" t="str">
        <f t="shared" si="59"/>
        <v>Feb-2014</v>
      </c>
    </row>
    <row r="1222" spans="1:13" x14ac:dyDescent="0.3">
      <c r="A1222" t="s">
        <v>1775</v>
      </c>
      <c r="B1222" s="1" t="s">
        <v>107</v>
      </c>
      <c r="C1222" s="1" t="s">
        <v>108</v>
      </c>
      <c r="D1222" s="1" t="s">
        <v>19</v>
      </c>
      <c r="E1222" s="5">
        <v>42483</v>
      </c>
      <c r="F1222" s="3" t="s">
        <v>122</v>
      </c>
      <c r="G1222" s="1" t="s">
        <v>946</v>
      </c>
      <c r="H1222" s="1">
        <v>50</v>
      </c>
      <c r="I1222" s="1">
        <v>41</v>
      </c>
      <c r="J1222" s="2">
        <v>0.18</v>
      </c>
      <c r="K1222">
        <f t="shared" si="57"/>
        <v>7.38</v>
      </c>
      <c r="L1222">
        <f t="shared" si="58"/>
        <v>33.619999999999997</v>
      </c>
      <c r="M1222" t="str">
        <f t="shared" si="59"/>
        <v>Apr-2016</v>
      </c>
    </row>
    <row r="1223" spans="1:13" x14ac:dyDescent="0.3">
      <c r="A1223" t="s">
        <v>1776</v>
      </c>
      <c r="B1223" s="1" t="s">
        <v>289</v>
      </c>
      <c r="C1223" s="1" t="s">
        <v>108</v>
      </c>
      <c r="D1223" s="1" t="s">
        <v>19</v>
      </c>
      <c r="E1223" s="5">
        <v>42178</v>
      </c>
      <c r="F1223" s="3" t="s">
        <v>55</v>
      </c>
      <c r="G1223" s="1" t="s">
        <v>972</v>
      </c>
      <c r="H1223" s="1">
        <v>800</v>
      </c>
      <c r="I1223" s="1">
        <v>600</v>
      </c>
      <c r="J1223" s="2">
        <v>0.25</v>
      </c>
      <c r="K1223">
        <f t="shared" si="57"/>
        <v>150</v>
      </c>
      <c r="L1223">
        <f t="shared" si="58"/>
        <v>450</v>
      </c>
      <c r="M1223" t="str">
        <f t="shared" si="59"/>
        <v>Jun-2015</v>
      </c>
    </row>
    <row r="1224" spans="1:13" x14ac:dyDescent="0.3">
      <c r="A1224" t="s">
        <v>1777</v>
      </c>
      <c r="B1224" s="1" t="s">
        <v>59</v>
      </c>
      <c r="C1224" s="1" t="s">
        <v>60</v>
      </c>
      <c r="D1224" s="1" t="s">
        <v>13</v>
      </c>
      <c r="E1224" s="5">
        <v>41962</v>
      </c>
      <c r="F1224" s="3" t="s">
        <v>30</v>
      </c>
      <c r="G1224" s="1" t="s">
        <v>1778</v>
      </c>
      <c r="H1224" s="1">
        <v>150</v>
      </c>
      <c r="I1224" s="1">
        <v>143</v>
      </c>
      <c r="J1224" s="2">
        <v>4.6699999999999998E-2</v>
      </c>
      <c r="K1224">
        <f t="shared" si="57"/>
        <v>6.6780999999999997</v>
      </c>
      <c r="L1224">
        <f t="shared" si="58"/>
        <v>136.3219</v>
      </c>
      <c r="M1224" t="str">
        <f t="shared" si="59"/>
        <v>Nov-2014</v>
      </c>
    </row>
    <row r="1225" spans="1:13" x14ac:dyDescent="0.3">
      <c r="A1225" t="s">
        <v>1779</v>
      </c>
      <c r="B1225" s="1" t="s">
        <v>134</v>
      </c>
      <c r="C1225" s="1" t="s">
        <v>92</v>
      </c>
      <c r="D1225" s="1" t="s">
        <v>35</v>
      </c>
      <c r="E1225" s="5">
        <v>42420</v>
      </c>
      <c r="F1225" s="3" t="s">
        <v>46</v>
      </c>
      <c r="G1225" s="1" t="s">
        <v>849</v>
      </c>
      <c r="H1225" s="1">
        <v>500</v>
      </c>
      <c r="I1225" s="1">
        <v>480</v>
      </c>
      <c r="J1225" s="2">
        <v>0.04</v>
      </c>
      <c r="K1225">
        <f t="shared" si="57"/>
        <v>19.2</v>
      </c>
      <c r="L1225">
        <f t="shared" si="58"/>
        <v>460.8</v>
      </c>
      <c r="M1225" t="str">
        <f t="shared" si="59"/>
        <v>Feb-2016</v>
      </c>
    </row>
    <row r="1226" spans="1:13" x14ac:dyDescent="0.3">
      <c r="A1226" t="s">
        <v>1780</v>
      </c>
      <c r="B1226" s="1" t="s">
        <v>114</v>
      </c>
      <c r="C1226" s="1" t="s">
        <v>54</v>
      </c>
      <c r="D1226" s="1" t="s">
        <v>13</v>
      </c>
      <c r="E1226" s="5">
        <v>42333</v>
      </c>
      <c r="F1226" s="3" t="s">
        <v>72</v>
      </c>
      <c r="G1226" s="1" t="s">
        <v>1068</v>
      </c>
      <c r="H1226" s="1">
        <v>500</v>
      </c>
      <c r="I1226" s="1">
        <v>495</v>
      </c>
      <c r="J1226" s="2">
        <v>0.01</v>
      </c>
      <c r="K1226">
        <f t="shared" si="57"/>
        <v>4.95</v>
      </c>
      <c r="L1226">
        <f t="shared" si="58"/>
        <v>490.05</v>
      </c>
      <c r="M1226" t="str">
        <f t="shared" si="59"/>
        <v>Nov-2015</v>
      </c>
    </row>
    <row r="1227" spans="1:13" x14ac:dyDescent="0.3">
      <c r="A1227" t="s">
        <v>1781</v>
      </c>
      <c r="B1227" s="1" t="s">
        <v>324</v>
      </c>
      <c r="C1227" s="1" t="s">
        <v>325</v>
      </c>
      <c r="D1227" s="1" t="s">
        <v>13</v>
      </c>
      <c r="E1227" s="5">
        <v>42849</v>
      </c>
      <c r="F1227" s="3" t="s">
        <v>30</v>
      </c>
      <c r="G1227" s="1" t="s">
        <v>1247</v>
      </c>
      <c r="H1227" s="1">
        <v>150</v>
      </c>
      <c r="I1227" s="1">
        <v>147</v>
      </c>
      <c r="J1227" s="2">
        <v>0.02</v>
      </c>
      <c r="K1227">
        <f t="shared" si="57"/>
        <v>2.94</v>
      </c>
      <c r="L1227">
        <f t="shared" si="58"/>
        <v>144.06</v>
      </c>
      <c r="M1227" t="str">
        <f t="shared" si="59"/>
        <v>Apr-2017</v>
      </c>
    </row>
    <row r="1228" spans="1:13" x14ac:dyDescent="0.3">
      <c r="A1228" t="s">
        <v>1782</v>
      </c>
      <c r="B1228" s="1" t="s">
        <v>127</v>
      </c>
      <c r="C1228" s="1" t="s">
        <v>128</v>
      </c>
      <c r="D1228" s="1" t="s">
        <v>13</v>
      </c>
      <c r="E1228" s="5">
        <v>42912</v>
      </c>
      <c r="F1228" s="3" t="s">
        <v>122</v>
      </c>
      <c r="G1228" s="1" t="s">
        <v>920</v>
      </c>
      <c r="H1228" s="1">
        <v>50</v>
      </c>
      <c r="I1228" s="1">
        <v>49</v>
      </c>
      <c r="J1228" s="2">
        <v>0.02</v>
      </c>
      <c r="K1228">
        <f t="shared" si="57"/>
        <v>0.98</v>
      </c>
      <c r="L1228">
        <f t="shared" si="58"/>
        <v>48.02</v>
      </c>
      <c r="M1228" t="str">
        <f t="shared" si="59"/>
        <v>Jun-2017</v>
      </c>
    </row>
    <row r="1229" spans="1:13" x14ac:dyDescent="0.3">
      <c r="A1229" t="s">
        <v>1783</v>
      </c>
      <c r="B1229" s="1" t="s">
        <v>170</v>
      </c>
      <c r="C1229" s="1" t="s">
        <v>171</v>
      </c>
      <c r="D1229" s="1" t="s">
        <v>13</v>
      </c>
      <c r="E1229" s="5">
        <v>42210</v>
      </c>
      <c r="F1229" s="3" t="s">
        <v>14</v>
      </c>
      <c r="G1229" s="1" t="s">
        <v>274</v>
      </c>
      <c r="H1229" s="1">
        <v>80</v>
      </c>
      <c r="I1229" s="1">
        <v>69</v>
      </c>
      <c r="J1229" s="2">
        <v>0.13750000000000001</v>
      </c>
      <c r="K1229">
        <f t="shared" si="57"/>
        <v>9.4875000000000007</v>
      </c>
      <c r="L1229">
        <f t="shared" si="58"/>
        <v>59.512500000000003</v>
      </c>
      <c r="M1229" t="str">
        <f t="shared" si="59"/>
        <v>Jul-2015</v>
      </c>
    </row>
    <row r="1230" spans="1:13" x14ac:dyDescent="0.3">
      <c r="A1230" t="s">
        <v>1784</v>
      </c>
      <c r="B1230" s="1" t="s">
        <v>85</v>
      </c>
      <c r="C1230" s="1" t="s">
        <v>86</v>
      </c>
      <c r="D1230" s="1" t="s">
        <v>13</v>
      </c>
      <c r="E1230" s="5">
        <v>41654</v>
      </c>
      <c r="F1230" s="3" t="s">
        <v>41</v>
      </c>
      <c r="G1230" s="1" t="s">
        <v>1249</v>
      </c>
      <c r="H1230" s="1">
        <v>30</v>
      </c>
      <c r="I1230" s="1">
        <v>26</v>
      </c>
      <c r="J1230" s="2">
        <v>0.1333</v>
      </c>
      <c r="K1230">
        <f t="shared" si="57"/>
        <v>3.4658000000000002</v>
      </c>
      <c r="L1230">
        <f t="shared" si="58"/>
        <v>22.534199999999998</v>
      </c>
      <c r="M1230" t="str">
        <f t="shared" si="59"/>
        <v>Jan-2014</v>
      </c>
    </row>
    <row r="1231" spans="1:13" x14ac:dyDescent="0.3">
      <c r="A1231" t="s">
        <v>1785</v>
      </c>
      <c r="B1231" s="1" t="s">
        <v>146</v>
      </c>
      <c r="C1231" s="1" t="s">
        <v>147</v>
      </c>
      <c r="D1231" s="1" t="s">
        <v>13</v>
      </c>
      <c r="E1231" s="5">
        <v>41756</v>
      </c>
      <c r="F1231" s="3" t="s">
        <v>55</v>
      </c>
      <c r="G1231" s="1" t="s">
        <v>1006</v>
      </c>
      <c r="H1231" s="1">
        <v>800</v>
      </c>
      <c r="I1231" s="1">
        <v>592</v>
      </c>
      <c r="J1231" s="2">
        <v>0.26</v>
      </c>
      <c r="K1231">
        <f t="shared" si="57"/>
        <v>153.92000000000002</v>
      </c>
      <c r="L1231">
        <f t="shared" si="58"/>
        <v>438.08</v>
      </c>
      <c r="M1231" t="str">
        <f t="shared" si="59"/>
        <v>Apr-2014</v>
      </c>
    </row>
    <row r="1232" spans="1:13" x14ac:dyDescent="0.3">
      <c r="A1232" t="s">
        <v>1786</v>
      </c>
      <c r="B1232" s="1" t="s">
        <v>39</v>
      </c>
      <c r="C1232" s="1" t="s">
        <v>40</v>
      </c>
      <c r="D1232" s="1" t="s">
        <v>35</v>
      </c>
      <c r="E1232" s="5">
        <v>42077</v>
      </c>
      <c r="F1232" s="3" t="s">
        <v>25</v>
      </c>
      <c r="G1232" s="1" t="s">
        <v>1631</v>
      </c>
      <c r="H1232" s="1">
        <v>700</v>
      </c>
      <c r="I1232" s="1">
        <v>560</v>
      </c>
      <c r="J1232" s="2">
        <v>0.2</v>
      </c>
      <c r="K1232">
        <f t="shared" si="57"/>
        <v>112</v>
      </c>
      <c r="L1232">
        <f t="shared" si="58"/>
        <v>448</v>
      </c>
      <c r="M1232" t="str">
        <f t="shared" si="59"/>
        <v>Mar-2015</v>
      </c>
    </row>
    <row r="1233" spans="1:13" x14ac:dyDescent="0.3">
      <c r="A1233" t="s">
        <v>1787</v>
      </c>
      <c r="B1233" s="1" t="s">
        <v>205</v>
      </c>
      <c r="C1233" s="1" t="s">
        <v>206</v>
      </c>
      <c r="D1233" s="1" t="s">
        <v>24</v>
      </c>
      <c r="E1233" s="5">
        <v>42511</v>
      </c>
      <c r="F1233" s="3" t="s">
        <v>122</v>
      </c>
      <c r="G1233" s="1" t="s">
        <v>1478</v>
      </c>
      <c r="H1233" s="1">
        <v>50</v>
      </c>
      <c r="I1233" s="1">
        <v>45</v>
      </c>
      <c r="J1233" s="2">
        <v>0.1</v>
      </c>
      <c r="K1233">
        <f t="shared" si="57"/>
        <v>4.5</v>
      </c>
      <c r="L1233">
        <f t="shared" si="58"/>
        <v>40.5</v>
      </c>
      <c r="M1233" t="str">
        <f t="shared" si="59"/>
        <v>May-2016</v>
      </c>
    </row>
    <row r="1234" spans="1:13" x14ac:dyDescent="0.3">
      <c r="A1234" t="s">
        <v>1788</v>
      </c>
      <c r="B1234" s="1" t="s">
        <v>77</v>
      </c>
      <c r="C1234" s="1" t="s">
        <v>78</v>
      </c>
      <c r="D1234" s="1" t="s">
        <v>35</v>
      </c>
      <c r="E1234" s="5">
        <v>43069</v>
      </c>
      <c r="F1234" s="3" t="s">
        <v>104</v>
      </c>
      <c r="G1234" s="1" t="s">
        <v>1789</v>
      </c>
      <c r="H1234" s="1">
        <v>70</v>
      </c>
      <c r="I1234" s="1">
        <v>67</v>
      </c>
      <c r="J1234" s="2">
        <v>4.2900000000000001E-2</v>
      </c>
      <c r="K1234">
        <f t="shared" si="57"/>
        <v>2.8742999999999999</v>
      </c>
      <c r="L1234">
        <f t="shared" si="58"/>
        <v>64.125699999999995</v>
      </c>
      <c r="M1234" t="str">
        <f t="shared" si="59"/>
        <v>Nov-2017</v>
      </c>
    </row>
    <row r="1235" spans="1:13" x14ac:dyDescent="0.3">
      <c r="A1235" t="s">
        <v>1790</v>
      </c>
      <c r="B1235" s="1" t="s">
        <v>134</v>
      </c>
      <c r="C1235" s="1" t="s">
        <v>92</v>
      </c>
      <c r="D1235" s="1" t="s">
        <v>35</v>
      </c>
      <c r="E1235" s="5">
        <v>42542</v>
      </c>
      <c r="F1235" s="3" t="s">
        <v>115</v>
      </c>
      <c r="G1235" s="1" t="s">
        <v>1135</v>
      </c>
      <c r="H1235" s="1">
        <v>250</v>
      </c>
      <c r="I1235" s="1">
        <v>240</v>
      </c>
      <c r="J1235" s="2">
        <v>0.04</v>
      </c>
      <c r="K1235">
        <f t="shared" si="57"/>
        <v>9.6</v>
      </c>
      <c r="L1235">
        <f t="shared" si="58"/>
        <v>230.4</v>
      </c>
      <c r="M1235" t="str">
        <f t="shared" si="59"/>
        <v>Jun-2016</v>
      </c>
    </row>
    <row r="1236" spans="1:13" x14ac:dyDescent="0.3">
      <c r="A1236" t="s">
        <v>1791</v>
      </c>
      <c r="B1236" s="1" t="s">
        <v>44</v>
      </c>
      <c r="C1236" s="1" t="s">
        <v>45</v>
      </c>
      <c r="D1236" s="1" t="s">
        <v>24</v>
      </c>
      <c r="E1236" s="5">
        <v>43270</v>
      </c>
      <c r="F1236" s="3" t="s">
        <v>36</v>
      </c>
      <c r="G1236" s="1" t="s">
        <v>1146</v>
      </c>
      <c r="H1236" s="1">
        <v>50</v>
      </c>
      <c r="I1236" s="1">
        <v>46</v>
      </c>
      <c r="J1236" s="2">
        <v>0.08</v>
      </c>
      <c r="K1236">
        <f t="shared" si="57"/>
        <v>3.68</v>
      </c>
      <c r="L1236">
        <f t="shared" si="58"/>
        <v>42.32</v>
      </c>
      <c r="M1236" t="str">
        <f t="shared" si="59"/>
        <v>Jun-2018</v>
      </c>
    </row>
    <row r="1237" spans="1:13" x14ac:dyDescent="0.3">
      <c r="A1237" t="s">
        <v>1792</v>
      </c>
      <c r="B1237" s="1" t="s">
        <v>150</v>
      </c>
      <c r="C1237" s="1" t="s">
        <v>151</v>
      </c>
      <c r="D1237" s="1" t="s">
        <v>13</v>
      </c>
      <c r="E1237" s="5">
        <v>43309</v>
      </c>
      <c r="F1237" s="3" t="s">
        <v>115</v>
      </c>
      <c r="G1237" s="1" t="s">
        <v>152</v>
      </c>
      <c r="H1237" s="1">
        <v>250</v>
      </c>
      <c r="I1237" s="1">
        <v>240</v>
      </c>
      <c r="J1237" s="2">
        <v>0.04</v>
      </c>
      <c r="K1237">
        <f t="shared" si="57"/>
        <v>9.6</v>
      </c>
      <c r="L1237">
        <f t="shared" si="58"/>
        <v>230.4</v>
      </c>
      <c r="M1237" t="str">
        <f t="shared" si="59"/>
        <v>Jul-2018</v>
      </c>
    </row>
    <row r="1238" spans="1:13" x14ac:dyDescent="0.3">
      <c r="A1238" t="s">
        <v>1793</v>
      </c>
      <c r="B1238" s="1" t="s">
        <v>205</v>
      </c>
      <c r="C1238" s="1" t="s">
        <v>206</v>
      </c>
      <c r="D1238" s="1" t="s">
        <v>24</v>
      </c>
      <c r="E1238" s="5">
        <v>41842</v>
      </c>
      <c r="F1238" s="3" t="s">
        <v>115</v>
      </c>
      <c r="G1238" s="1" t="s">
        <v>596</v>
      </c>
      <c r="H1238" s="1">
        <v>250</v>
      </c>
      <c r="I1238" s="1">
        <v>220</v>
      </c>
      <c r="J1238" s="2">
        <v>0.12</v>
      </c>
      <c r="K1238">
        <f t="shared" si="57"/>
        <v>26.4</v>
      </c>
      <c r="L1238">
        <f t="shared" si="58"/>
        <v>193.6</v>
      </c>
      <c r="M1238" t="str">
        <f t="shared" si="59"/>
        <v>Jul-2014</v>
      </c>
    </row>
    <row r="1239" spans="1:13" x14ac:dyDescent="0.3">
      <c r="A1239" t="s">
        <v>1794</v>
      </c>
      <c r="B1239" s="1" t="s">
        <v>81</v>
      </c>
      <c r="C1239" s="1" t="s">
        <v>82</v>
      </c>
      <c r="D1239" s="1" t="s">
        <v>13</v>
      </c>
      <c r="E1239" s="5">
        <v>42360</v>
      </c>
      <c r="F1239" s="3" t="s">
        <v>36</v>
      </c>
      <c r="G1239" s="1" t="s">
        <v>556</v>
      </c>
      <c r="H1239" s="1">
        <v>50</v>
      </c>
      <c r="I1239" s="1">
        <v>34</v>
      </c>
      <c r="J1239" s="2">
        <v>0.32</v>
      </c>
      <c r="K1239">
        <f t="shared" si="57"/>
        <v>10.88</v>
      </c>
      <c r="L1239">
        <f t="shared" si="58"/>
        <v>23.119999999999997</v>
      </c>
      <c r="M1239" t="str">
        <f t="shared" si="59"/>
        <v>Dec-2015</v>
      </c>
    </row>
    <row r="1240" spans="1:13" x14ac:dyDescent="0.3">
      <c r="A1240" t="s">
        <v>1795</v>
      </c>
      <c r="B1240" s="1" t="s">
        <v>22</v>
      </c>
      <c r="C1240" s="1" t="s">
        <v>23</v>
      </c>
      <c r="D1240" s="1" t="s">
        <v>24</v>
      </c>
      <c r="E1240" s="5">
        <v>43392</v>
      </c>
      <c r="F1240" s="3" t="s">
        <v>72</v>
      </c>
      <c r="G1240" s="1" t="s">
        <v>483</v>
      </c>
      <c r="H1240" s="1">
        <v>500</v>
      </c>
      <c r="I1240" s="1">
        <v>490</v>
      </c>
      <c r="J1240" s="2">
        <v>0.02</v>
      </c>
      <c r="K1240">
        <f t="shared" si="57"/>
        <v>9.8000000000000007</v>
      </c>
      <c r="L1240">
        <f t="shared" si="58"/>
        <v>480.2</v>
      </c>
      <c r="M1240" t="str">
        <f t="shared" si="59"/>
        <v>Oct-2018</v>
      </c>
    </row>
    <row r="1241" spans="1:13" x14ac:dyDescent="0.3">
      <c r="A1241" t="s">
        <v>1796</v>
      </c>
      <c r="B1241" s="1" t="s">
        <v>103</v>
      </c>
      <c r="C1241" s="1" t="s">
        <v>71</v>
      </c>
      <c r="D1241" s="1" t="s">
        <v>35</v>
      </c>
      <c r="E1241" s="5">
        <v>42936</v>
      </c>
      <c r="F1241" s="3" t="s">
        <v>55</v>
      </c>
      <c r="G1241" s="1" t="s">
        <v>497</v>
      </c>
      <c r="H1241" s="1">
        <v>800</v>
      </c>
      <c r="I1241" s="1">
        <v>608</v>
      </c>
      <c r="J1241" s="2">
        <v>0.24</v>
      </c>
      <c r="K1241">
        <f t="shared" si="57"/>
        <v>145.91999999999999</v>
      </c>
      <c r="L1241">
        <f t="shared" si="58"/>
        <v>462.08000000000004</v>
      </c>
      <c r="M1241" t="str">
        <f t="shared" si="59"/>
        <v>Jul-2017</v>
      </c>
    </row>
    <row r="1242" spans="1:13" x14ac:dyDescent="0.3">
      <c r="A1242" t="s">
        <v>1797</v>
      </c>
      <c r="B1242" s="1" t="s">
        <v>107</v>
      </c>
      <c r="C1242" s="1" t="s">
        <v>108</v>
      </c>
      <c r="D1242" s="1" t="s">
        <v>19</v>
      </c>
      <c r="E1242" s="5">
        <v>42944</v>
      </c>
      <c r="F1242" s="3" t="s">
        <v>41</v>
      </c>
      <c r="G1242" s="1" t="s">
        <v>817</v>
      </c>
      <c r="H1242" s="1">
        <v>30</v>
      </c>
      <c r="I1242" s="1">
        <v>29</v>
      </c>
      <c r="J1242" s="2">
        <v>3.3300000000000003E-2</v>
      </c>
      <c r="K1242">
        <f t="shared" si="57"/>
        <v>0.96570000000000011</v>
      </c>
      <c r="L1242">
        <f t="shared" si="58"/>
        <v>28.034299999999998</v>
      </c>
      <c r="M1242" t="str">
        <f t="shared" si="59"/>
        <v>Jul-2017</v>
      </c>
    </row>
    <row r="1243" spans="1:13" x14ac:dyDescent="0.3">
      <c r="A1243" t="s">
        <v>1798</v>
      </c>
      <c r="B1243" s="1" t="s">
        <v>17</v>
      </c>
      <c r="C1243" s="1" t="s">
        <v>18</v>
      </c>
      <c r="D1243" s="1" t="s">
        <v>19</v>
      </c>
      <c r="E1243" s="5">
        <v>42151</v>
      </c>
      <c r="F1243" s="3" t="s">
        <v>115</v>
      </c>
      <c r="G1243" s="1" t="s">
        <v>89</v>
      </c>
      <c r="H1243" s="1">
        <v>250</v>
      </c>
      <c r="I1243" s="1">
        <v>235</v>
      </c>
      <c r="J1243" s="2">
        <v>0.06</v>
      </c>
      <c r="K1243">
        <f t="shared" si="57"/>
        <v>14.1</v>
      </c>
      <c r="L1243">
        <f t="shared" si="58"/>
        <v>220.9</v>
      </c>
      <c r="M1243" t="str">
        <f t="shared" si="59"/>
        <v>May-2015</v>
      </c>
    </row>
    <row r="1244" spans="1:13" x14ac:dyDescent="0.3">
      <c r="A1244" t="s">
        <v>1799</v>
      </c>
      <c r="B1244" s="1" t="s">
        <v>174</v>
      </c>
      <c r="C1244" s="1" t="s">
        <v>175</v>
      </c>
      <c r="D1244" s="1" t="s">
        <v>13</v>
      </c>
      <c r="E1244" s="5">
        <v>41755</v>
      </c>
      <c r="F1244" s="3" t="s">
        <v>46</v>
      </c>
      <c r="G1244" s="1" t="s">
        <v>176</v>
      </c>
      <c r="H1244" s="1">
        <v>500</v>
      </c>
      <c r="I1244" s="1">
        <v>465</v>
      </c>
      <c r="J1244" s="2">
        <v>7.0000000000000007E-2</v>
      </c>
      <c r="K1244">
        <f t="shared" si="57"/>
        <v>32.550000000000004</v>
      </c>
      <c r="L1244">
        <f t="shared" si="58"/>
        <v>432.45</v>
      </c>
      <c r="M1244" t="str">
        <f t="shared" si="59"/>
        <v>Apr-2014</v>
      </c>
    </row>
    <row r="1245" spans="1:13" x14ac:dyDescent="0.3">
      <c r="A1245" t="s">
        <v>1800</v>
      </c>
      <c r="B1245" s="1" t="s">
        <v>227</v>
      </c>
      <c r="C1245" s="1" t="s">
        <v>228</v>
      </c>
      <c r="D1245" s="1" t="s">
        <v>24</v>
      </c>
      <c r="E1245" s="5">
        <v>42417</v>
      </c>
      <c r="F1245" s="3" t="s">
        <v>30</v>
      </c>
      <c r="G1245" s="1" t="s">
        <v>229</v>
      </c>
      <c r="H1245" s="1">
        <v>150</v>
      </c>
      <c r="I1245" s="1">
        <v>140</v>
      </c>
      <c r="J1245" s="2">
        <v>6.6699999999999995E-2</v>
      </c>
      <c r="K1245">
        <f t="shared" si="57"/>
        <v>9.3379999999999992</v>
      </c>
      <c r="L1245">
        <f t="shared" si="58"/>
        <v>130.66200000000001</v>
      </c>
      <c r="M1245" t="str">
        <f t="shared" si="59"/>
        <v>Feb-2016</v>
      </c>
    </row>
    <row r="1246" spans="1:13" x14ac:dyDescent="0.3">
      <c r="A1246" t="s">
        <v>1801</v>
      </c>
      <c r="B1246" s="1" t="s">
        <v>227</v>
      </c>
      <c r="C1246" s="1" t="s">
        <v>228</v>
      </c>
      <c r="D1246" s="1" t="s">
        <v>24</v>
      </c>
      <c r="E1246" s="5">
        <v>41965</v>
      </c>
      <c r="F1246" s="3" t="s">
        <v>25</v>
      </c>
      <c r="G1246" s="1" t="s">
        <v>1024</v>
      </c>
      <c r="H1246" s="1">
        <v>700</v>
      </c>
      <c r="I1246" s="1">
        <v>658</v>
      </c>
      <c r="J1246" s="2">
        <v>0.06</v>
      </c>
      <c r="K1246">
        <f t="shared" si="57"/>
        <v>39.479999999999997</v>
      </c>
      <c r="L1246">
        <f t="shared" si="58"/>
        <v>618.52</v>
      </c>
      <c r="M1246" t="str">
        <f t="shared" si="59"/>
        <v>Nov-2014</v>
      </c>
    </row>
    <row r="1247" spans="1:13" x14ac:dyDescent="0.3">
      <c r="A1247" t="s">
        <v>1802</v>
      </c>
      <c r="B1247" s="1" t="s">
        <v>22</v>
      </c>
      <c r="C1247" s="1" t="s">
        <v>23</v>
      </c>
      <c r="D1247" s="1" t="s">
        <v>24</v>
      </c>
      <c r="E1247" s="5">
        <v>41811</v>
      </c>
      <c r="F1247" s="3" t="s">
        <v>61</v>
      </c>
      <c r="G1247" s="1" t="s">
        <v>144</v>
      </c>
      <c r="H1247" s="1">
        <v>1000</v>
      </c>
      <c r="I1247" s="1">
        <v>600</v>
      </c>
      <c r="J1247" s="2">
        <v>0.4</v>
      </c>
      <c r="K1247">
        <f t="shared" si="57"/>
        <v>240</v>
      </c>
      <c r="L1247">
        <f t="shared" si="58"/>
        <v>360</v>
      </c>
      <c r="M1247" t="str">
        <f t="shared" si="59"/>
        <v>Jun-2014</v>
      </c>
    </row>
    <row r="1248" spans="1:13" x14ac:dyDescent="0.3">
      <c r="A1248" t="s">
        <v>1803</v>
      </c>
      <c r="B1248" s="1" t="s">
        <v>224</v>
      </c>
      <c r="C1248" s="1" t="s">
        <v>50</v>
      </c>
      <c r="D1248" s="1" t="s">
        <v>24</v>
      </c>
      <c r="E1248" s="5">
        <v>43034</v>
      </c>
      <c r="F1248" s="3" t="s">
        <v>122</v>
      </c>
      <c r="G1248" s="1" t="s">
        <v>1239</v>
      </c>
      <c r="H1248" s="1">
        <v>50</v>
      </c>
      <c r="I1248" s="1">
        <v>44</v>
      </c>
      <c r="J1248" s="2">
        <v>0.12</v>
      </c>
      <c r="K1248">
        <f t="shared" si="57"/>
        <v>5.2799999999999994</v>
      </c>
      <c r="L1248">
        <f t="shared" si="58"/>
        <v>38.72</v>
      </c>
      <c r="M1248" t="str">
        <f t="shared" si="59"/>
        <v>Oct-2017</v>
      </c>
    </row>
    <row r="1249" spans="1:13" x14ac:dyDescent="0.3">
      <c r="A1249" t="s">
        <v>1804</v>
      </c>
      <c r="B1249" s="1" t="s">
        <v>131</v>
      </c>
      <c r="C1249" s="1" t="s">
        <v>108</v>
      </c>
      <c r="D1249" s="1" t="s">
        <v>19</v>
      </c>
      <c r="E1249" s="5">
        <v>42421</v>
      </c>
      <c r="F1249" s="3" t="s">
        <v>55</v>
      </c>
      <c r="G1249" s="1" t="s">
        <v>546</v>
      </c>
      <c r="H1249" s="1">
        <v>800</v>
      </c>
      <c r="I1249" s="1">
        <v>544</v>
      </c>
      <c r="J1249" s="2">
        <v>0.32</v>
      </c>
      <c r="K1249">
        <f t="shared" si="57"/>
        <v>174.08</v>
      </c>
      <c r="L1249">
        <f t="shared" si="58"/>
        <v>369.91999999999996</v>
      </c>
      <c r="M1249" t="str">
        <f t="shared" si="59"/>
        <v>Feb-2016</v>
      </c>
    </row>
    <row r="1250" spans="1:13" x14ac:dyDescent="0.3">
      <c r="A1250" t="s">
        <v>1805</v>
      </c>
      <c r="B1250" s="1" t="s">
        <v>157</v>
      </c>
      <c r="C1250" s="1" t="s">
        <v>108</v>
      </c>
      <c r="D1250" s="1" t="s">
        <v>19</v>
      </c>
      <c r="E1250" s="5">
        <v>41880</v>
      </c>
      <c r="F1250" s="3" t="s">
        <v>104</v>
      </c>
      <c r="G1250" s="1" t="s">
        <v>981</v>
      </c>
      <c r="H1250" s="1">
        <v>70</v>
      </c>
      <c r="I1250" s="1">
        <v>68</v>
      </c>
      <c r="J1250" s="2">
        <v>2.86E-2</v>
      </c>
      <c r="K1250">
        <f t="shared" si="57"/>
        <v>1.9448000000000001</v>
      </c>
      <c r="L1250">
        <f t="shared" si="58"/>
        <v>66.055199999999999</v>
      </c>
      <c r="M1250" t="str">
        <f t="shared" si="59"/>
        <v>Aug-2014</v>
      </c>
    </row>
    <row r="1251" spans="1:13" x14ac:dyDescent="0.3">
      <c r="A1251" t="s">
        <v>1806</v>
      </c>
      <c r="B1251" s="1" t="s">
        <v>118</v>
      </c>
      <c r="C1251" s="1" t="s">
        <v>119</v>
      </c>
      <c r="D1251" s="1" t="s">
        <v>35</v>
      </c>
      <c r="E1251" s="5">
        <v>43424</v>
      </c>
      <c r="F1251" s="3" t="s">
        <v>36</v>
      </c>
      <c r="G1251" s="1" t="s">
        <v>540</v>
      </c>
      <c r="H1251" s="1">
        <v>50</v>
      </c>
      <c r="I1251" s="1">
        <v>50</v>
      </c>
      <c r="J1251" s="2">
        <v>0</v>
      </c>
      <c r="K1251">
        <f t="shared" si="57"/>
        <v>0</v>
      </c>
      <c r="L1251">
        <f t="shared" si="58"/>
        <v>50</v>
      </c>
      <c r="M1251" t="str">
        <f t="shared" si="59"/>
        <v>Nov-2018</v>
      </c>
    </row>
    <row r="1252" spans="1:13" x14ac:dyDescent="0.3">
      <c r="A1252" t="s">
        <v>1807</v>
      </c>
      <c r="B1252" s="1" t="s">
        <v>255</v>
      </c>
      <c r="C1252" s="1" t="s">
        <v>256</v>
      </c>
      <c r="D1252" s="1" t="s">
        <v>13</v>
      </c>
      <c r="E1252" s="5">
        <v>43233</v>
      </c>
      <c r="F1252" s="3" t="s">
        <v>30</v>
      </c>
      <c r="G1252" s="1" t="s">
        <v>1097</v>
      </c>
      <c r="H1252" s="1">
        <v>150</v>
      </c>
      <c r="I1252" s="1">
        <v>135</v>
      </c>
      <c r="J1252" s="2">
        <v>0.1</v>
      </c>
      <c r="K1252">
        <f t="shared" si="57"/>
        <v>13.5</v>
      </c>
      <c r="L1252">
        <f t="shared" si="58"/>
        <v>121.5</v>
      </c>
      <c r="M1252" t="str">
        <f t="shared" si="59"/>
        <v>May-2018</v>
      </c>
    </row>
    <row r="1253" spans="1:13" x14ac:dyDescent="0.3">
      <c r="A1253" t="s">
        <v>1808</v>
      </c>
      <c r="B1253" s="1" t="s">
        <v>53</v>
      </c>
      <c r="C1253" s="1" t="s">
        <v>54</v>
      </c>
      <c r="D1253" s="1" t="s">
        <v>13</v>
      </c>
      <c r="E1253" s="5">
        <v>42997</v>
      </c>
      <c r="F1253" s="3" t="s">
        <v>122</v>
      </c>
      <c r="G1253" s="1" t="s">
        <v>814</v>
      </c>
      <c r="H1253" s="1">
        <v>50</v>
      </c>
      <c r="I1253" s="1">
        <v>50</v>
      </c>
      <c r="J1253" s="2">
        <v>0</v>
      </c>
      <c r="K1253">
        <f t="shared" si="57"/>
        <v>0</v>
      </c>
      <c r="L1253">
        <f t="shared" si="58"/>
        <v>50</v>
      </c>
      <c r="M1253" t="str">
        <f t="shared" si="59"/>
        <v>Sep-2017</v>
      </c>
    </row>
    <row r="1254" spans="1:13" x14ac:dyDescent="0.3">
      <c r="A1254" t="s">
        <v>1809</v>
      </c>
      <c r="B1254" s="1" t="s">
        <v>70</v>
      </c>
      <c r="C1254" s="1" t="s">
        <v>71</v>
      </c>
      <c r="D1254" s="1" t="s">
        <v>35</v>
      </c>
      <c r="E1254" s="5">
        <v>43342</v>
      </c>
      <c r="F1254" s="3" t="s">
        <v>36</v>
      </c>
      <c r="G1254" s="1" t="s">
        <v>1810</v>
      </c>
      <c r="H1254" s="1">
        <v>50</v>
      </c>
      <c r="I1254" s="1">
        <v>33</v>
      </c>
      <c r="J1254" s="2">
        <v>0.34</v>
      </c>
      <c r="K1254">
        <f t="shared" si="57"/>
        <v>11.22</v>
      </c>
      <c r="L1254">
        <f t="shared" si="58"/>
        <v>21.78</v>
      </c>
      <c r="M1254" t="str">
        <f t="shared" si="59"/>
        <v>Aug-2018</v>
      </c>
    </row>
    <row r="1255" spans="1:13" x14ac:dyDescent="0.3">
      <c r="A1255" t="s">
        <v>1811</v>
      </c>
      <c r="B1255" s="1" t="s">
        <v>270</v>
      </c>
      <c r="C1255" s="1" t="s">
        <v>271</v>
      </c>
      <c r="D1255" s="1" t="s">
        <v>35</v>
      </c>
      <c r="E1255" s="5">
        <v>43209</v>
      </c>
      <c r="F1255" s="3" t="s">
        <v>36</v>
      </c>
      <c r="G1255" s="1" t="s">
        <v>713</v>
      </c>
      <c r="H1255" s="1">
        <v>50</v>
      </c>
      <c r="I1255" s="1">
        <v>46</v>
      </c>
      <c r="J1255" s="2">
        <v>0.08</v>
      </c>
      <c r="K1255">
        <f t="shared" si="57"/>
        <v>3.68</v>
      </c>
      <c r="L1255">
        <f t="shared" si="58"/>
        <v>42.32</v>
      </c>
      <c r="M1255" t="str">
        <f t="shared" si="59"/>
        <v>Apr-2018</v>
      </c>
    </row>
    <row r="1256" spans="1:13" x14ac:dyDescent="0.3">
      <c r="A1256" t="s">
        <v>1812</v>
      </c>
      <c r="B1256" s="1" t="s">
        <v>95</v>
      </c>
      <c r="C1256" s="1" t="s">
        <v>96</v>
      </c>
      <c r="D1256" s="1" t="s">
        <v>13</v>
      </c>
      <c r="E1256" s="5">
        <v>42673</v>
      </c>
      <c r="F1256" s="3" t="s">
        <v>46</v>
      </c>
      <c r="G1256" s="1" t="s">
        <v>180</v>
      </c>
      <c r="H1256" s="1">
        <v>500</v>
      </c>
      <c r="I1256" s="1">
        <v>370</v>
      </c>
      <c r="J1256" s="2">
        <v>0.26</v>
      </c>
      <c r="K1256">
        <f t="shared" si="57"/>
        <v>96.2</v>
      </c>
      <c r="L1256">
        <f t="shared" si="58"/>
        <v>273.8</v>
      </c>
      <c r="M1256" t="str">
        <f t="shared" si="59"/>
        <v>Oct-2016</v>
      </c>
    </row>
    <row r="1257" spans="1:13" x14ac:dyDescent="0.3">
      <c r="A1257" t="s">
        <v>1813</v>
      </c>
      <c r="B1257" s="1" t="s">
        <v>270</v>
      </c>
      <c r="C1257" s="1" t="s">
        <v>271</v>
      </c>
      <c r="D1257" s="1" t="s">
        <v>35</v>
      </c>
      <c r="E1257" s="5">
        <v>42301</v>
      </c>
      <c r="F1257" s="3" t="s">
        <v>25</v>
      </c>
      <c r="G1257" s="1" t="s">
        <v>809</v>
      </c>
      <c r="H1257" s="1">
        <v>700</v>
      </c>
      <c r="I1257" s="1">
        <v>448</v>
      </c>
      <c r="J1257" s="2">
        <v>0.36</v>
      </c>
      <c r="K1257">
        <f t="shared" si="57"/>
        <v>161.28</v>
      </c>
      <c r="L1257">
        <f t="shared" si="58"/>
        <v>286.72000000000003</v>
      </c>
      <c r="M1257" t="str">
        <f t="shared" si="59"/>
        <v>Oct-2015</v>
      </c>
    </row>
    <row r="1258" spans="1:13" x14ac:dyDescent="0.3">
      <c r="A1258" t="s">
        <v>1814</v>
      </c>
      <c r="B1258" s="1" t="s">
        <v>103</v>
      </c>
      <c r="C1258" s="1" t="s">
        <v>71</v>
      </c>
      <c r="D1258" s="1" t="s">
        <v>35</v>
      </c>
      <c r="E1258" s="5">
        <v>42426</v>
      </c>
      <c r="F1258" s="3" t="s">
        <v>36</v>
      </c>
      <c r="G1258" s="1" t="s">
        <v>1815</v>
      </c>
      <c r="H1258" s="1">
        <v>50</v>
      </c>
      <c r="I1258" s="1">
        <v>48</v>
      </c>
      <c r="J1258" s="2">
        <v>0.04</v>
      </c>
      <c r="K1258">
        <f t="shared" si="57"/>
        <v>1.92</v>
      </c>
      <c r="L1258">
        <f t="shared" si="58"/>
        <v>46.08</v>
      </c>
      <c r="M1258" t="str">
        <f t="shared" si="59"/>
        <v>Feb-2016</v>
      </c>
    </row>
    <row r="1259" spans="1:13" x14ac:dyDescent="0.3">
      <c r="A1259" t="s">
        <v>1816</v>
      </c>
      <c r="B1259" s="1" t="s">
        <v>205</v>
      </c>
      <c r="C1259" s="1" t="s">
        <v>206</v>
      </c>
      <c r="D1259" s="1" t="s">
        <v>24</v>
      </c>
      <c r="E1259" s="5">
        <v>43397</v>
      </c>
      <c r="F1259" s="3" t="s">
        <v>72</v>
      </c>
      <c r="G1259" s="1" t="s">
        <v>1478</v>
      </c>
      <c r="H1259" s="1">
        <v>500</v>
      </c>
      <c r="I1259" s="1">
        <v>490</v>
      </c>
      <c r="J1259" s="2">
        <v>0.02</v>
      </c>
      <c r="K1259">
        <f t="shared" si="57"/>
        <v>9.8000000000000007</v>
      </c>
      <c r="L1259">
        <f t="shared" si="58"/>
        <v>480.2</v>
      </c>
      <c r="M1259" t="str">
        <f t="shared" si="59"/>
        <v>Oct-2018</v>
      </c>
    </row>
    <row r="1260" spans="1:13" x14ac:dyDescent="0.3">
      <c r="A1260" t="s">
        <v>1817</v>
      </c>
      <c r="B1260" s="1" t="s">
        <v>11</v>
      </c>
      <c r="C1260" s="1" t="s">
        <v>12</v>
      </c>
      <c r="D1260" s="1" t="s">
        <v>13</v>
      </c>
      <c r="E1260" s="5">
        <v>43203</v>
      </c>
      <c r="F1260" s="3" t="s">
        <v>122</v>
      </c>
      <c r="G1260" s="1" t="s">
        <v>15</v>
      </c>
      <c r="H1260" s="1">
        <v>50</v>
      </c>
      <c r="I1260" s="1">
        <v>49</v>
      </c>
      <c r="J1260" s="2">
        <v>0.02</v>
      </c>
      <c r="K1260">
        <f t="shared" si="57"/>
        <v>0.98</v>
      </c>
      <c r="L1260">
        <f t="shared" si="58"/>
        <v>48.02</v>
      </c>
      <c r="M1260" t="str">
        <f t="shared" si="59"/>
        <v>Apr-2018</v>
      </c>
    </row>
    <row r="1261" spans="1:13" x14ac:dyDescent="0.3">
      <c r="A1261" t="s">
        <v>1818</v>
      </c>
      <c r="B1261" s="1" t="s">
        <v>118</v>
      </c>
      <c r="C1261" s="1" t="s">
        <v>119</v>
      </c>
      <c r="D1261" s="1" t="s">
        <v>35</v>
      </c>
      <c r="E1261" s="5">
        <v>41660</v>
      </c>
      <c r="F1261" s="3" t="s">
        <v>55</v>
      </c>
      <c r="G1261" s="1" t="s">
        <v>120</v>
      </c>
      <c r="H1261" s="1">
        <v>800</v>
      </c>
      <c r="I1261" s="1">
        <v>616</v>
      </c>
      <c r="J1261" s="2">
        <v>0.23</v>
      </c>
      <c r="K1261">
        <f t="shared" si="57"/>
        <v>141.68</v>
      </c>
      <c r="L1261">
        <f t="shared" si="58"/>
        <v>474.32</v>
      </c>
      <c r="M1261" t="str">
        <f t="shared" si="59"/>
        <v>Jan-2014</v>
      </c>
    </row>
    <row r="1262" spans="1:13" x14ac:dyDescent="0.3">
      <c r="A1262" t="s">
        <v>1819</v>
      </c>
      <c r="B1262" s="1" t="s">
        <v>44</v>
      </c>
      <c r="C1262" s="1" t="s">
        <v>45</v>
      </c>
      <c r="D1262" s="1" t="s">
        <v>24</v>
      </c>
      <c r="E1262" s="5">
        <v>42507</v>
      </c>
      <c r="F1262" s="3" t="s">
        <v>36</v>
      </c>
      <c r="G1262" s="1" t="s">
        <v>47</v>
      </c>
      <c r="H1262" s="1">
        <v>50</v>
      </c>
      <c r="I1262" s="1">
        <v>46</v>
      </c>
      <c r="J1262" s="2">
        <v>0.08</v>
      </c>
      <c r="K1262">
        <f t="shared" si="57"/>
        <v>3.68</v>
      </c>
      <c r="L1262">
        <f t="shared" si="58"/>
        <v>42.32</v>
      </c>
      <c r="M1262" t="str">
        <f t="shared" si="59"/>
        <v>May-2016</v>
      </c>
    </row>
    <row r="1263" spans="1:13" x14ac:dyDescent="0.3">
      <c r="A1263" t="s">
        <v>1820</v>
      </c>
      <c r="B1263" s="1" t="s">
        <v>157</v>
      </c>
      <c r="C1263" s="1" t="s">
        <v>108</v>
      </c>
      <c r="D1263" s="1" t="s">
        <v>19</v>
      </c>
      <c r="E1263" s="5">
        <v>42634</v>
      </c>
      <c r="F1263" s="3" t="s">
        <v>14</v>
      </c>
      <c r="G1263" s="1" t="s">
        <v>925</v>
      </c>
      <c r="H1263" s="1">
        <v>80</v>
      </c>
      <c r="I1263" s="1">
        <v>70</v>
      </c>
      <c r="J1263" s="2">
        <v>0.125</v>
      </c>
      <c r="K1263">
        <f t="shared" si="57"/>
        <v>8.75</v>
      </c>
      <c r="L1263">
        <f t="shared" si="58"/>
        <v>61.25</v>
      </c>
      <c r="M1263" t="str">
        <f t="shared" si="59"/>
        <v>Sep-2016</v>
      </c>
    </row>
    <row r="1264" spans="1:13" x14ac:dyDescent="0.3">
      <c r="A1264" t="s">
        <v>1821</v>
      </c>
      <c r="B1264" s="1" t="s">
        <v>85</v>
      </c>
      <c r="C1264" s="1" t="s">
        <v>86</v>
      </c>
      <c r="D1264" s="1" t="s">
        <v>13</v>
      </c>
      <c r="E1264" s="5">
        <v>42875</v>
      </c>
      <c r="F1264" s="3" t="s">
        <v>46</v>
      </c>
      <c r="G1264" s="1" t="s">
        <v>1822</v>
      </c>
      <c r="H1264" s="1">
        <v>500</v>
      </c>
      <c r="I1264" s="1">
        <v>490</v>
      </c>
      <c r="J1264" s="2">
        <v>0.02</v>
      </c>
      <c r="K1264">
        <f t="shared" si="57"/>
        <v>9.8000000000000007</v>
      </c>
      <c r="L1264">
        <f t="shared" si="58"/>
        <v>480.2</v>
      </c>
      <c r="M1264" t="str">
        <f t="shared" si="59"/>
        <v>May-2017</v>
      </c>
    </row>
    <row r="1265" spans="1:13" x14ac:dyDescent="0.3">
      <c r="A1265" t="s">
        <v>1823</v>
      </c>
      <c r="B1265" s="1" t="s">
        <v>85</v>
      </c>
      <c r="C1265" s="1" t="s">
        <v>86</v>
      </c>
      <c r="D1265" s="1" t="s">
        <v>13</v>
      </c>
      <c r="E1265" s="5">
        <v>43450</v>
      </c>
      <c r="F1265" s="3" t="s">
        <v>115</v>
      </c>
      <c r="G1265" s="1" t="s">
        <v>516</v>
      </c>
      <c r="H1265" s="1">
        <v>250</v>
      </c>
      <c r="I1265" s="1">
        <v>190</v>
      </c>
      <c r="J1265" s="2">
        <v>0.24</v>
      </c>
      <c r="K1265">
        <f t="shared" si="57"/>
        <v>45.6</v>
      </c>
      <c r="L1265">
        <f t="shared" si="58"/>
        <v>144.4</v>
      </c>
      <c r="M1265" t="str">
        <f t="shared" si="59"/>
        <v>Dec-2018</v>
      </c>
    </row>
    <row r="1266" spans="1:13" x14ac:dyDescent="0.3">
      <c r="A1266" t="s">
        <v>1824</v>
      </c>
      <c r="B1266" s="1" t="s">
        <v>99</v>
      </c>
      <c r="C1266" s="1" t="s">
        <v>100</v>
      </c>
      <c r="D1266" s="1" t="s">
        <v>13</v>
      </c>
      <c r="E1266" s="5">
        <v>42054</v>
      </c>
      <c r="F1266" s="3" t="s">
        <v>14</v>
      </c>
      <c r="G1266" s="1" t="s">
        <v>1825</v>
      </c>
      <c r="H1266" s="1">
        <v>80</v>
      </c>
      <c r="I1266" s="1">
        <v>68</v>
      </c>
      <c r="J1266" s="2">
        <v>0.15</v>
      </c>
      <c r="K1266">
        <f t="shared" si="57"/>
        <v>10.199999999999999</v>
      </c>
      <c r="L1266">
        <f t="shared" si="58"/>
        <v>57.8</v>
      </c>
      <c r="M1266" t="str">
        <f t="shared" si="59"/>
        <v>Feb-2015</v>
      </c>
    </row>
    <row r="1267" spans="1:13" x14ac:dyDescent="0.3">
      <c r="A1267" t="s">
        <v>1826</v>
      </c>
      <c r="B1267" s="1" t="s">
        <v>270</v>
      </c>
      <c r="C1267" s="1" t="s">
        <v>271</v>
      </c>
      <c r="D1267" s="1" t="s">
        <v>35</v>
      </c>
      <c r="E1267" s="5">
        <v>41926</v>
      </c>
      <c r="F1267" s="3" t="s">
        <v>36</v>
      </c>
      <c r="G1267" s="1" t="s">
        <v>1827</v>
      </c>
      <c r="H1267" s="1">
        <v>50</v>
      </c>
      <c r="I1267" s="1">
        <v>46</v>
      </c>
      <c r="J1267" s="2">
        <v>0.08</v>
      </c>
      <c r="K1267">
        <f t="shared" si="57"/>
        <v>3.68</v>
      </c>
      <c r="L1267">
        <f t="shared" si="58"/>
        <v>42.32</v>
      </c>
      <c r="M1267" t="str">
        <f t="shared" si="59"/>
        <v>Oct-2014</v>
      </c>
    </row>
    <row r="1268" spans="1:13" x14ac:dyDescent="0.3">
      <c r="A1268" t="s">
        <v>1828</v>
      </c>
      <c r="B1268" s="1" t="s">
        <v>255</v>
      </c>
      <c r="C1268" s="1" t="s">
        <v>256</v>
      </c>
      <c r="D1268" s="1" t="s">
        <v>13</v>
      </c>
      <c r="E1268" s="5">
        <v>41965</v>
      </c>
      <c r="F1268" s="3" t="s">
        <v>25</v>
      </c>
      <c r="G1268" s="1" t="s">
        <v>1829</v>
      </c>
      <c r="H1268" s="1">
        <v>700</v>
      </c>
      <c r="I1268" s="1">
        <v>574</v>
      </c>
      <c r="J1268" s="2">
        <v>0.18</v>
      </c>
      <c r="K1268">
        <f t="shared" si="57"/>
        <v>103.32</v>
      </c>
      <c r="L1268">
        <f t="shared" si="58"/>
        <v>470.68</v>
      </c>
      <c r="M1268" t="str">
        <f t="shared" si="59"/>
        <v>Nov-2014</v>
      </c>
    </row>
    <row r="1269" spans="1:13" x14ac:dyDescent="0.3">
      <c r="A1269" t="s">
        <v>1830</v>
      </c>
      <c r="B1269" s="1" t="s">
        <v>270</v>
      </c>
      <c r="C1269" s="1" t="s">
        <v>271</v>
      </c>
      <c r="D1269" s="1" t="s">
        <v>35</v>
      </c>
      <c r="E1269" s="5">
        <v>43274</v>
      </c>
      <c r="F1269" s="3" t="s">
        <v>14</v>
      </c>
      <c r="G1269" s="1" t="s">
        <v>713</v>
      </c>
      <c r="H1269" s="1">
        <v>80</v>
      </c>
      <c r="I1269" s="1">
        <v>74</v>
      </c>
      <c r="J1269" s="2">
        <v>7.4999999999999997E-2</v>
      </c>
      <c r="K1269">
        <f t="shared" si="57"/>
        <v>5.55</v>
      </c>
      <c r="L1269">
        <f t="shared" si="58"/>
        <v>68.45</v>
      </c>
      <c r="M1269" t="str">
        <f t="shared" si="59"/>
        <v>Jun-2018</v>
      </c>
    </row>
    <row r="1270" spans="1:13" x14ac:dyDescent="0.3">
      <c r="A1270" t="s">
        <v>1831</v>
      </c>
      <c r="B1270" s="1" t="s">
        <v>49</v>
      </c>
      <c r="C1270" s="1" t="s">
        <v>50</v>
      </c>
      <c r="D1270" s="1" t="s">
        <v>24</v>
      </c>
      <c r="E1270" s="5">
        <v>41808</v>
      </c>
      <c r="F1270" s="3" t="s">
        <v>122</v>
      </c>
      <c r="G1270" s="1" t="s">
        <v>378</v>
      </c>
      <c r="H1270" s="1">
        <v>50</v>
      </c>
      <c r="I1270" s="1">
        <v>44</v>
      </c>
      <c r="J1270" s="2">
        <v>0.12</v>
      </c>
      <c r="K1270">
        <f t="shared" si="57"/>
        <v>5.2799999999999994</v>
      </c>
      <c r="L1270">
        <f t="shared" si="58"/>
        <v>38.72</v>
      </c>
      <c r="M1270" t="str">
        <f t="shared" si="59"/>
        <v>Jun-2014</v>
      </c>
    </row>
    <row r="1271" spans="1:13" x14ac:dyDescent="0.3">
      <c r="A1271" t="s">
        <v>1832</v>
      </c>
      <c r="B1271" s="1" t="s">
        <v>118</v>
      </c>
      <c r="C1271" s="1" t="s">
        <v>119</v>
      </c>
      <c r="D1271" s="1" t="s">
        <v>35</v>
      </c>
      <c r="E1271" s="5">
        <v>41843</v>
      </c>
      <c r="F1271" s="3" t="s">
        <v>41</v>
      </c>
      <c r="G1271" s="1" t="s">
        <v>120</v>
      </c>
      <c r="H1271" s="1">
        <v>30</v>
      </c>
      <c r="I1271" s="1">
        <v>30</v>
      </c>
      <c r="J1271" s="2">
        <v>0</v>
      </c>
      <c r="K1271">
        <f t="shared" si="57"/>
        <v>0</v>
      </c>
      <c r="L1271">
        <f t="shared" si="58"/>
        <v>30</v>
      </c>
      <c r="M1271" t="str">
        <f t="shared" si="59"/>
        <v>Jul-2014</v>
      </c>
    </row>
    <row r="1272" spans="1:13" x14ac:dyDescent="0.3">
      <c r="A1272" t="s">
        <v>1833</v>
      </c>
      <c r="B1272" s="1" t="s">
        <v>95</v>
      </c>
      <c r="C1272" s="1" t="s">
        <v>96</v>
      </c>
      <c r="D1272" s="1" t="s">
        <v>13</v>
      </c>
      <c r="E1272" s="5">
        <v>42934</v>
      </c>
      <c r="F1272" s="3" t="s">
        <v>72</v>
      </c>
      <c r="G1272" s="1" t="s">
        <v>1408</v>
      </c>
      <c r="H1272" s="1">
        <v>500</v>
      </c>
      <c r="I1272" s="1">
        <v>500</v>
      </c>
      <c r="J1272" s="2">
        <v>0</v>
      </c>
      <c r="K1272">
        <f t="shared" si="57"/>
        <v>0</v>
      </c>
      <c r="L1272">
        <f t="shared" si="58"/>
        <v>500</v>
      </c>
      <c r="M1272" t="str">
        <f t="shared" si="59"/>
        <v>Jul-2017</v>
      </c>
    </row>
    <row r="1273" spans="1:13" x14ac:dyDescent="0.3">
      <c r="A1273" t="s">
        <v>1834</v>
      </c>
      <c r="B1273" s="1" t="s">
        <v>157</v>
      </c>
      <c r="C1273" s="1" t="s">
        <v>108</v>
      </c>
      <c r="D1273" s="1" t="s">
        <v>19</v>
      </c>
      <c r="E1273" s="5">
        <v>42211</v>
      </c>
      <c r="F1273" s="3" t="s">
        <v>36</v>
      </c>
      <c r="G1273" s="1" t="s">
        <v>1286</v>
      </c>
      <c r="H1273" s="1">
        <v>50</v>
      </c>
      <c r="I1273" s="1">
        <v>47</v>
      </c>
      <c r="J1273" s="2">
        <v>0.06</v>
      </c>
      <c r="K1273">
        <f t="shared" si="57"/>
        <v>2.82</v>
      </c>
      <c r="L1273">
        <f t="shared" si="58"/>
        <v>44.18</v>
      </c>
      <c r="M1273" t="str">
        <f t="shared" si="59"/>
        <v>Jul-2015</v>
      </c>
    </row>
    <row r="1274" spans="1:13" x14ac:dyDescent="0.3">
      <c r="A1274" t="s">
        <v>1835</v>
      </c>
      <c r="B1274" s="1" t="s">
        <v>81</v>
      </c>
      <c r="C1274" s="1" t="s">
        <v>82</v>
      </c>
      <c r="D1274" s="1" t="s">
        <v>13</v>
      </c>
      <c r="E1274" s="5">
        <v>42272</v>
      </c>
      <c r="F1274" s="3" t="s">
        <v>36</v>
      </c>
      <c r="G1274" s="1" t="s">
        <v>282</v>
      </c>
      <c r="H1274" s="1">
        <v>50</v>
      </c>
      <c r="I1274" s="1">
        <v>46</v>
      </c>
      <c r="J1274" s="2">
        <v>0.08</v>
      </c>
      <c r="K1274">
        <f t="shared" si="57"/>
        <v>3.68</v>
      </c>
      <c r="L1274">
        <f t="shared" si="58"/>
        <v>42.32</v>
      </c>
      <c r="M1274" t="str">
        <f t="shared" si="59"/>
        <v>Sep-2015</v>
      </c>
    </row>
    <row r="1275" spans="1:13" x14ac:dyDescent="0.3">
      <c r="A1275" t="s">
        <v>1836</v>
      </c>
      <c r="B1275" s="1" t="s">
        <v>131</v>
      </c>
      <c r="C1275" s="1" t="s">
        <v>108</v>
      </c>
      <c r="D1275" s="1" t="s">
        <v>19</v>
      </c>
      <c r="E1275" s="5">
        <v>42416</v>
      </c>
      <c r="F1275" s="3" t="s">
        <v>36</v>
      </c>
      <c r="G1275" s="1" t="s">
        <v>688</v>
      </c>
      <c r="H1275" s="1">
        <v>50</v>
      </c>
      <c r="I1275" s="1">
        <v>44</v>
      </c>
      <c r="J1275" s="2">
        <v>0.12</v>
      </c>
      <c r="K1275">
        <f t="shared" si="57"/>
        <v>5.2799999999999994</v>
      </c>
      <c r="L1275">
        <f t="shared" si="58"/>
        <v>38.72</v>
      </c>
      <c r="M1275" t="str">
        <f t="shared" si="59"/>
        <v>Feb-2016</v>
      </c>
    </row>
    <row r="1276" spans="1:13" x14ac:dyDescent="0.3">
      <c r="A1276" t="s">
        <v>1837</v>
      </c>
      <c r="B1276" s="1" t="s">
        <v>22</v>
      </c>
      <c r="C1276" s="1" t="s">
        <v>23</v>
      </c>
      <c r="D1276" s="1" t="s">
        <v>24</v>
      </c>
      <c r="E1276" s="5">
        <v>41939</v>
      </c>
      <c r="F1276" s="3" t="s">
        <v>46</v>
      </c>
      <c r="G1276" s="1" t="s">
        <v>624</v>
      </c>
      <c r="H1276" s="1">
        <v>500</v>
      </c>
      <c r="I1276" s="1">
        <v>355</v>
      </c>
      <c r="J1276" s="2">
        <v>0.28999999999999998</v>
      </c>
      <c r="K1276">
        <f t="shared" si="57"/>
        <v>102.94999999999999</v>
      </c>
      <c r="L1276">
        <f t="shared" si="58"/>
        <v>252.05</v>
      </c>
      <c r="M1276" t="str">
        <f t="shared" si="59"/>
        <v>Oct-2014</v>
      </c>
    </row>
    <row r="1277" spans="1:13" x14ac:dyDescent="0.3">
      <c r="A1277" t="s">
        <v>1838</v>
      </c>
      <c r="B1277" s="1" t="s">
        <v>131</v>
      </c>
      <c r="C1277" s="1" t="s">
        <v>108</v>
      </c>
      <c r="D1277" s="1" t="s">
        <v>19</v>
      </c>
      <c r="E1277" s="5">
        <v>43360</v>
      </c>
      <c r="F1277" s="3" t="s">
        <v>46</v>
      </c>
      <c r="G1277" s="1" t="s">
        <v>212</v>
      </c>
      <c r="H1277" s="1">
        <v>500</v>
      </c>
      <c r="I1277" s="1">
        <v>495</v>
      </c>
      <c r="J1277" s="2">
        <v>0.01</v>
      </c>
      <c r="K1277">
        <f t="shared" si="57"/>
        <v>4.95</v>
      </c>
      <c r="L1277">
        <f t="shared" si="58"/>
        <v>490.05</v>
      </c>
      <c r="M1277" t="str">
        <f t="shared" si="59"/>
        <v>Sep-2018</v>
      </c>
    </row>
    <row r="1278" spans="1:13" x14ac:dyDescent="0.3">
      <c r="A1278" t="s">
        <v>1839</v>
      </c>
      <c r="B1278" s="1" t="s">
        <v>227</v>
      </c>
      <c r="C1278" s="1" t="s">
        <v>228</v>
      </c>
      <c r="D1278" s="1" t="s">
        <v>24</v>
      </c>
      <c r="E1278" s="5">
        <v>42596</v>
      </c>
      <c r="F1278" s="3" t="s">
        <v>14</v>
      </c>
      <c r="G1278" s="1" t="s">
        <v>836</v>
      </c>
      <c r="H1278" s="1">
        <v>80</v>
      </c>
      <c r="I1278" s="1">
        <v>61</v>
      </c>
      <c r="J1278" s="2">
        <v>0.23749999999999999</v>
      </c>
      <c r="K1278">
        <f t="shared" si="57"/>
        <v>14.487499999999999</v>
      </c>
      <c r="L1278">
        <f t="shared" si="58"/>
        <v>46.512500000000003</v>
      </c>
      <c r="M1278" t="str">
        <f t="shared" si="59"/>
        <v>Aug-2016</v>
      </c>
    </row>
    <row r="1279" spans="1:13" x14ac:dyDescent="0.3">
      <c r="A1279" t="s">
        <v>1840</v>
      </c>
      <c r="B1279" s="1" t="s">
        <v>95</v>
      </c>
      <c r="C1279" s="1" t="s">
        <v>96</v>
      </c>
      <c r="D1279" s="1" t="s">
        <v>13</v>
      </c>
      <c r="E1279" s="5">
        <v>42231</v>
      </c>
      <c r="F1279" s="3" t="s">
        <v>72</v>
      </c>
      <c r="G1279" s="1" t="s">
        <v>216</v>
      </c>
      <c r="H1279" s="1">
        <v>500</v>
      </c>
      <c r="I1279" s="1">
        <v>495</v>
      </c>
      <c r="J1279" s="2">
        <v>0.01</v>
      </c>
      <c r="K1279">
        <f t="shared" si="57"/>
        <v>4.95</v>
      </c>
      <c r="L1279">
        <f t="shared" si="58"/>
        <v>490.05</v>
      </c>
      <c r="M1279" t="str">
        <f t="shared" si="59"/>
        <v>Aug-2015</v>
      </c>
    </row>
    <row r="1280" spans="1:13" x14ac:dyDescent="0.3">
      <c r="A1280" t="s">
        <v>1841</v>
      </c>
      <c r="B1280" s="1" t="s">
        <v>59</v>
      </c>
      <c r="C1280" s="1" t="s">
        <v>60</v>
      </c>
      <c r="D1280" s="1" t="s">
        <v>13</v>
      </c>
      <c r="E1280" s="5">
        <v>42203</v>
      </c>
      <c r="F1280" s="3" t="s">
        <v>122</v>
      </c>
      <c r="G1280" s="1" t="s">
        <v>1842</v>
      </c>
      <c r="H1280" s="1">
        <v>50</v>
      </c>
      <c r="I1280" s="1">
        <v>48</v>
      </c>
      <c r="J1280" s="2">
        <v>0.04</v>
      </c>
      <c r="K1280">
        <f t="shared" si="57"/>
        <v>1.92</v>
      </c>
      <c r="L1280">
        <f t="shared" si="58"/>
        <v>46.08</v>
      </c>
      <c r="M1280" t="str">
        <f t="shared" si="59"/>
        <v>Jul-2015</v>
      </c>
    </row>
    <row r="1281" spans="1:13" x14ac:dyDescent="0.3">
      <c r="A1281" t="s">
        <v>1843</v>
      </c>
      <c r="B1281" s="1" t="s">
        <v>174</v>
      </c>
      <c r="C1281" s="1" t="s">
        <v>175</v>
      </c>
      <c r="D1281" s="1" t="s">
        <v>13</v>
      </c>
      <c r="E1281" s="5">
        <v>42083</v>
      </c>
      <c r="F1281" s="3" t="s">
        <v>55</v>
      </c>
      <c r="G1281" s="1" t="s">
        <v>607</v>
      </c>
      <c r="H1281" s="1">
        <v>800</v>
      </c>
      <c r="I1281" s="1">
        <v>520</v>
      </c>
      <c r="J1281" s="2">
        <v>0.35</v>
      </c>
      <c r="K1281">
        <f t="shared" si="57"/>
        <v>182</v>
      </c>
      <c r="L1281">
        <f t="shared" si="58"/>
        <v>338</v>
      </c>
      <c r="M1281" t="str">
        <f t="shared" si="59"/>
        <v>Mar-2015</v>
      </c>
    </row>
    <row r="1282" spans="1:13" x14ac:dyDescent="0.3">
      <c r="A1282" t="s">
        <v>1844</v>
      </c>
      <c r="B1282" s="1" t="s">
        <v>270</v>
      </c>
      <c r="C1282" s="1" t="s">
        <v>271</v>
      </c>
      <c r="D1282" s="1" t="s">
        <v>35</v>
      </c>
      <c r="E1282" s="5">
        <v>43464</v>
      </c>
      <c r="F1282" s="3" t="s">
        <v>72</v>
      </c>
      <c r="G1282" s="1" t="s">
        <v>566</v>
      </c>
      <c r="H1282" s="1">
        <v>500</v>
      </c>
      <c r="I1282" s="1">
        <v>490</v>
      </c>
      <c r="J1282" s="2">
        <v>0.02</v>
      </c>
      <c r="K1282">
        <f t="shared" si="57"/>
        <v>9.8000000000000007</v>
      </c>
      <c r="L1282">
        <f t="shared" si="58"/>
        <v>480.2</v>
      </c>
      <c r="M1282" t="str">
        <f t="shared" si="59"/>
        <v>Dec-2018</v>
      </c>
    </row>
    <row r="1283" spans="1:13" x14ac:dyDescent="0.3">
      <c r="A1283" t="s">
        <v>1845</v>
      </c>
      <c r="B1283" s="1" t="s">
        <v>49</v>
      </c>
      <c r="C1283" s="1" t="s">
        <v>50</v>
      </c>
      <c r="D1283" s="1" t="s">
        <v>24</v>
      </c>
      <c r="E1283" s="5">
        <v>42455</v>
      </c>
      <c r="F1283" s="3" t="s">
        <v>25</v>
      </c>
      <c r="G1283" s="1" t="s">
        <v>51</v>
      </c>
      <c r="H1283" s="1">
        <v>700</v>
      </c>
      <c r="I1283" s="1">
        <v>637</v>
      </c>
      <c r="J1283" s="2">
        <v>0.09</v>
      </c>
      <c r="K1283">
        <f t="shared" si="57"/>
        <v>57.33</v>
      </c>
      <c r="L1283">
        <f t="shared" si="58"/>
        <v>579.66999999999996</v>
      </c>
      <c r="M1283" t="str">
        <f t="shared" si="59"/>
        <v>Mar-2016</v>
      </c>
    </row>
    <row r="1284" spans="1:13" x14ac:dyDescent="0.3">
      <c r="A1284" t="s">
        <v>1846</v>
      </c>
      <c r="B1284" s="1" t="s">
        <v>255</v>
      </c>
      <c r="C1284" s="1" t="s">
        <v>256</v>
      </c>
      <c r="D1284" s="1" t="s">
        <v>13</v>
      </c>
      <c r="E1284" s="5">
        <v>41661</v>
      </c>
      <c r="F1284" s="3" t="s">
        <v>115</v>
      </c>
      <c r="G1284" s="1" t="s">
        <v>1341</v>
      </c>
      <c r="H1284" s="1">
        <v>250</v>
      </c>
      <c r="I1284" s="1">
        <v>203</v>
      </c>
      <c r="J1284" s="2">
        <v>0.188</v>
      </c>
      <c r="K1284">
        <f t="shared" ref="K1284:K1347" si="60">I1284*J1284</f>
        <v>38.164000000000001</v>
      </c>
      <c r="L1284">
        <f t="shared" ref="L1284:L1347" si="61">I1284-K1284</f>
        <v>164.83600000000001</v>
      </c>
      <c r="M1284" t="str">
        <f t="shared" ref="M1284:M1347" si="62">TEXT(E1284, "mmm-yyyy")</f>
        <v>Jan-2014</v>
      </c>
    </row>
    <row r="1285" spans="1:13" x14ac:dyDescent="0.3">
      <c r="A1285" t="s">
        <v>1847</v>
      </c>
      <c r="B1285" s="1" t="s">
        <v>81</v>
      </c>
      <c r="C1285" s="1" t="s">
        <v>82</v>
      </c>
      <c r="D1285" s="1" t="s">
        <v>13</v>
      </c>
      <c r="E1285" s="5">
        <v>42606</v>
      </c>
      <c r="F1285" s="3" t="s">
        <v>46</v>
      </c>
      <c r="G1285" s="1" t="s">
        <v>83</v>
      </c>
      <c r="H1285" s="1">
        <v>500</v>
      </c>
      <c r="I1285" s="1">
        <v>500</v>
      </c>
      <c r="J1285" s="2">
        <v>0</v>
      </c>
      <c r="K1285">
        <f t="shared" si="60"/>
        <v>0</v>
      </c>
      <c r="L1285">
        <f t="shared" si="61"/>
        <v>500</v>
      </c>
      <c r="M1285" t="str">
        <f t="shared" si="62"/>
        <v>Aug-2016</v>
      </c>
    </row>
    <row r="1286" spans="1:13" x14ac:dyDescent="0.3">
      <c r="A1286" t="s">
        <v>1848</v>
      </c>
      <c r="B1286" s="1" t="s">
        <v>150</v>
      </c>
      <c r="C1286" s="1" t="s">
        <v>151</v>
      </c>
      <c r="D1286" s="1" t="s">
        <v>13</v>
      </c>
      <c r="E1286" s="5">
        <v>41788</v>
      </c>
      <c r="F1286" s="3" t="s">
        <v>41</v>
      </c>
      <c r="G1286" s="1" t="s">
        <v>409</v>
      </c>
      <c r="H1286" s="1">
        <v>30</v>
      </c>
      <c r="I1286" s="1">
        <v>20</v>
      </c>
      <c r="J1286" s="2">
        <v>0.33329999999999999</v>
      </c>
      <c r="K1286">
        <f t="shared" si="60"/>
        <v>6.6659999999999995</v>
      </c>
      <c r="L1286">
        <f t="shared" si="61"/>
        <v>13.334</v>
      </c>
      <c r="M1286" t="str">
        <f t="shared" si="62"/>
        <v>May-2014</v>
      </c>
    </row>
    <row r="1287" spans="1:13" x14ac:dyDescent="0.3">
      <c r="A1287" t="s">
        <v>1849</v>
      </c>
      <c r="B1287" s="1" t="s">
        <v>107</v>
      </c>
      <c r="C1287" s="1" t="s">
        <v>108</v>
      </c>
      <c r="D1287" s="1" t="s">
        <v>19</v>
      </c>
      <c r="E1287" s="5">
        <v>42969</v>
      </c>
      <c r="F1287" s="3" t="s">
        <v>72</v>
      </c>
      <c r="G1287" s="1" t="s">
        <v>946</v>
      </c>
      <c r="H1287" s="1">
        <v>500</v>
      </c>
      <c r="I1287" s="1">
        <v>500</v>
      </c>
      <c r="J1287" s="2">
        <v>0</v>
      </c>
      <c r="K1287">
        <f t="shared" si="60"/>
        <v>0</v>
      </c>
      <c r="L1287">
        <f t="shared" si="61"/>
        <v>500</v>
      </c>
      <c r="M1287" t="str">
        <f t="shared" si="62"/>
        <v>Aug-2017</v>
      </c>
    </row>
    <row r="1288" spans="1:13" x14ac:dyDescent="0.3">
      <c r="A1288" t="s">
        <v>1850</v>
      </c>
      <c r="B1288" s="1" t="s">
        <v>124</v>
      </c>
      <c r="C1288" s="1" t="s">
        <v>40</v>
      </c>
      <c r="D1288" s="1" t="s">
        <v>35</v>
      </c>
      <c r="E1288" s="5">
        <v>42998</v>
      </c>
      <c r="F1288" s="3" t="s">
        <v>61</v>
      </c>
      <c r="G1288" s="1" t="s">
        <v>916</v>
      </c>
      <c r="H1288" s="1">
        <v>1000</v>
      </c>
      <c r="I1288" s="1">
        <v>910</v>
      </c>
      <c r="J1288" s="2">
        <v>0.09</v>
      </c>
      <c r="K1288">
        <f t="shared" si="60"/>
        <v>81.899999999999991</v>
      </c>
      <c r="L1288">
        <f t="shared" si="61"/>
        <v>828.1</v>
      </c>
      <c r="M1288" t="str">
        <f t="shared" si="62"/>
        <v>Sep-2017</v>
      </c>
    </row>
    <row r="1289" spans="1:13" x14ac:dyDescent="0.3">
      <c r="A1289" t="s">
        <v>1851</v>
      </c>
      <c r="B1289" s="1" t="s">
        <v>170</v>
      </c>
      <c r="C1289" s="1" t="s">
        <v>171</v>
      </c>
      <c r="D1289" s="1" t="s">
        <v>13</v>
      </c>
      <c r="E1289" s="5">
        <v>43182</v>
      </c>
      <c r="F1289" s="3" t="s">
        <v>61</v>
      </c>
      <c r="G1289" s="1" t="s">
        <v>411</v>
      </c>
      <c r="H1289" s="1">
        <v>1000</v>
      </c>
      <c r="I1289" s="1">
        <v>960</v>
      </c>
      <c r="J1289" s="2">
        <v>0.04</v>
      </c>
      <c r="K1289">
        <f t="shared" si="60"/>
        <v>38.4</v>
      </c>
      <c r="L1289">
        <f t="shared" si="61"/>
        <v>921.6</v>
      </c>
      <c r="M1289" t="str">
        <f t="shared" si="62"/>
        <v>Mar-2018</v>
      </c>
    </row>
    <row r="1290" spans="1:13" x14ac:dyDescent="0.3">
      <c r="A1290" t="s">
        <v>1852</v>
      </c>
      <c r="B1290" s="1" t="s">
        <v>270</v>
      </c>
      <c r="C1290" s="1" t="s">
        <v>271</v>
      </c>
      <c r="D1290" s="1" t="s">
        <v>35</v>
      </c>
      <c r="E1290" s="5">
        <v>43008</v>
      </c>
      <c r="F1290" s="3" t="s">
        <v>61</v>
      </c>
      <c r="G1290" s="1" t="s">
        <v>715</v>
      </c>
      <c r="H1290" s="1">
        <v>1000</v>
      </c>
      <c r="I1290" s="1">
        <v>540</v>
      </c>
      <c r="J1290" s="2">
        <v>0.46</v>
      </c>
      <c r="K1290">
        <f t="shared" si="60"/>
        <v>248.4</v>
      </c>
      <c r="L1290">
        <f t="shared" si="61"/>
        <v>291.60000000000002</v>
      </c>
      <c r="M1290" t="str">
        <f t="shared" si="62"/>
        <v>Sep-2017</v>
      </c>
    </row>
    <row r="1291" spans="1:13" x14ac:dyDescent="0.3">
      <c r="A1291" t="s">
        <v>1853</v>
      </c>
      <c r="B1291" s="1" t="s">
        <v>182</v>
      </c>
      <c r="C1291" s="1" t="s">
        <v>108</v>
      </c>
      <c r="D1291" s="1" t="s">
        <v>19</v>
      </c>
      <c r="E1291" s="5">
        <v>42674</v>
      </c>
      <c r="F1291" s="3" t="s">
        <v>36</v>
      </c>
      <c r="G1291" s="1" t="s">
        <v>502</v>
      </c>
      <c r="H1291" s="1">
        <v>50</v>
      </c>
      <c r="I1291" s="1">
        <v>49</v>
      </c>
      <c r="J1291" s="2">
        <v>0.02</v>
      </c>
      <c r="K1291">
        <f t="shared" si="60"/>
        <v>0.98</v>
      </c>
      <c r="L1291">
        <f t="shared" si="61"/>
        <v>48.02</v>
      </c>
      <c r="M1291" t="str">
        <f t="shared" si="62"/>
        <v>Oct-2016</v>
      </c>
    </row>
    <row r="1292" spans="1:13" x14ac:dyDescent="0.3">
      <c r="A1292" t="s">
        <v>1854</v>
      </c>
      <c r="B1292" s="1" t="s">
        <v>95</v>
      </c>
      <c r="C1292" s="1" t="s">
        <v>96</v>
      </c>
      <c r="D1292" s="1" t="s">
        <v>13</v>
      </c>
      <c r="E1292" s="5">
        <v>41752</v>
      </c>
      <c r="F1292" s="3" t="s">
        <v>36</v>
      </c>
      <c r="G1292" s="1" t="s">
        <v>460</v>
      </c>
      <c r="H1292" s="1">
        <v>50</v>
      </c>
      <c r="I1292" s="1">
        <v>47</v>
      </c>
      <c r="J1292" s="2">
        <v>0.06</v>
      </c>
      <c r="K1292">
        <f t="shared" si="60"/>
        <v>2.82</v>
      </c>
      <c r="L1292">
        <f t="shared" si="61"/>
        <v>44.18</v>
      </c>
      <c r="M1292" t="str">
        <f t="shared" si="62"/>
        <v>Apr-2014</v>
      </c>
    </row>
    <row r="1293" spans="1:13" x14ac:dyDescent="0.3">
      <c r="A1293" t="s">
        <v>1855</v>
      </c>
      <c r="B1293" s="1" t="s">
        <v>59</v>
      </c>
      <c r="C1293" s="1" t="s">
        <v>60</v>
      </c>
      <c r="D1293" s="1" t="s">
        <v>13</v>
      </c>
      <c r="E1293" s="5">
        <v>43271</v>
      </c>
      <c r="F1293" s="3" t="s">
        <v>25</v>
      </c>
      <c r="G1293" s="1" t="s">
        <v>781</v>
      </c>
      <c r="H1293" s="1">
        <v>700</v>
      </c>
      <c r="I1293" s="1">
        <v>511</v>
      </c>
      <c r="J1293" s="2">
        <v>0.27</v>
      </c>
      <c r="K1293">
        <f t="shared" si="60"/>
        <v>137.97</v>
      </c>
      <c r="L1293">
        <f t="shared" si="61"/>
        <v>373.03</v>
      </c>
      <c r="M1293" t="str">
        <f t="shared" si="62"/>
        <v>Jun-2018</v>
      </c>
    </row>
    <row r="1294" spans="1:13" x14ac:dyDescent="0.3">
      <c r="A1294" t="s">
        <v>1856</v>
      </c>
      <c r="B1294" s="1" t="s">
        <v>255</v>
      </c>
      <c r="C1294" s="1" t="s">
        <v>256</v>
      </c>
      <c r="D1294" s="1" t="s">
        <v>13</v>
      </c>
      <c r="E1294" s="5">
        <v>42783</v>
      </c>
      <c r="F1294" s="3" t="s">
        <v>55</v>
      </c>
      <c r="G1294" s="1" t="s">
        <v>1373</v>
      </c>
      <c r="H1294" s="1">
        <v>800</v>
      </c>
      <c r="I1294" s="1">
        <v>688</v>
      </c>
      <c r="J1294" s="2">
        <v>0.14000000000000001</v>
      </c>
      <c r="K1294">
        <f t="shared" si="60"/>
        <v>96.320000000000007</v>
      </c>
      <c r="L1294">
        <f t="shared" si="61"/>
        <v>591.67999999999995</v>
      </c>
      <c r="M1294" t="str">
        <f t="shared" si="62"/>
        <v>Feb-2017</v>
      </c>
    </row>
    <row r="1295" spans="1:13" x14ac:dyDescent="0.3">
      <c r="A1295" t="s">
        <v>1857</v>
      </c>
      <c r="B1295" s="1" t="s">
        <v>114</v>
      </c>
      <c r="C1295" s="1" t="s">
        <v>54</v>
      </c>
      <c r="D1295" s="1" t="s">
        <v>13</v>
      </c>
      <c r="E1295" s="5">
        <v>41712</v>
      </c>
      <c r="F1295" s="3" t="s">
        <v>55</v>
      </c>
      <c r="G1295" s="1" t="s">
        <v>1496</v>
      </c>
      <c r="H1295" s="1">
        <v>800</v>
      </c>
      <c r="I1295" s="1">
        <v>648</v>
      </c>
      <c r="J1295" s="2">
        <v>0.19</v>
      </c>
      <c r="K1295">
        <f t="shared" si="60"/>
        <v>123.12</v>
      </c>
      <c r="L1295">
        <f t="shared" si="61"/>
        <v>524.88</v>
      </c>
      <c r="M1295" t="str">
        <f t="shared" si="62"/>
        <v>Mar-2014</v>
      </c>
    </row>
    <row r="1296" spans="1:13" x14ac:dyDescent="0.3">
      <c r="A1296" t="s">
        <v>1858</v>
      </c>
      <c r="B1296" s="1" t="s">
        <v>187</v>
      </c>
      <c r="C1296" s="1" t="s">
        <v>188</v>
      </c>
      <c r="D1296" s="1" t="s">
        <v>13</v>
      </c>
      <c r="E1296" s="5">
        <v>41873</v>
      </c>
      <c r="F1296" s="3" t="s">
        <v>41</v>
      </c>
      <c r="G1296" s="1" t="s">
        <v>741</v>
      </c>
      <c r="H1296" s="1">
        <v>30</v>
      </c>
      <c r="I1296" s="1">
        <v>30</v>
      </c>
      <c r="J1296" s="2">
        <v>0</v>
      </c>
      <c r="K1296">
        <f t="shared" si="60"/>
        <v>0</v>
      </c>
      <c r="L1296">
        <f t="shared" si="61"/>
        <v>30</v>
      </c>
      <c r="M1296" t="str">
        <f t="shared" si="62"/>
        <v>Aug-2014</v>
      </c>
    </row>
    <row r="1297" spans="1:13" x14ac:dyDescent="0.3">
      <c r="A1297" t="s">
        <v>1859</v>
      </c>
      <c r="B1297" s="1" t="s">
        <v>227</v>
      </c>
      <c r="C1297" s="1" t="s">
        <v>228</v>
      </c>
      <c r="D1297" s="1" t="s">
        <v>24</v>
      </c>
      <c r="E1297" s="5">
        <v>42018</v>
      </c>
      <c r="F1297" s="3" t="s">
        <v>115</v>
      </c>
      <c r="G1297" s="1" t="s">
        <v>278</v>
      </c>
      <c r="H1297" s="1">
        <v>250</v>
      </c>
      <c r="I1297" s="1">
        <v>230</v>
      </c>
      <c r="J1297" s="2">
        <v>0.08</v>
      </c>
      <c r="K1297">
        <f t="shared" si="60"/>
        <v>18.400000000000002</v>
      </c>
      <c r="L1297">
        <f t="shared" si="61"/>
        <v>211.6</v>
      </c>
      <c r="M1297" t="str">
        <f t="shared" si="62"/>
        <v>Jan-2015</v>
      </c>
    </row>
    <row r="1298" spans="1:13" x14ac:dyDescent="0.3">
      <c r="A1298" t="s">
        <v>1860</v>
      </c>
      <c r="B1298" s="1" t="s">
        <v>17</v>
      </c>
      <c r="C1298" s="1" t="s">
        <v>18</v>
      </c>
      <c r="D1298" s="1" t="s">
        <v>19</v>
      </c>
      <c r="E1298" s="5">
        <v>41869</v>
      </c>
      <c r="F1298" s="3" t="s">
        <v>122</v>
      </c>
      <c r="G1298" s="1" t="s">
        <v>776</v>
      </c>
      <c r="H1298" s="1">
        <v>50</v>
      </c>
      <c r="I1298" s="1">
        <v>47</v>
      </c>
      <c r="J1298" s="2">
        <v>0.06</v>
      </c>
      <c r="K1298">
        <f t="shared" si="60"/>
        <v>2.82</v>
      </c>
      <c r="L1298">
        <f t="shared" si="61"/>
        <v>44.18</v>
      </c>
      <c r="M1298" t="str">
        <f t="shared" si="62"/>
        <v>Aug-2014</v>
      </c>
    </row>
    <row r="1299" spans="1:13" x14ac:dyDescent="0.3">
      <c r="A1299" t="s">
        <v>1861</v>
      </c>
      <c r="B1299" s="1" t="s">
        <v>255</v>
      </c>
      <c r="C1299" s="1" t="s">
        <v>256</v>
      </c>
      <c r="D1299" s="1" t="s">
        <v>13</v>
      </c>
      <c r="E1299" s="5">
        <v>42596</v>
      </c>
      <c r="F1299" s="3" t="s">
        <v>41</v>
      </c>
      <c r="G1299" s="1" t="s">
        <v>522</v>
      </c>
      <c r="H1299" s="1">
        <v>30</v>
      </c>
      <c r="I1299" s="1">
        <v>25</v>
      </c>
      <c r="J1299" s="2">
        <v>0.16669999999999999</v>
      </c>
      <c r="K1299">
        <f t="shared" si="60"/>
        <v>4.1674999999999995</v>
      </c>
      <c r="L1299">
        <f t="shared" si="61"/>
        <v>20.8325</v>
      </c>
      <c r="M1299" t="str">
        <f t="shared" si="62"/>
        <v>Aug-2016</v>
      </c>
    </row>
    <row r="1300" spans="1:13" x14ac:dyDescent="0.3">
      <c r="A1300" t="s">
        <v>1862</v>
      </c>
      <c r="B1300" s="1" t="s">
        <v>187</v>
      </c>
      <c r="C1300" s="1" t="s">
        <v>188</v>
      </c>
      <c r="D1300" s="1" t="s">
        <v>13</v>
      </c>
      <c r="E1300" s="5">
        <v>42790</v>
      </c>
      <c r="F1300" s="3" t="s">
        <v>104</v>
      </c>
      <c r="G1300" s="1" t="s">
        <v>741</v>
      </c>
      <c r="H1300" s="1">
        <v>70</v>
      </c>
      <c r="I1300" s="1">
        <v>67</v>
      </c>
      <c r="J1300" s="2">
        <v>4.2900000000000001E-2</v>
      </c>
      <c r="K1300">
        <f t="shared" si="60"/>
        <v>2.8742999999999999</v>
      </c>
      <c r="L1300">
        <f t="shared" si="61"/>
        <v>64.125699999999995</v>
      </c>
      <c r="M1300" t="str">
        <f t="shared" si="62"/>
        <v>Feb-2017</v>
      </c>
    </row>
    <row r="1301" spans="1:13" x14ac:dyDescent="0.3">
      <c r="A1301" t="s">
        <v>1863</v>
      </c>
      <c r="B1301" s="1" t="s">
        <v>170</v>
      </c>
      <c r="C1301" s="1" t="s">
        <v>171</v>
      </c>
      <c r="D1301" s="1" t="s">
        <v>13</v>
      </c>
      <c r="E1301" s="5">
        <v>42112</v>
      </c>
      <c r="F1301" s="3" t="s">
        <v>61</v>
      </c>
      <c r="G1301" s="1" t="s">
        <v>1864</v>
      </c>
      <c r="H1301" s="1">
        <v>1000</v>
      </c>
      <c r="I1301" s="1">
        <v>940</v>
      </c>
      <c r="J1301" s="2">
        <v>0.06</v>
      </c>
      <c r="K1301">
        <f t="shared" si="60"/>
        <v>56.4</v>
      </c>
      <c r="L1301">
        <f t="shared" si="61"/>
        <v>883.6</v>
      </c>
      <c r="M1301" t="str">
        <f t="shared" si="62"/>
        <v>Apr-2015</v>
      </c>
    </row>
    <row r="1302" spans="1:13" x14ac:dyDescent="0.3">
      <c r="A1302" t="s">
        <v>1865</v>
      </c>
      <c r="B1302" s="1" t="s">
        <v>154</v>
      </c>
      <c r="C1302" s="1" t="s">
        <v>108</v>
      </c>
      <c r="D1302" s="1" t="s">
        <v>19</v>
      </c>
      <c r="E1302" s="5">
        <v>42839</v>
      </c>
      <c r="F1302" s="3" t="s">
        <v>46</v>
      </c>
      <c r="G1302" s="1" t="s">
        <v>993</v>
      </c>
      <c r="H1302" s="1">
        <v>500</v>
      </c>
      <c r="I1302" s="1">
        <v>480</v>
      </c>
      <c r="J1302" s="2">
        <v>0.04</v>
      </c>
      <c r="K1302">
        <f t="shared" si="60"/>
        <v>19.2</v>
      </c>
      <c r="L1302">
        <f t="shared" si="61"/>
        <v>460.8</v>
      </c>
      <c r="M1302" t="str">
        <f t="shared" si="62"/>
        <v>Apr-2017</v>
      </c>
    </row>
    <row r="1303" spans="1:13" x14ac:dyDescent="0.3">
      <c r="A1303" t="s">
        <v>1866</v>
      </c>
      <c r="B1303" s="1" t="s">
        <v>95</v>
      </c>
      <c r="C1303" s="1" t="s">
        <v>96</v>
      </c>
      <c r="D1303" s="1" t="s">
        <v>13</v>
      </c>
      <c r="E1303" s="5">
        <v>42301</v>
      </c>
      <c r="F1303" s="3" t="s">
        <v>104</v>
      </c>
      <c r="G1303" s="1" t="s">
        <v>460</v>
      </c>
      <c r="H1303" s="1">
        <v>70</v>
      </c>
      <c r="I1303" s="1">
        <v>68</v>
      </c>
      <c r="J1303" s="2">
        <v>2.86E-2</v>
      </c>
      <c r="K1303">
        <f t="shared" si="60"/>
        <v>1.9448000000000001</v>
      </c>
      <c r="L1303">
        <f t="shared" si="61"/>
        <v>66.055199999999999</v>
      </c>
      <c r="M1303" t="str">
        <f t="shared" si="62"/>
        <v>Oct-2015</v>
      </c>
    </row>
    <row r="1304" spans="1:13" x14ac:dyDescent="0.3">
      <c r="A1304" t="s">
        <v>1867</v>
      </c>
      <c r="B1304" s="1" t="s">
        <v>99</v>
      </c>
      <c r="C1304" s="1" t="s">
        <v>100</v>
      </c>
      <c r="D1304" s="1" t="s">
        <v>13</v>
      </c>
      <c r="E1304" s="5">
        <v>42024</v>
      </c>
      <c r="F1304" s="3" t="s">
        <v>30</v>
      </c>
      <c r="G1304" s="1" t="s">
        <v>1825</v>
      </c>
      <c r="H1304" s="1">
        <v>150</v>
      </c>
      <c r="I1304" s="1">
        <v>147</v>
      </c>
      <c r="J1304" s="2">
        <v>0.02</v>
      </c>
      <c r="K1304">
        <f t="shared" si="60"/>
        <v>2.94</v>
      </c>
      <c r="L1304">
        <f t="shared" si="61"/>
        <v>144.06</v>
      </c>
      <c r="M1304" t="str">
        <f t="shared" si="62"/>
        <v>Jan-2015</v>
      </c>
    </row>
    <row r="1305" spans="1:13" x14ac:dyDescent="0.3">
      <c r="A1305" t="s">
        <v>1868</v>
      </c>
      <c r="B1305" s="1" t="s">
        <v>170</v>
      </c>
      <c r="C1305" s="1" t="s">
        <v>171</v>
      </c>
      <c r="D1305" s="1" t="s">
        <v>13</v>
      </c>
      <c r="E1305" s="5">
        <v>42854</v>
      </c>
      <c r="F1305" s="3" t="s">
        <v>14</v>
      </c>
      <c r="G1305" s="1" t="s">
        <v>1421</v>
      </c>
      <c r="H1305" s="1">
        <v>80</v>
      </c>
      <c r="I1305" s="1">
        <v>74</v>
      </c>
      <c r="J1305" s="2">
        <v>7.4999999999999997E-2</v>
      </c>
      <c r="K1305">
        <f t="shared" si="60"/>
        <v>5.55</v>
      </c>
      <c r="L1305">
        <f t="shared" si="61"/>
        <v>68.45</v>
      </c>
      <c r="M1305" t="str">
        <f t="shared" si="62"/>
        <v>Apr-2017</v>
      </c>
    </row>
    <row r="1306" spans="1:13" x14ac:dyDescent="0.3">
      <c r="A1306" t="s">
        <v>1869</v>
      </c>
      <c r="B1306" s="1" t="s">
        <v>157</v>
      </c>
      <c r="C1306" s="1" t="s">
        <v>108</v>
      </c>
      <c r="D1306" s="1" t="s">
        <v>19</v>
      </c>
      <c r="E1306" s="5">
        <v>43062</v>
      </c>
      <c r="F1306" s="3" t="s">
        <v>72</v>
      </c>
      <c r="G1306" s="1" t="s">
        <v>1870</v>
      </c>
      <c r="H1306" s="1">
        <v>500</v>
      </c>
      <c r="I1306" s="1">
        <v>490</v>
      </c>
      <c r="J1306" s="2">
        <v>0.02</v>
      </c>
      <c r="K1306">
        <f t="shared" si="60"/>
        <v>9.8000000000000007</v>
      </c>
      <c r="L1306">
        <f t="shared" si="61"/>
        <v>480.2</v>
      </c>
      <c r="M1306" t="str">
        <f t="shared" si="62"/>
        <v>Nov-2017</v>
      </c>
    </row>
    <row r="1307" spans="1:13" x14ac:dyDescent="0.3">
      <c r="A1307" t="s">
        <v>1871</v>
      </c>
      <c r="B1307" s="1" t="s">
        <v>205</v>
      </c>
      <c r="C1307" s="1" t="s">
        <v>206</v>
      </c>
      <c r="D1307" s="1" t="s">
        <v>24</v>
      </c>
      <c r="E1307" s="5">
        <v>42944</v>
      </c>
      <c r="F1307" s="3" t="s">
        <v>72</v>
      </c>
      <c r="G1307" s="1" t="s">
        <v>1872</v>
      </c>
      <c r="H1307" s="1">
        <v>500</v>
      </c>
      <c r="I1307" s="1">
        <v>490</v>
      </c>
      <c r="J1307" s="2">
        <v>0.02</v>
      </c>
      <c r="K1307">
        <f t="shared" si="60"/>
        <v>9.8000000000000007</v>
      </c>
      <c r="L1307">
        <f t="shared" si="61"/>
        <v>480.2</v>
      </c>
      <c r="M1307" t="str">
        <f t="shared" si="62"/>
        <v>Jul-2017</v>
      </c>
    </row>
    <row r="1308" spans="1:13" x14ac:dyDescent="0.3">
      <c r="A1308" t="s">
        <v>1873</v>
      </c>
      <c r="B1308" s="1" t="s">
        <v>118</v>
      </c>
      <c r="C1308" s="1" t="s">
        <v>119</v>
      </c>
      <c r="D1308" s="1" t="s">
        <v>35</v>
      </c>
      <c r="E1308" s="5">
        <v>43067</v>
      </c>
      <c r="F1308" s="3" t="s">
        <v>104</v>
      </c>
      <c r="G1308" s="1" t="s">
        <v>847</v>
      </c>
      <c r="H1308" s="1">
        <v>70</v>
      </c>
      <c r="I1308" s="1">
        <v>70</v>
      </c>
      <c r="J1308" s="2">
        <v>0</v>
      </c>
      <c r="K1308">
        <f t="shared" si="60"/>
        <v>0</v>
      </c>
      <c r="L1308">
        <f t="shared" si="61"/>
        <v>70</v>
      </c>
      <c r="M1308" t="str">
        <f t="shared" si="62"/>
        <v>Nov-2017</v>
      </c>
    </row>
    <row r="1309" spans="1:13" x14ac:dyDescent="0.3">
      <c r="A1309" t="s">
        <v>1874</v>
      </c>
      <c r="B1309" s="1" t="s">
        <v>85</v>
      </c>
      <c r="C1309" s="1" t="s">
        <v>86</v>
      </c>
      <c r="D1309" s="1" t="s">
        <v>13</v>
      </c>
      <c r="E1309" s="5">
        <v>42452</v>
      </c>
      <c r="F1309" s="3" t="s">
        <v>72</v>
      </c>
      <c r="G1309" s="1" t="s">
        <v>573</v>
      </c>
      <c r="H1309" s="1">
        <v>500</v>
      </c>
      <c r="I1309" s="1">
        <v>500</v>
      </c>
      <c r="J1309" s="2">
        <v>0</v>
      </c>
      <c r="K1309">
        <f t="shared" si="60"/>
        <v>0</v>
      </c>
      <c r="L1309">
        <f t="shared" si="61"/>
        <v>500</v>
      </c>
      <c r="M1309" t="str">
        <f t="shared" si="62"/>
        <v>Mar-2016</v>
      </c>
    </row>
    <row r="1310" spans="1:13" x14ac:dyDescent="0.3">
      <c r="A1310" t="s">
        <v>1875</v>
      </c>
      <c r="B1310" s="1" t="s">
        <v>77</v>
      </c>
      <c r="C1310" s="1" t="s">
        <v>78</v>
      </c>
      <c r="D1310" s="1" t="s">
        <v>35</v>
      </c>
      <c r="E1310" s="5">
        <v>42762</v>
      </c>
      <c r="F1310" s="3" t="s">
        <v>25</v>
      </c>
      <c r="G1310" s="1" t="s">
        <v>162</v>
      </c>
      <c r="H1310" s="1">
        <v>700</v>
      </c>
      <c r="I1310" s="1">
        <v>630</v>
      </c>
      <c r="J1310" s="2">
        <v>0.1</v>
      </c>
      <c r="K1310">
        <f t="shared" si="60"/>
        <v>63</v>
      </c>
      <c r="L1310">
        <f t="shared" si="61"/>
        <v>567</v>
      </c>
      <c r="M1310" t="str">
        <f t="shared" si="62"/>
        <v>Jan-2017</v>
      </c>
    </row>
    <row r="1311" spans="1:13" x14ac:dyDescent="0.3">
      <c r="A1311" t="s">
        <v>1876</v>
      </c>
      <c r="B1311" s="1" t="s">
        <v>95</v>
      </c>
      <c r="C1311" s="1" t="s">
        <v>96</v>
      </c>
      <c r="D1311" s="1" t="s">
        <v>13</v>
      </c>
      <c r="E1311" s="5">
        <v>41839</v>
      </c>
      <c r="F1311" s="3" t="s">
        <v>36</v>
      </c>
      <c r="G1311" s="1" t="s">
        <v>1275</v>
      </c>
      <c r="H1311" s="1">
        <v>50</v>
      </c>
      <c r="I1311" s="1">
        <v>48</v>
      </c>
      <c r="J1311" s="2">
        <v>0.04</v>
      </c>
      <c r="K1311">
        <f t="shared" si="60"/>
        <v>1.92</v>
      </c>
      <c r="L1311">
        <f t="shared" si="61"/>
        <v>46.08</v>
      </c>
      <c r="M1311" t="str">
        <f t="shared" si="62"/>
        <v>Jul-2014</v>
      </c>
    </row>
    <row r="1312" spans="1:13" x14ac:dyDescent="0.3">
      <c r="A1312" t="s">
        <v>1877</v>
      </c>
      <c r="B1312" s="1" t="s">
        <v>241</v>
      </c>
      <c r="C1312" s="1" t="s">
        <v>242</v>
      </c>
      <c r="D1312" s="1" t="s">
        <v>13</v>
      </c>
      <c r="E1312" s="5">
        <v>42629</v>
      </c>
      <c r="F1312" s="3" t="s">
        <v>55</v>
      </c>
      <c r="G1312" s="1" t="s">
        <v>626</v>
      </c>
      <c r="H1312" s="1">
        <v>800</v>
      </c>
      <c r="I1312" s="1">
        <v>736</v>
      </c>
      <c r="J1312" s="2">
        <v>0.08</v>
      </c>
      <c r="K1312">
        <f t="shared" si="60"/>
        <v>58.88</v>
      </c>
      <c r="L1312">
        <f t="shared" si="61"/>
        <v>677.12</v>
      </c>
      <c r="M1312" t="str">
        <f t="shared" si="62"/>
        <v>Sep-2016</v>
      </c>
    </row>
    <row r="1313" spans="1:13" x14ac:dyDescent="0.3">
      <c r="A1313" t="s">
        <v>1878</v>
      </c>
      <c r="B1313" s="1" t="s">
        <v>127</v>
      </c>
      <c r="C1313" s="1" t="s">
        <v>128</v>
      </c>
      <c r="D1313" s="1" t="s">
        <v>13</v>
      </c>
      <c r="E1313" s="5">
        <v>42208</v>
      </c>
      <c r="F1313" s="3" t="s">
        <v>55</v>
      </c>
      <c r="G1313" s="1" t="s">
        <v>920</v>
      </c>
      <c r="H1313" s="1">
        <v>800</v>
      </c>
      <c r="I1313" s="1">
        <v>784</v>
      </c>
      <c r="J1313" s="2">
        <v>0.02</v>
      </c>
      <c r="K1313">
        <f t="shared" si="60"/>
        <v>15.68</v>
      </c>
      <c r="L1313">
        <f t="shared" si="61"/>
        <v>768.32</v>
      </c>
      <c r="M1313" t="str">
        <f t="shared" si="62"/>
        <v>Jul-2015</v>
      </c>
    </row>
    <row r="1314" spans="1:13" x14ac:dyDescent="0.3">
      <c r="A1314" t="s">
        <v>1879</v>
      </c>
      <c r="B1314" s="1" t="s">
        <v>150</v>
      </c>
      <c r="C1314" s="1" t="s">
        <v>151</v>
      </c>
      <c r="D1314" s="1" t="s">
        <v>13</v>
      </c>
      <c r="E1314" s="5">
        <v>42537</v>
      </c>
      <c r="F1314" s="3" t="s">
        <v>115</v>
      </c>
      <c r="G1314" s="1" t="s">
        <v>771</v>
      </c>
      <c r="H1314" s="1">
        <v>250</v>
      </c>
      <c r="I1314" s="1">
        <v>230</v>
      </c>
      <c r="J1314" s="2">
        <v>0.08</v>
      </c>
      <c r="K1314">
        <f t="shared" si="60"/>
        <v>18.400000000000002</v>
      </c>
      <c r="L1314">
        <f t="shared" si="61"/>
        <v>211.6</v>
      </c>
      <c r="M1314" t="str">
        <f t="shared" si="62"/>
        <v>Jun-2016</v>
      </c>
    </row>
    <row r="1315" spans="1:13" x14ac:dyDescent="0.3">
      <c r="A1315" t="s">
        <v>1880</v>
      </c>
      <c r="B1315" s="1" t="s">
        <v>39</v>
      </c>
      <c r="C1315" s="1" t="s">
        <v>40</v>
      </c>
      <c r="D1315" s="1" t="s">
        <v>35</v>
      </c>
      <c r="E1315" s="5">
        <v>42049</v>
      </c>
      <c r="F1315" s="3" t="s">
        <v>104</v>
      </c>
      <c r="G1315" s="1" t="s">
        <v>1881</v>
      </c>
      <c r="H1315" s="1">
        <v>70</v>
      </c>
      <c r="I1315" s="1">
        <v>62</v>
      </c>
      <c r="J1315" s="2">
        <v>0.1143</v>
      </c>
      <c r="K1315">
        <f t="shared" si="60"/>
        <v>7.0865999999999998</v>
      </c>
      <c r="L1315">
        <f t="shared" si="61"/>
        <v>54.913400000000003</v>
      </c>
      <c r="M1315" t="str">
        <f t="shared" si="62"/>
        <v>Feb-2015</v>
      </c>
    </row>
    <row r="1316" spans="1:13" x14ac:dyDescent="0.3">
      <c r="A1316" t="s">
        <v>1882</v>
      </c>
      <c r="B1316" s="1" t="s">
        <v>22</v>
      </c>
      <c r="C1316" s="1" t="s">
        <v>23</v>
      </c>
      <c r="D1316" s="1" t="s">
        <v>24</v>
      </c>
      <c r="E1316" s="5">
        <v>42606</v>
      </c>
      <c r="F1316" s="3" t="s">
        <v>115</v>
      </c>
      <c r="G1316" s="1" t="s">
        <v>310</v>
      </c>
      <c r="H1316" s="1">
        <v>250</v>
      </c>
      <c r="I1316" s="1">
        <v>193</v>
      </c>
      <c r="J1316" s="2">
        <v>0.22800000000000001</v>
      </c>
      <c r="K1316">
        <f t="shared" si="60"/>
        <v>44.004000000000005</v>
      </c>
      <c r="L1316">
        <f t="shared" si="61"/>
        <v>148.99599999999998</v>
      </c>
      <c r="M1316" t="str">
        <f t="shared" si="62"/>
        <v>Aug-2016</v>
      </c>
    </row>
    <row r="1317" spans="1:13" x14ac:dyDescent="0.3">
      <c r="A1317" t="s">
        <v>1883</v>
      </c>
      <c r="B1317" s="1" t="s">
        <v>77</v>
      </c>
      <c r="C1317" s="1" t="s">
        <v>78</v>
      </c>
      <c r="D1317" s="1" t="s">
        <v>35</v>
      </c>
      <c r="E1317" s="5">
        <v>41790</v>
      </c>
      <c r="F1317" s="3" t="s">
        <v>72</v>
      </c>
      <c r="G1317" s="1" t="s">
        <v>762</v>
      </c>
      <c r="H1317" s="1">
        <v>500</v>
      </c>
      <c r="I1317" s="1">
        <v>495</v>
      </c>
      <c r="J1317" s="2">
        <v>0.01</v>
      </c>
      <c r="K1317">
        <f t="shared" si="60"/>
        <v>4.95</v>
      </c>
      <c r="L1317">
        <f t="shared" si="61"/>
        <v>490.05</v>
      </c>
      <c r="M1317" t="str">
        <f t="shared" si="62"/>
        <v>May-2014</v>
      </c>
    </row>
    <row r="1318" spans="1:13" x14ac:dyDescent="0.3">
      <c r="A1318" t="s">
        <v>1884</v>
      </c>
      <c r="B1318" s="1" t="s">
        <v>150</v>
      </c>
      <c r="C1318" s="1" t="s">
        <v>151</v>
      </c>
      <c r="D1318" s="1" t="s">
        <v>13</v>
      </c>
      <c r="E1318" s="5">
        <v>42082</v>
      </c>
      <c r="F1318" s="3" t="s">
        <v>55</v>
      </c>
      <c r="G1318" s="1" t="s">
        <v>152</v>
      </c>
      <c r="H1318" s="1">
        <v>800</v>
      </c>
      <c r="I1318" s="1">
        <v>784</v>
      </c>
      <c r="J1318" s="2">
        <v>0.02</v>
      </c>
      <c r="K1318">
        <f t="shared" si="60"/>
        <v>15.68</v>
      </c>
      <c r="L1318">
        <f t="shared" si="61"/>
        <v>768.32</v>
      </c>
      <c r="M1318" t="str">
        <f t="shared" si="62"/>
        <v>Mar-2015</v>
      </c>
    </row>
    <row r="1319" spans="1:13" x14ac:dyDescent="0.3">
      <c r="A1319" t="s">
        <v>1885</v>
      </c>
      <c r="B1319" s="1" t="s">
        <v>205</v>
      </c>
      <c r="C1319" s="1" t="s">
        <v>206</v>
      </c>
      <c r="D1319" s="1" t="s">
        <v>24</v>
      </c>
      <c r="E1319" s="5">
        <v>42962</v>
      </c>
      <c r="F1319" s="3" t="s">
        <v>14</v>
      </c>
      <c r="G1319" s="1" t="s">
        <v>681</v>
      </c>
      <c r="H1319" s="1">
        <v>80</v>
      </c>
      <c r="I1319" s="1">
        <v>60</v>
      </c>
      <c r="J1319" s="2">
        <v>0.25</v>
      </c>
      <c r="K1319">
        <f t="shared" si="60"/>
        <v>15</v>
      </c>
      <c r="L1319">
        <f t="shared" si="61"/>
        <v>45</v>
      </c>
      <c r="M1319" t="str">
        <f t="shared" si="62"/>
        <v>Aug-2017</v>
      </c>
    </row>
    <row r="1320" spans="1:13" x14ac:dyDescent="0.3">
      <c r="A1320" t="s">
        <v>1886</v>
      </c>
      <c r="B1320" s="1" t="s">
        <v>127</v>
      </c>
      <c r="C1320" s="1" t="s">
        <v>128</v>
      </c>
      <c r="D1320" s="1" t="s">
        <v>13</v>
      </c>
      <c r="E1320" s="5">
        <v>42056</v>
      </c>
      <c r="F1320" s="3" t="s">
        <v>115</v>
      </c>
      <c r="G1320" s="1" t="s">
        <v>1261</v>
      </c>
      <c r="H1320" s="1">
        <v>250</v>
      </c>
      <c r="I1320" s="1">
        <v>235</v>
      </c>
      <c r="J1320" s="2">
        <v>0.06</v>
      </c>
      <c r="K1320">
        <f t="shared" si="60"/>
        <v>14.1</v>
      </c>
      <c r="L1320">
        <f t="shared" si="61"/>
        <v>220.9</v>
      </c>
      <c r="M1320" t="str">
        <f t="shared" si="62"/>
        <v>Feb-2015</v>
      </c>
    </row>
    <row r="1321" spans="1:13" x14ac:dyDescent="0.3">
      <c r="A1321" t="s">
        <v>1887</v>
      </c>
      <c r="B1321" s="1" t="s">
        <v>81</v>
      </c>
      <c r="C1321" s="1" t="s">
        <v>82</v>
      </c>
      <c r="D1321" s="1" t="s">
        <v>13</v>
      </c>
      <c r="E1321" s="5">
        <v>41844</v>
      </c>
      <c r="F1321" s="3" t="s">
        <v>115</v>
      </c>
      <c r="G1321" s="1" t="s">
        <v>953</v>
      </c>
      <c r="H1321" s="1">
        <v>250</v>
      </c>
      <c r="I1321" s="1">
        <v>228</v>
      </c>
      <c r="J1321" s="2">
        <v>8.7999999999999995E-2</v>
      </c>
      <c r="K1321">
        <f t="shared" si="60"/>
        <v>20.064</v>
      </c>
      <c r="L1321">
        <f t="shared" si="61"/>
        <v>207.93600000000001</v>
      </c>
      <c r="M1321" t="str">
        <f t="shared" si="62"/>
        <v>Jul-2014</v>
      </c>
    </row>
    <row r="1322" spans="1:13" x14ac:dyDescent="0.3">
      <c r="A1322" t="s">
        <v>1888</v>
      </c>
      <c r="B1322" s="1" t="s">
        <v>146</v>
      </c>
      <c r="C1322" s="1" t="s">
        <v>147</v>
      </c>
      <c r="D1322" s="1" t="s">
        <v>13</v>
      </c>
      <c r="E1322" s="5">
        <v>42331</v>
      </c>
      <c r="F1322" s="3" t="s">
        <v>14</v>
      </c>
      <c r="G1322" s="1" t="s">
        <v>1318</v>
      </c>
      <c r="H1322" s="1">
        <v>80</v>
      </c>
      <c r="I1322" s="1">
        <v>68</v>
      </c>
      <c r="J1322" s="2">
        <v>0.15</v>
      </c>
      <c r="K1322">
        <f t="shared" si="60"/>
        <v>10.199999999999999</v>
      </c>
      <c r="L1322">
        <f t="shared" si="61"/>
        <v>57.8</v>
      </c>
      <c r="M1322" t="str">
        <f t="shared" si="62"/>
        <v>Nov-2015</v>
      </c>
    </row>
    <row r="1323" spans="1:13" x14ac:dyDescent="0.3">
      <c r="A1323" t="s">
        <v>1889</v>
      </c>
      <c r="B1323" s="1" t="s">
        <v>127</v>
      </c>
      <c r="C1323" s="1" t="s">
        <v>128</v>
      </c>
      <c r="D1323" s="1" t="s">
        <v>13</v>
      </c>
      <c r="E1323" s="5">
        <v>42974</v>
      </c>
      <c r="F1323" s="3" t="s">
        <v>104</v>
      </c>
      <c r="G1323" s="1" t="s">
        <v>920</v>
      </c>
      <c r="H1323" s="1">
        <v>70</v>
      </c>
      <c r="I1323" s="1">
        <v>64</v>
      </c>
      <c r="J1323" s="2">
        <v>8.5699999999999998E-2</v>
      </c>
      <c r="K1323">
        <f t="shared" si="60"/>
        <v>5.4847999999999999</v>
      </c>
      <c r="L1323">
        <f t="shared" si="61"/>
        <v>58.5152</v>
      </c>
      <c r="M1323" t="str">
        <f t="shared" si="62"/>
        <v>Aug-2017</v>
      </c>
    </row>
    <row r="1324" spans="1:13" x14ac:dyDescent="0.3">
      <c r="A1324" t="s">
        <v>1890</v>
      </c>
      <c r="B1324" s="1" t="s">
        <v>11</v>
      </c>
      <c r="C1324" s="1" t="s">
        <v>12</v>
      </c>
      <c r="D1324" s="1" t="s">
        <v>13</v>
      </c>
      <c r="E1324" s="5">
        <v>41910</v>
      </c>
      <c r="F1324" s="3" t="s">
        <v>55</v>
      </c>
      <c r="G1324" s="1" t="s">
        <v>348</v>
      </c>
      <c r="H1324" s="1">
        <v>800</v>
      </c>
      <c r="I1324" s="1">
        <v>576</v>
      </c>
      <c r="J1324" s="2">
        <v>0.28000000000000003</v>
      </c>
      <c r="K1324">
        <f t="shared" si="60"/>
        <v>161.28000000000003</v>
      </c>
      <c r="L1324">
        <f t="shared" si="61"/>
        <v>414.71999999999997</v>
      </c>
      <c r="M1324" t="str">
        <f t="shared" si="62"/>
        <v>Sep-2014</v>
      </c>
    </row>
    <row r="1325" spans="1:13" x14ac:dyDescent="0.3">
      <c r="A1325" t="s">
        <v>1891</v>
      </c>
      <c r="B1325" s="1" t="s">
        <v>53</v>
      </c>
      <c r="C1325" s="1" t="s">
        <v>54</v>
      </c>
      <c r="D1325" s="1" t="s">
        <v>13</v>
      </c>
      <c r="E1325" s="5">
        <v>41905</v>
      </c>
      <c r="F1325" s="3" t="s">
        <v>36</v>
      </c>
      <c r="G1325" s="1" t="s">
        <v>1206</v>
      </c>
      <c r="H1325" s="1">
        <v>50</v>
      </c>
      <c r="I1325" s="1">
        <v>48</v>
      </c>
      <c r="J1325" s="2">
        <v>0.04</v>
      </c>
      <c r="K1325">
        <f t="shared" si="60"/>
        <v>1.92</v>
      </c>
      <c r="L1325">
        <f t="shared" si="61"/>
        <v>46.08</v>
      </c>
      <c r="M1325" t="str">
        <f t="shared" si="62"/>
        <v>Sep-2014</v>
      </c>
    </row>
    <row r="1326" spans="1:13" x14ac:dyDescent="0.3">
      <c r="A1326" t="s">
        <v>1892</v>
      </c>
      <c r="B1326" s="1" t="s">
        <v>324</v>
      </c>
      <c r="C1326" s="1" t="s">
        <v>325</v>
      </c>
      <c r="D1326" s="1" t="s">
        <v>13</v>
      </c>
      <c r="E1326" s="5">
        <v>42538</v>
      </c>
      <c r="F1326" s="3" t="s">
        <v>115</v>
      </c>
      <c r="G1326" s="1" t="s">
        <v>326</v>
      </c>
      <c r="H1326" s="1">
        <v>250</v>
      </c>
      <c r="I1326" s="1">
        <v>248</v>
      </c>
      <c r="J1326" s="2">
        <v>8.0000000000000002E-3</v>
      </c>
      <c r="K1326">
        <f t="shared" si="60"/>
        <v>1.984</v>
      </c>
      <c r="L1326">
        <f t="shared" si="61"/>
        <v>246.01599999999999</v>
      </c>
      <c r="M1326" t="str">
        <f t="shared" si="62"/>
        <v>Jun-2016</v>
      </c>
    </row>
    <row r="1327" spans="1:13" x14ac:dyDescent="0.3">
      <c r="A1327" t="s">
        <v>1893</v>
      </c>
      <c r="B1327" s="1" t="s">
        <v>103</v>
      </c>
      <c r="C1327" s="1" t="s">
        <v>71</v>
      </c>
      <c r="D1327" s="1" t="s">
        <v>35</v>
      </c>
      <c r="E1327" s="5">
        <v>43327</v>
      </c>
      <c r="F1327" s="3" t="s">
        <v>25</v>
      </c>
      <c r="G1327" s="1" t="s">
        <v>497</v>
      </c>
      <c r="H1327" s="1">
        <v>700</v>
      </c>
      <c r="I1327" s="1">
        <v>567</v>
      </c>
      <c r="J1327" s="2">
        <v>0.19</v>
      </c>
      <c r="K1327">
        <f t="shared" si="60"/>
        <v>107.73</v>
      </c>
      <c r="L1327">
        <f t="shared" si="61"/>
        <v>459.27</v>
      </c>
      <c r="M1327" t="str">
        <f t="shared" si="62"/>
        <v>Aug-2018</v>
      </c>
    </row>
    <row r="1328" spans="1:13" x14ac:dyDescent="0.3">
      <c r="A1328" t="s">
        <v>1894</v>
      </c>
      <c r="B1328" s="1" t="s">
        <v>70</v>
      </c>
      <c r="C1328" s="1" t="s">
        <v>71</v>
      </c>
      <c r="D1328" s="1" t="s">
        <v>35</v>
      </c>
      <c r="E1328" s="5">
        <v>43023</v>
      </c>
      <c r="F1328" s="3" t="s">
        <v>55</v>
      </c>
      <c r="G1328" s="1" t="s">
        <v>962</v>
      </c>
      <c r="H1328" s="1">
        <v>800</v>
      </c>
      <c r="I1328" s="1">
        <v>472</v>
      </c>
      <c r="J1328" s="2">
        <v>0.41</v>
      </c>
      <c r="K1328">
        <f t="shared" si="60"/>
        <v>193.51999999999998</v>
      </c>
      <c r="L1328">
        <f t="shared" si="61"/>
        <v>278.48</v>
      </c>
      <c r="M1328" t="str">
        <f t="shared" si="62"/>
        <v>Oct-2017</v>
      </c>
    </row>
    <row r="1329" spans="1:13" x14ac:dyDescent="0.3">
      <c r="A1329" t="s">
        <v>1895</v>
      </c>
      <c r="B1329" s="1" t="s">
        <v>270</v>
      </c>
      <c r="C1329" s="1" t="s">
        <v>271</v>
      </c>
      <c r="D1329" s="1" t="s">
        <v>35</v>
      </c>
      <c r="E1329" s="5">
        <v>43113</v>
      </c>
      <c r="F1329" s="3" t="s">
        <v>25</v>
      </c>
      <c r="G1329" s="1" t="s">
        <v>566</v>
      </c>
      <c r="H1329" s="1">
        <v>700</v>
      </c>
      <c r="I1329" s="1">
        <v>595</v>
      </c>
      <c r="J1329" s="2">
        <v>0.15</v>
      </c>
      <c r="K1329">
        <f t="shared" si="60"/>
        <v>89.25</v>
      </c>
      <c r="L1329">
        <f t="shared" si="61"/>
        <v>505.75</v>
      </c>
      <c r="M1329" t="str">
        <f t="shared" si="62"/>
        <v>Jan-2018</v>
      </c>
    </row>
    <row r="1330" spans="1:13" x14ac:dyDescent="0.3">
      <c r="A1330" t="s">
        <v>1896</v>
      </c>
      <c r="B1330" s="1" t="s">
        <v>118</v>
      </c>
      <c r="C1330" s="1" t="s">
        <v>119</v>
      </c>
      <c r="D1330" s="1" t="s">
        <v>35</v>
      </c>
      <c r="E1330" s="5">
        <v>43126</v>
      </c>
      <c r="F1330" s="3" t="s">
        <v>41</v>
      </c>
      <c r="G1330" s="1" t="s">
        <v>120</v>
      </c>
      <c r="H1330" s="1">
        <v>30</v>
      </c>
      <c r="I1330" s="1">
        <v>29</v>
      </c>
      <c r="J1330" s="2">
        <v>3.3300000000000003E-2</v>
      </c>
      <c r="K1330">
        <f t="shared" si="60"/>
        <v>0.96570000000000011</v>
      </c>
      <c r="L1330">
        <f t="shared" si="61"/>
        <v>28.034299999999998</v>
      </c>
      <c r="M1330" t="str">
        <f t="shared" si="62"/>
        <v>Jan-2018</v>
      </c>
    </row>
    <row r="1331" spans="1:13" x14ac:dyDescent="0.3">
      <c r="A1331" t="s">
        <v>1897</v>
      </c>
      <c r="B1331" s="1" t="s">
        <v>95</v>
      </c>
      <c r="C1331" s="1" t="s">
        <v>96</v>
      </c>
      <c r="D1331" s="1" t="s">
        <v>13</v>
      </c>
      <c r="E1331" s="5">
        <v>43053</v>
      </c>
      <c r="F1331" s="3" t="s">
        <v>122</v>
      </c>
      <c r="G1331" s="1" t="s">
        <v>769</v>
      </c>
      <c r="H1331" s="1">
        <v>50</v>
      </c>
      <c r="I1331" s="1">
        <v>36</v>
      </c>
      <c r="J1331" s="2">
        <v>0.28000000000000003</v>
      </c>
      <c r="K1331">
        <f t="shared" si="60"/>
        <v>10.080000000000002</v>
      </c>
      <c r="L1331">
        <f t="shared" si="61"/>
        <v>25.919999999999998</v>
      </c>
      <c r="M1331" t="str">
        <f t="shared" si="62"/>
        <v>Nov-2017</v>
      </c>
    </row>
    <row r="1332" spans="1:13" x14ac:dyDescent="0.3">
      <c r="A1332" t="s">
        <v>1898</v>
      </c>
      <c r="B1332" s="1" t="s">
        <v>114</v>
      </c>
      <c r="C1332" s="1" t="s">
        <v>54</v>
      </c>
      <c r="D1332" s="1" t="s">
        <v>13</v>
      </c>
      <c r="E1332" s="5">
        <v>42423</v>
      </c>
      <c r="F1332" s="3" t="s">
        <v>36</v>
      </c>
      <c r="G1332" s="1" t="s">
        <v>235</v>
      </c>
      <c r="H1332" s="1">
        <v>50</v>
      </c>
      <c r="I1332" s="1">
        <v>31</v>
      </c>
      <c r="J1332" s="2">
        <v>0.38</v>
      </c>
      <c r="K1332">
        <f t="shared" si="60"/>
        <v>11.78</v>
      </c>
      <c r="L1332">
        <f t="shared" si="61"/>
        <v>19.22</v>
      </c>
      <c r="M1332" t="str">
        <f t="shared" si="62"/>
        <v>Feb-2016</v>
      </c>
    </row>
    <row r="1333" spans="1:13" x14ac:dyDescent="0.3">
      <c r="A1333" t="s">
        <v>1899</v>
      </c>
      <c r="B1333" s="1" t="s">
        <v>111</v>
      </c>
      <c r="C1333" s="1" t="s">
        <v>82</v>
      </c>
      <c r="D1333" s="1" t="s">
        <v>13</v>
      </c>
      <c r="E1333" s="5">
        <v>42456</v>
      </c>
      <c r="F1333" s="3" t="s">
        <v>104</v>
      </c>
      <c r="G1333" s="1" t="s">
        <v>1424</v>
      </c>
      <c r="H1333" s="1">
        <v>70</v>
      </c>
      <c r="I1333" s="1">
        <v>68</v>
      </c>
      <c r="J1333" s="2">
        <v>2.86E-2</v>
      </c>
      <c r="K1333">
        <f t="shared" si="60"/>
        <v>1.9448000000000001</v>
      </c>
      <c r="L1333">
        <f t="shared" si="61"/>
        <v>66.055199999999999</v>
      </c>
      <c r="M1333" t="str">
        <f t="shared" si="62"/>
        <v>Mar-2016</v>
      </c>
    </row>
    <row r="1334" spans="1:13" x14ac:dyDescent="0.3">
      <c r="A1334" t="s">
        <v>1900</v>
      </c>
      <c r="B1334" s="1" t="s">
        <v>157</v>
      </c>
      <c r="C1334" s="1" t="s">
        <v>108</v>
      </c>
      <c r="D1334" s="1" t="s">
        <v>19</v>
      </c>
      <c r="E1334" s="5">
        <v>42792</v>
      </c>
      <c r="F1334" s="3" t="s">
        <v>25</v>
      </c>
      <c r="G1334" s="1" t="s">
        <v>1870</v>
      </c>
      <c r="H1334" s="1">
        <v>700</v>
      </c>
      <c r="I1334" s="1">
        <v>672</v>
      </c>
      <c r="J1334" s="2">
        <v>0.04</v>
      </c>
      <c r="K1334">
        <f t="shared" si="60"/>
        <v>26.88</v>
      </c>
      <c r="L1334">
        <f t="shared" si="61"/>
        <v>645.12</v>
      </c>
      <c r="M1334" t="str">
        <f t="shared" si="62"/>
        <v>Feb-2017</v>
      </c>
    </row>
    <row r="1335" spans="1:13" x14ac:dyDescent="0.3">
      <c r="A1335" t="s">
        <v>1901</v>
      </c>
      <c r="B1335" s="1" t="s">
        <v>124</v>
      </c>
      <c r="C1335" s="1" t="s">
        <v>40</v>
      </c>
      <c r="D1335" s="1" t="s">
        <v>35</v>
      </c>
      <c r="E1335" s="5">
        <v>42481</v>
      </c>
      <c r="F1335" s="3" t="s">
        <v>115</v>
      </c>
      <c r="G1335" s="1" t="s">
        <v>1017</v>
      </c>
      <c r="H1335" s="1">
        <v>250</v>
      </c>
      <c r="I1335" s="1">
        <v>240</v>
      </c>
      <c r="J1335" s="2">
        <v>0.04</v>
      </c>
      <c r="K1335">
        <f t="shared" si="60"/>
        <v>9.6</v>
      </c>
      <c r="L1335">
        <f t="shared" si="61"/>
        <v>230.4</v>
      </c>
      <c r="M1335" t="str">
        <f t="shared" si="62"/>
        <v>Apr-2016</v>
      </c>
    </row>
    <row r="1336" spans="1:13" x14ac:dyDescent="0.3">
      <c r="A1336" t="s">
        <v>1902</v>
      </c>
      <c r="B1336" s="1" t="s">
        <v>99</v>
      </c>
      <c r="C1336" s="1" t="s">
        <v>100</v>
      </c>
      <c r="D1336" s="1" t="s">
        <v>13</v>
      </c>
      <c r="E1336" s="5">
        <v>42082</v>
      </c>
      <c r="F1336" s="3" t="s">
        <v>55</v>
      </c>
      <c r="G1336" s="1" t="s">
        <v>948</v>
      </c>
      <c r="H1336" s="1">
        <v>800</v>
      </c>
      <c r="I1336" s="1">
        <v>696</v>
      </c>
      <c r="J1336" s="2">
        <v>0.13</v>
      </c>
      <c r="K1336">
        <f t="shared" si="60"/>
        <v>90.48</v>
      </c>
      <c r="L1336">
        <f t="shared" si="61"/>
        <v>605.52</v>
      </c>
      <c r="M1336" t="str">
        <f t="shared" si="62"/>
        <v>Mar-2015</v>
      </c>
    </row>
    <row r="1337" spans="1:13" x14ac:dyDescent="0.3">
      <c r="A1337" t="s">
        <v>1903</v>
      </c>
      <c r="B1337" s="1" t="s">
        <v>77</v>
      </c>
      <c r="C1337" s="1" t="s">
        <v>78</v>
      </c>
      <c r="D1337" s="1" t="s">
        <v>35</v>
      </c>
      <c r="E1337" s="5">
        <v>42306</v>
      </c>
      <c r="F1337" s="3" t="s">
        <v>25</v>
      </c>
      <c r="G1337" s="1" t="s">
        <v>394</v>
      </c>
      <c r="H1337" s="1">
        <v>700</v>
      </c>
      <c r="I1337" s="1">
        <v>602</v>
      </c>
      <c r="J1337" s="2">
        <v>0.14000000000000001</v>
      </c>
      <c r="K1337">
        <f t="shared" si="60"/>
        <v>84.28</v>
      </c>
      <c r="L1337">
        <f t="shared" si="61"/>
        <v>517.72</v>
      </c>
      <c r="M1337" t="str">
        <f t="shared" si="62"/>
        <v>Oct-2015</v>
      </c>
    </row>
    <row r="1338" spans="1:13" x14ac:dyDescent="0.3">
      <c r="A1338" t="s">
        <v>1904</v>
      </c>
      <c r="B1338" s="1" t="s">
        <v>241</v>
      </c>
      <c r="C1338" s="1" t="s">
        <v>242</v>
      </c>
      <c r="D1338" s="1" t="s">
        <v>13</v>
      </c>
      <c r="E1338" s="5">
        <v>43021</v>
      </c>
      <c r="F1338" s="3" t="s">
        <v>36</v>
      </c>
      <c r="G1338" s="1" t="s">
        <v>287</v>
      </c>
      <c r="H1338" s="1">
        <v>50</v>
      </c>
      <c r="I1338" s="1">
        <v>43</v>
      </c>
      <c r="J1338" s="2">
        <v>0.14000000000000001</v>
      </c>
      <c r="K1338">
        <f t="shared" si="60"/>
        <v>6.0200000000000005</v>
      </c>
      <c r="L1338">
        <f t="shared" si="61"/>
        <v>36.979999999999997</v>
      </c>
      <c r="M1338" t="str">
        <f t="shared" si="62"/>
        <v>Oct-2017</v>
      </c>
    </row>
    <row r="1339" spans="1:13" x14ac:dyDescent="0.3">
      <c r="A1339" t="s">
        <v>1905</v>
      </c>
      <c r="B1339" s="1" t="s">
        <v>22</v>
      </c>
      <c r="C1339" s="1" t="s">
        <v>23</v>
      </c>
      <c r="D1339" s="1" t="s">
        <v>24</v>
      </c>
      <c r="E1339" s="5">
        <v>42963</v>
      </c>
      <c r="F1339" s="3" t="s">
        <v>104</v>
      </c>
      <c r="G1339" s="1" t="s">
        <v>483</v>
      </c>
      <c r="H1339" s="1">
        <v>70</v>
      </c>
      <c r="I1339" s="1">
        <v>42</v>
      </c>
      <c r="J1339" s="2">
        <v>0.4</v>
      </c>
      <c r="K1339">
        <f t="shared" si="60"/>
        <v>16.8</v>
      </c>
      <c r="L1339">
        <f t="shared" si="61"/>
        <v>25.2</v>
      </c>
      <c r="M1339" t="str">
        <f t="shared" si="62"/>
        <v>Aug-2017</v>
      </c>
    </row>
    <row r="1340" spans="1:13" x14ac:dyDescent="0.3">
      <c r="A1340" t="s">
        <v>1906</v>
      </c>
      <c r="B1340" s="1" t="s">
        <v>187</v>
      </c>
      <c r="C1340" s="1" t="s">
        <v>188</v>
      </c>
      <c r="D1340" s="1" t="s">
        <v>13</v>
      </c>
      <c r="E1340" s="5">
        <v>43069</v>
      </c>
      <c r="F1340" s="3" t="s">
        <v>41</v>
      </c>
      <c r="G1340" s="1" t="s">
        <v>741</v>
      </c>
      <c r="H1340" s="1">
        <v>30</v>
      </c>
      <c r="I1340" s="1">
        <v>30</v>
      </c>
      <c r="J1340" s="2">
        <v>0</v>
      </c>
      <c r="K1340">
        <f t="shared" si="60"/>
        <v>0</v>
      </c>
      <c r="L1340">
        <f t="shared" si="61"/>
        <v>30</v>
      </c>
      <c r="M1340" t="str">
        <f t="shared" si="62"/>
        <v>Nov-2017</v>
      </c>
    </row>
    <row r="1341" spans="1:13" x14ac:dyDescent="0.3">
      <c r="A1341" t="s">
        <v>1907</v>
      </c>
      <c r="B1341" s="1" t="s">
        <v>264</v>
      </c>
      <c r="C1341" s="1" t="s">
        <v>265</v>
      </c>
      <c r="D1341" s="1" t="s">
        <v>13</v>
      </c>
      <c r="E1341" s="5">
        <v>43295</v>
      </c>
      <c r="F1341" s="3" t="s">
        <v>25</v>
      </c>
      <c r="G1341" s="1" t="s">
        <v>802</v>
      </c>
      <c r="H1341" s="1">
        <v>700</v>
      </c>
      <c r="I1341" s="1">
        <v>623</v>
      </c>
      <c r="J1341" s="2">
        <v>0.11</v>
      </c>
      <c r="K1341">
        <f t="shared" si="60"/>
        <v>68.53</v>
      </c>
      <c r="L1341">
        <f t="shared" si="61"/>
        <v>554.47</v>
      </c>
      <c r="M1341" t="str">
        <f t="shared" si="62"/>
        <v>Jul-2018</v>
      </c>
    </row>
    <row r="1342" spans="1:13" x14ac:dyDescent="0.3">
      <c r="A1342" t="s">
        <v>1908</v>
      </c>
      <c r="B1342" s="1" t="s">
        <v>103</v>
      </c>
      <c r="C1342" s="1" t="s">
        <v>71</v>
      </c>
      <c r="D1342" s="1" t="s">
        <v>35</v>
      </c>
      <c r="E1342" s="5">
        <v>41790</v>
      </c>
      <c r="F1342" s="3" t="s">
        <v>14</v>
      </c>
      <c r="G1342" s="1" t="s">
        <v>1531</v>
      </c>
      <c r="H1342" s="1">
        <v>80</v>
      </c>
      <c r="I1342" s="1">
        <v>76</v>
      </c>
      <c r="J1342" s="2">
        <v>0.05</v>
      </c>
      <c r="K1342">
        <f t="shared" si="60"/>
        <v>3.8000000000000003</v>
      </c>
      <c r="L1342">
        <f t="shared" si="61"/>
        <v>72.2</v>
      </c>
      <c r="M1342" t="str">
        <f t="shared" si="62"/>
        <v>May-2014</v>
      </c>
    </row>
    <row r="1343" spans="1:13" x14ac:dyDescent="0.3">
      <c r="A1343" t="s">
        <v>1909</v>
      </c>
      <c r="B1343" s="1" t="s">
        <v>49</v>
      </c>
      <c r="C1343" s="1" t="s">
        <v>50</v>
      </c>
      <c r="D1343" s="1" t="s">
        <v>24</v>
      </c>
      <c r="E1343" s="5">
        <v>42728</v>
      </c>
      <c r="F1343" s="3" t="s">
        <v>104</v>
      </c>
      <c r="G1343" s="1" t="s">
        <v>1000</v>
      </c>
      <c r="H1343" s="1">
        <v>70</v>
      </c>
      <c r="I1343" s="1">
        <v>45</v>
      </c>
      <c r="J1343" s="2">
        <v>0.35709999999999997</v>
      </c>
      <c r="K1343">
        <f t="shared" si="60"/>
        <v>16.069499999999998</v>
      </c>
      <c r="L1343">
        <f t="shared" si="61"/>
        <v>28.930500000000002</v>
      </c>
      <c r="M1343" t="str">
        <f t="shared" si="62"/>
        <v>Dec-2016</v>
      </c>
    </row>
    <row r="1344" spans="1:13" x14ac:dyDescent="0.3">
      <c r="A1344" t="s">
        <v>1910</v>
      </c>
      <c r="B1344" s="1" t="s">
        <v>124</v>
      </c>
      <c r="C1344" s="1" t="s">
        <v>40</v>
      </c>
      <c r="D1344" s="1" t="s">
        <v>35</v>
      </c>
      <c r="E1344" s="5">
        <v>43027</v>
      </c>
      <c r="F1344" s="3" t="s">
        <v>55</v>
      </c>
      <c r="G1344" s="1" t="s">
        <v>1017</v>
      </c>
      <c r="H1344" s="1">
        <v>800</v>
      </c>
      <c r="I1344" s="1">
        <v>720</v>
      </c>
      <c r="J1344" s="2">
        <v>0.1</v>
      </c>
      <c r="K1344">
        <f t="shared" si="60"/>
        <v>72</v>
      </c>
      <c r="L1344">
        <f t="shared" si="61"/>
        <v>648</v>
      </c>
      <c r="M1344" t="str">
        <f t="shared" si="62"/>
        <v>Oct-2017</v>
      </c>
    </row>
    <row r="1345" spans="1:13" x14ac:dyDescent="0.3">
      <c r="A1345" t="s">
        <v>1911</v>
      </c>
      <c r="B1345" s="1" t="s">
        <v>154</v>
      </c>
      <c r="C1345" s="1" t="s">
        <v>108</v>
      </c>
      <c r="D1345" s="1" t="s">
        <v>19</v>
      </c>
      <c r="E1345" s="5">
        <v>42123</v>
      </c>
      <c r="F1345" s="3" t="s">
        <v>104</v>
      </c>
      <c r="G1345" s="1" t="s">
        <v>490</v>
      </c>
      <c r="H1345" s="1">
        <v>70</v>
      </c>
      <c r="I1345" s="1">
        <v>63</v>
      </c>
      <c r="J1345" s="2">
        <v>0.1</v>
      </c>
      <c r="K1345">
        <f t="shared" si="60"/>
        <v>6.3000000000000007</v>
      </c>
      <c r="L1345">
        <f t="shared" si="61"/>
        <v>56.7</v>
      </c>
      <c r="M1345" t="str">
        <f t="shared" si="62"/>
        <v>Apr-2015</v>
      </c>
    </row>
    <row r="1346" spans="1:13" x14ac:dyDescent="0.3">
      <c r="A1346" t="s">
        <v>1912</v>
      </c>
      <c r="B1346" s="1" t="s">
        <v>53</v>
      </c>
      <c r="C1346" s="1" t="s">
        <v>54</v>
      </c>
      <c r="D1346" s="1" t="s">
        <v>13</v>
      </c>
      <c r="E1346" s="5">
        <v>41879</v>
      </c>
      <c r="F1346" s="3" t="s">
        <v>30</v>
      </c>
      <c r="G1346" s="1" t="s">
        <v>822</v>
      </c>
      <c r="H1346" s="1">
        <v>150</v>
      </c>
      <c r="I1346" s="1">
        <v>150</v>
      </c>
      <c r="J1346" s="2">
        <v>0</v>
      </c>
      <c r="K1346">
        <f t="shared" si="60"/>
        <v>0</v>
      </c>
      <c r="L1346">
        <f t="shared" si="61"/>
        <v>150</v>
      </c>
      <c r="M1346" t="str">
        <f t="shared" si="62"/>
        <v>Aug-2014</v>
      </c>
    </row>
    <row r="1347" spans="1:13" x14ac:dyDescent="0.3">
      <c r="A1347" t="s">
        <v>1913</v>
      </c>
      <c r="B1347" s="1" t="s">
        <v>111</v>
      </c>
      <c r="C1347" s="1" t="s">
        <v>82</v>
      </c>
      <c r="D1347" s="1" t="s">
        <v>13</v>
      </c>
      <c r="E1347" s="5">
        <v>43128</v>
      </c>
      <c r="F1347" s="3" t="s">
        <v>72</v>
      </c>
      <c r="G1347" s="1" t="s">
        <v>1688</v>
      </c>
      <c r="H1347" s="1">
        <v>500</v>
      </c>
      <c r="I1347" s="1">
        <v>490</v>
      </c>
      <c r="J1347" s="2">
        <v>0.02</v>
      </c>
      <c r="K1347">
        <f t="shared" si="60"/>
        <v>9.8000000000000007</v>
      </c>
      <c r="L1347">
        <f t="shared" si="61"/>
        <v>480.2</v>
      </c>
      <c r="M1347" t="str">
        <f t="shared" si="62"/>
        <v>Jan-2018</v>
      </c>
    </row>
    <row r="1348" spans="1:13" x14ac:dyDescent="0.3">
      <c r="A1348" t="s">
        <v>1914</v>
      </c>
      <c r="B1348" s="1" t="s">
        <v>324</v>
      </c>
      <c r="C1348" s="1" t="s">
        <v>325</v>
      </c>
      <c r="D1348" s="1" t="s">
        <v>13</v>
      </c>
      <c r="E1348" s="5">
        <v>42080</v>
      </c>
      <c r="F1348" s="3" t="s">
        <v>46</v>
      </c>
      <c r="G1348" s="1" t="s">
        <v>1915</v>
      </c>
      <c r="H1348" s="1">
        <v>500</v>
      </c>
      <c r="I1348" s="1">
        <v>500</v>
      </c>
      <c r="J1348" s="2">
        <v>0</v>
      </c>
      <c r="K1348">
        <f t="shared" ref="K1348:K1411" si="63">I1348*J1348</f>
        <v>0</v>
      </c>
      <c r="L1348">
        <f t="shared" ref="L1348:L1411" si="64">I1348-K1348</f>
        <v>500</v>
      </c>
      <c r="M1348" t="str">
        <f t="shared" ref="M1348:M1411" si="65">TEXT(E1348, "mmm-yyyy")</f>
        <v>Mar-2015</v>
      </c>
    </row>
    <row r="1349" spans="1:13" x14ac:dyDescent="0.3">
      <c r="A1349" t="s">
        <v>1916</v>
      </c>
      <c r="B1349" s="1" t="s">
        <v>103</v>
      </c>
      <c r="C1349" s="1" t="s">
        <v>71</v>
      </c>
      <c r="D1349" s="1" t="s">
        <v>35</v>
      </c>
      <c r="E1349" s="5">
        <v>42760</v>
      </c>
      <c r="F1349" s="3" t="s">
        <v>115</v>
      </c>
      <c r="G1349" s="1" t="s">
        <v>727</v>
      </c>
      <c r="H1349" s="1">
        <v>250</v>
      </c>
      <c r="I1349" s="1">
        <v>225</v>
      </c>
      <c r="J1349" s="2">
        <v>0.1</v>
      </c>
      <c r="K1349">
        <f t="shared" si="63"/>
        <v>22.5</v>
      </c>
      <c r="L1349">
        <f t="shared" si="64"/>
        <v>202.5</v>
      </c>
      <c r="M1349" t="str">
        <f t="shared" si="65"/>
        <v>Jan-2017</v>
      </c>
    </row>
    <row r="1350" spans="1:13" x14ac:dyDescent="0.3">
      <c r="A1350" t="s">
        <v>1917</v>
      </c>
      <c r="B1350" s="1" t="s">
        <v>124</v>
      </c>
      <c r="C1350" s="1" t="s">
        <v>40</v>
      </c>
      <c r="D1350" s="1" t="s">
        <v>35</v>
      </c>
      <c r="E1350" s="5">
        <v>42642</v>
      </c>
      <c r="F1350" s="3" t="s">
        <v>36</v>
      </c>
      <c r="G1350" s="1" t="s">
        <v>125</v>
      </c>
      <c r="H1350" s="1">
        <v>50</v>
      </c>
      <c r="I1350" s="1">
        <v>43</v>
      </c>
      <c r="J1350" s="2">
        <v>0.14000000000000001</v>
      </c>
      <c r="K1350">
        <f t="shared" si="63"/>
        <v>6.0200000000000005</v>
      </c>
      <c r="L1350">
        <f t="shared" si="64"/>
        <v>36.979999999999997</v>
      </c>
      <c r="M1350" t="str">
        <f t="shared" si="65"/>
        <v>Sep-2016</v>
      </c>
    </row>
    <row r="1351" spans="1:13" x14ac:dyDescent="0.3">
      <c r="A1351" t="s">
        <v>1918</v>
      </c>
      <c r="B1351" s="1" t="s">
        <v>174</v>
      </c>
      <c r="C1351" s="1" t="s">
        <v>175</v>
      </c>
      <c r="D1351" s="1" t="s">
        <v>13</v>
      </c>
      <c r="E1351" s="5">
        <v>43393</v>
      </c>
      <c r="F1351" s="3" t="s">
        <v>122</v>
      </c>
      <c r="G1351" s="1" t="s">
        <v>176</v>
      </c>
      <c r="H1351" s="1">
        <v>50</v>
      </c>
      <c r="I1351" s="1">
        <v>47</v>
      </c>
      <c r="J1351" s="2">
        <v>0.06</v>
      </c>
      <c r="K1351">
        <f t="shared" si="63"/>
        <v>2.82</v>
      </c>
      <c r="L1351">
        <f t="shared" si="64"/>
        <v>44.18</v>
      </c>
      <c r="M1351" t="str">
        <f t="shared" si="65"/>
        <v>Oct-2018</v>
      </c>
    </row>
    <row r="1352" spans="1:13" x14ac:dyDescent="0.3">
      <c r="A1352" t="s">
        <v>1919</v>
      </c>
      <c r="B1352" s="1" t="s">
        <v>221</v>
      </c>
      <c r="C1352" s="1" t="s">
        <v>40</v>
      </c>
      <c r="D1352" s="1" t="s">
        <v>35</v>
      </c>
      <c r="E1352" s="5">
        <v>41696</v>
      </c>
      <c r="F1352" s="3" t="s">
        <v>61</v>
      </c>
      <c r="G1352" s="1" t="s">
        <v>1920</v>
      </c>
      <c r="H1352" s="1">
        <v>1000</v>
      </c>
      <c r="I1352" s="1">
        <v>870</v>
      </c>
      <c r="J1352" s="2">
        <v>0.13</v>
      </c>
      <c r="K1352">
        <f t="shared" si="63"/>
        <v>113.10000000000001</v>
      </c>
      <c r="L1352">
        <f t="shared" si="64"/>
        <v>756.9</v>
      </c>
      <c r="M1352" t="str">
        <f t="shared" si="65"/>
        <v>Feb-2014</v>
      </c>
    </row>
    <row r="1353" spans="1:13" x14ac:dyDescent="0.3">
      <c r="A1353" t="s">
        <v>1921</v>
      </c>
      <c r="B1353" s="1" t="s">
        <v>33</v>
      </c>
      <c r="C1353" s="1" t="s">
        <v>34</v>
      </c>
      <c r="D1353" s="1" t="s">
        <v>35</v>
      </c>
      <c r="E1353" s="5">
        <v>41655</v>
      </c>
      <c r="F1353" s="3" t="s">
        <v>55</v>
      </c>
      <c r="G1353" s="1" t="s">
        <v>37</v>
      </c>
      <c r="H1353" s="1">
        <v>800</v>
      </c>
      <c r="I1353" s="1">
        <v>456</v>
      </c>
      <c r="J1353" s="2">
        <v>0.43</v>
      </c>
      <c r="K1353">
        <f t="shared" si="63"/>
        <v>196.07999999999998</v>
      </c>
      <c r="L1353">
        <f t="shared" si="64"/>
        <v>259.92</v>
      </c>
      <c r="M1353" t="str">
        <f t="shared" si="65"/>
        <v>Jan-2014</v>
      </c>
    </row>
    <row r="1354" spans="1:13" x14ac:dyDescent="0.3">
      <c r="A1354" t="s">
        <v>1922</v>
      </c>
      <c r="B1354" s="1" t="s">
        <v>70</v>
      </c>
      <c r="C1354" s="1" t="s">
        <v>71</v>
      </c>
      <c r="D1354" s="1" t="s">
        <v>35</v>
      </c>
      <c r="E1354" s="5">
        <v>42608</v>
      </c>
      <c r="F1354" s="3" t="s">
        <v>25</v>
      </c>
      <c r="G1354" s="1" t="s">
        <v>1723</v>
      </c>
      <c r="H1354" s="1">
        <v>700</v>
      </c>
      <c r="I1354" s="1">
        <v>525</v>
      </c>
      <c r="J1354" s="2">
        <v>0.25</v>
      </c>
      <c r="K1354">
        <f t="shared" si="63"/>
        <v>131.25</v>
      </c>
      <c r="L1354">
        <f t="shared" si="64"/>
        <v>393.75</v>
      </c>
      <c r="M1354" t="str">
        <f t="shared" si="65"/>
        <v>Aug-2016</v>
      </c>
    </row>
    <row r="1355" spans="1:13" x14ac:dyDescent="0.3">
      <c r="A1355" t="s">
        <v>1923</v>
      </c>
      <c r="B1355" s="1" t="s">
        <v>103</v>
      </c>
      <c r="C1355" s="1" t="s">
        <v>71</v>
      </c>
      <c r="D1355" s="1" t="s">
        <v>35</v>
      </c>
      <c r="E1355" s="5">
        <v>41727</v>
      </c>
      <c r="F1355" s="3" t="s">
        <v>104</v>
      </c>
      <c r="G1355" s="1" t="s">
        <v>247</v>
      </c>
      <c r="H1355" s="1">
        <v>70</v>
      </c>
      <c r="I1355" s="1">
        <v>63</v>
      </c>
      <c r="J1355" s="2">
        <v>0.1</v>
      </c>
      <c r="K1355">
        <f t="shared" si="63"/>
        <v>6.3000000000000007</v>
      </c>
      <c r="L1355">
        <f t="shared" si="64"/>
        <v>56.7</v>
      </c>
      <c r="M1355" t="str">
        <f t="shared" si="65"/>
        <v>Mar-2014</v>
      </c>
    </row>
    <row r="1356" spans="1:13" x14ac:dyDescent="0.3">
      <c r="A1356" t="s">
        <v>1924</v>
      </c>
      <c r="B1356" s="1" t="s">
        <v>131</v>
      </c>
      <c r="C1356" s="1" t="s">
        <v>108</v>
      </c>
      <c r="D1356" s="1" t="s">
        <v>19</v>
      </c>
      <c r="E1356" s="5">
        <v>42483</v>
      </c>
      <c r="F1356" s="3" t="s">
        <v>41</v>
      </c>
      <c r="G1356" s="1" t="s">
        <v>1550</v>
      </c>
      <c r="H1356" s="1">
        <v>30</v>
      </c>
      <c r="I1356" s="1">
        <v>26</v>
      </c>
      <c r="J1356" s="2">
        <v>0.1333</v>
      </c>
      <c r="K1356">
        <f t="shared" si="63"/>
        <v>3.4658000000000002</v>
      </c>
      <c r="L1356">
        <f t="shared" si="64"/>
        <v>22.534199999999998</v>
      </c>
      <c r="M1356" t="str">
        <f t="shared" si="65"/>
        <v>Apr-2016</v>
      </c>
    </row>
    <row r="1357" spans="1:13" x14ac:dyDescent="0.3">
      <c r="A1357" t="s">
        <v>1925</v>
      </c>
      <c r="B1357" s="1" t="s">
        <v>289</v>
      </c>
      <c r="C1357" s="1" t="s">
        <v>108</v>
      </c>
      <c r="D1357" s="1" t="s">
        <v>19</v>
      </c>
      <c r="E1357" s="5">
        <v>41964</v>
      </c>
      <c r="F1357" s="3" t="s">
        <v>46</v>
      </c>
      <c r="G1357" s="1" t="s">
        <v>290</v>
      </c>
      <c r="H1357" s="1">
        <v>500</v>
      </c>
      <c r="I1357" s="1">
        <v>500</v>
      </c>
      <c r="J1357" s="2">
        <v>0</v>
      </c>
      <c r="K1357">
        <f t="shared" si="63"/>
        <v>0</v>
      </c>
      <c r="L1357">
        <f t="shared" si="64"/>
        <v>500</v>
      </c>
      <c r="M1357" t="str">
        <f t="shared" si="65"/>
        <v>Nov-2014</v>
      </c>
    </row>
    <row r="1358" spans="1:13" x14ac:dyDescent="0.3">
      <c r="A1358" t="s">
        <v>1926</v>
      </c>
      <c r="B1358" s="1" t="s">
        <v>187</v>
      </c>
      <c r="C1358" s="1" t="s">
        <v>188</v>
      </c>
      <c r="D1358" s="1" t="s">
        <v>13</v>
      </c>
      <c r="E1358" s="5">
        <v>42305</v>
      </c>
      <c r="F1358" s="3" t="s">
        <v>41</v>
      </c>
      <c r="G1358" s="1" t="s">
        <v>1150</v>
      </c>
      <c r="H1358" s="1">
        <v>30</v>
      </c>
      <c r="I1358" s="1">
        <v>29</v>
      </c>
      <c r="J1358" s="2">
        <v>3.3300000000000003E-2</v>
      </c>
      <c r="K1358">
        <f t="shared" si="63"/>
        <v>0.96570000000000011</v>
      </c>
      <c r="L1358">
        <f t="shared" si="64"/>
        <v>28.034299999999998</v>
      </c>
      <c r="M1358" t="str">
        <f t="shared" si="65"/>
        <v>Oct-2015</v>
      </c>
    </row>
    <row r="1359" spans="1:13" x14ac:dyDescent="0.3">
      <c r="A1359" t="s">
        <v>1927</v>
      </c>
      <c r="B1359" s="1" t="s">
        <v>131</v>
      </c>
      <c r="C1359" s="1" t="s">
        <v>108</v>
      </c>
      <c r="D1359" s="1" t="s">
        <v>19</v>
      </c>
      <c r="E1359" s="5">
        <v>41898</v>
      </c>
      <c r="F1359" s="3" t="s">
        <v>41</v>
      </c>
      <c r="G1359" s="1" t="s">
        <v>212</v>
      </c>
      <c r="H1359" s="1">
        <v>30</v>
      </c>
      <c r="I1359" s="1">
        <v>23</v>
      </c>
      <c r="J1359" s="2">
        <v>0.23330000000000001</v>
      </c>
      <c r="K1359">
        <f t="shared" si="63"/>
        <v>5.3658999999999999</v>
      </c>
      <c r="L1359">
        <f t="shared" si="64"/>
        <v>17.6341</v>
      </c>
      <c r="M1359" t="str">
        <f t="shared" si="65"/>
        <v>Sep-2014</v>
      </c>
    </row>
    <row r="1360" spans="1:13" x14ac:dyDescent="0.3">
      <c r="A1360" t="s">
        <v>1928</v>
      </c>
      <c r="B1360" s="1" t="s">
        <v>270</v>
      </c>
      <c r="C1360" s="1" t="s">
        <v>271</v>
      </c>
      <c r="D1360" s="1" t="s">
        <v>35</v>
      </c>
      <c r="E1360" s="5">
        <v>41818</v>
      </c>
      <c r="F1360" s="3" t="s">
        <v>72</v>
      </c>
      <c r="G1360" s="1" t="s">
        <v>715</v>
      </c>
      <c r="H1360" s="1">
        <v>500</v>
      </c>
      <c r="I1360" s="1">
        <v>495</v>
      </c>
      <c r="J1360" s="2">
        <v>0.01</v>
      </c>
      <c r="K1360">
        <f t="shared" si="63"/>
        <v>4.95</v>
      </c>
      <c r="L1360">
        <f t="shared" si="64"/>
        <v>490.05</v>
      </c>
      <c r="M1360" t="str">
        <f t="shared" si="65"/>
        <v>Jun-2014</v>
      </c>
    </row>
    <row r="1361" spans="1:13" x14ac:dyDescent="0.3">
      <c r="A1361" t="s">
        <v>1929</v>
      </c>
      <c r="B1361" s="1" t="s">
        <v>91</v>
      </c>
      <c r="C1361" s="1" t="s">
        <v>92</v>
      </c>
      <c r="D1361" s="1" t="s">
        <v>35</v>
      </c>
      <c r="E1361" s="5">
        <v>41847</v>
      </c>
      <c r="F1361" s="3" t="s">
        <v>46</v>
      </c>
      <c r="G1361" s="1" t="s">
        <v>1155</v>
      </c>
      <c r="H1361" s="1">
        <v>500</v>
      </c>
      <c r="I1361" s="1">
        <v>480</v>
      </c>
      <c r="J1361" s="2">
        <v>0.04</v>
      </c>
      <c r="K1361">
        <f t="shared" si="63"/>
        <v>19.2</v>
      </c>
      <c r="L1361">
        <f t="shared" si="64"/>
        <v>460.8</v>
      </c>
      <c r="M1361" t="str">
        <f t="shared" si="65"/>
        <v>Jul-2014</v>
      </c>
    </row>
    <row r="1362" spans="1:13" x14ac:dyDescent="0.3">
      <c r="A1362" t="s">
        <v>1930</v>
      </c>
      <c r="B1362" s="1" t="s">
        <v>95</v>
      </c>
      <c r="C1362" s="1" t="s">
        <v>96</v>
      </c>
      <c r="D1362" s="1" t="s">
        <v>13</v>
      </c>
      <c r="E1362" s="5">
        <v>41667</v>
      </c>
      <c r="F1362" s="3" t="s">
        <v>61</v>
      </c>
      <c r="G1362" s="1" t="s">
        <v>1275</v>
      </c>
      <c r="H1362" s="1">
        <v>1000</v>
      </c>
      <c r="I1362" s="1">
        <v>930</v>
      </c>
      <c r="J1362" s="2">
        <v>7.0000000000000007E-2</v>
      </c>
      <c r="K1362">
        <f t="shared" si="63"/>
        <v>65.100000000000009</v>
      </c>
      <c r="L1362">
        <f t="shared" si="64"/>
        <v>864.9</v>
      </c>
      <c r="M1362" t="str">
        <f t="shared" si="65"/>
        <v>Jan-2014</v>
      </c>
    </row>
    <row r="1363" spans="1:13" x14ac:dyDescent="0.3">
      <c r="A1363" t="s">
        <v>1931</v>
      </c>
      <c r="B1363" s="1" t="s">
        <v>85</v>
      </c>
      <c r="C1363" s="1" t="s">
        <v>86</v>
      </c>
      <c r="D1363" s="1" t="s">
        <v>13</v>
      </c>
      <c r="E1363" s="5">
        <v>42477</v>
      </c>
      <c r="F1363" s="3" t="s">
        <v>30</v>
      </c>
      <c r="G1363" s="1" t="s">
        <v>166</v>
      </c>
      <c r="H1363" s="1">
        <v>150</v>
      </c>
      <c r="I1363" s="1">
        <v>110</v>
      </c>
      <c r="J1363" s="2">
        <v>0.26669999999999999</v>
      </c>
      <c r="K1363">
        <f t="shared" si="63"/>
        <v>29.337</v>
      </c>
      <c r="L1363">
        <f t="shared" si="64"/>
        <v>80.662999999999997</v>
      </c>
      <c r="M1363" t="str">
        <f t="shared" si="65"/>
        <v>Apr-2016</v>
      </c>
    </row>
    <row r="1364" spans="1:13" x14ac:dyDescent="0.3">
      <c r="A1364" t="s">
        <v>1932</v>
      </c>
      <c r="B1364" s="1" t="s">
        <v>182</v>
      </c>
      <c r="C1364" s="1" t="s">
        <v>108</v>
      </c>
      <c r="D1364" s="1" t="s">
        <v>19</v>
      </c>
      <c r="E1364" s="5">
        <v>42998</v>
      </c>
      <c r="F1364" s="3" t="s">
        <v>61</v>
      </c>
      <c r="G1364" s="1" t="s">
        <v>1258</v>
      </c>
      <c r="H1364" s="1">
        <v>1000</v>
      </c>
      <c r="I1364" s="1">
        <v>910</v>
      </c>
      <c r="J1364" s="2">
        <v>0.09</v>
      </c>
      <c r="K1364">
        <f t="shared" si="63"/>
        <v>81.899999999999991</v>
      </c>
      <c r="L1364">
        <f t="shared" si="64"/>
        <v>828.1</v>
      </c>
      <c r="M1364" t="str">
        <f t="shared" si="65"/>
        <v>Sep-2017</v>
      </c>
    </row>
    <row r="1365" spans="1:13" x14ac:dyDescent="0.3">
      <c r="A1365" t="s">
        <v>1933</v>
      </c>
      <c r="B1365" s="1" t="s">
        <v>81</v>
      </c>
      <c r="C1365" s="1" t="s">
        <v>82</v>
      </c>
      <c r="D1365" s="1" t="s">
        <v>13</v>
      </c>
      <c r="E1365" s="5">
        <v>41833</v>
      </c>
      <c r="F1365" s="3" t="s">
        <v>104</v>
      </c>
      <c r="G1365" s="1" t="s">
        <v>282</v>
      </c>
      <c r="H1365" s="1">
        <v>70</v>
      </c>
      <c r="I1365" s="1">
        <v>69</v>
      </c>
      <c r="J1365" s="2">
        <v>1.43E-2</v>
      </c>
      <c r="K1365">
        <f t="shared" si="63"/>
        <v>0.98670000000000002</v>
      </c>
      <c r="L1365">
        <f t="shared" si="64"/>
        <v>68.013300000000001</v>
      </c>
      <c r="M1365" t="str">
        <f t="shared" si="65"/>
        <v>Jul-2014</v>
      </c>
    </row>
    <row r="1366" spans="1:13" x14ac:dyDescent="0.3">
      <c r="A1366" t="s">
        <v>1934</v>
      </c>
      <c r="B1366" s="1" t="s">
        <v>11</v>
      </c>
      <c r="C1366" s="1" t="s">
        <v>12</v>
      </c>
      <c r="D1366" s="1" t="s">
        <v>13</v>
      </c>
      <c r="E1366" s="5">
        <v>42540</v>
      </c>
      <c r="F1366" s="3" t="s">
        <v>25</v>
      </c>
      <c r="G1366" s="1" t="s">
        <v>1159</v>
      </c>
      <c r="H1366" s="1">
        <v>700</v>
      </c>
      <c r="I1366" s="1">
        <v>665</v>
      </c>
      <c r="J1366" s="2">
        <v>0.05</v>
      </c>
      <c r="K1366">
        <f t="shared" si="63"/>
        <v>33.25</v>
      </c>
      <c r="L1366">
        <f t="shared" si="64"/>
        <v>631.75</v>
      </c>
      <c r="M1366" t="str">
        <f t="shared" si="65"/>
        <v>Jun-2016</v>
      </c>
    </row>
    <row r="1367" spans="1:13" x14ac:dyDescent="0.3">
      <c r="A1367" t="s">
        <v>1935</v>
      </c>
      <c r="B1367" s="1" t="s">
        <v>59</v>
      </c>
      <c r="C1367" s="1" t="s">
        <v>60</v>
      </c>
      <c r="D1367" s="1" t="s">
        <v>13</v>
      </c>
      <c r="E1367" s="5">
        <v>42612</v>
      </c>
      <c r="F1367" s="3" t="s">
        <v>30</v>
      </c>
      <c r="G1367" s="1" t="s">
        <v>1750</v>
      </c>
      <c r="H1367" s="1">
        <v>150</v>
      </c>
      <c r="I1367" s="1">
        <v>143</v>
      </c>
      <c r="J1367" s="2">
        <v>4.6699999999999998E-2</v>
      </c>
      <c r="K1367">
        <f t="shared" si="63"/>
        <v>6.6780999999999997</v>
      </c>
      <c r="L1367">
        <f t="shared" si="64"/>
        <v>136.3219</v>
      </c>
      <c r="M1367" t="str">
        <f t="shared" si="65"/>
        <v>Aug-2016</v>
      </c>
    </row>
    <row r="1368" spans="1:13" x14ac:dyDescent="0.3">
      <c r="A1368" t="s">
        <v>1936</v>
      </c>
      <c r="B1368" s="1" t="s">
        <v>91</v>
      </c>
      <c r="C1368" s="1" t="s">
        <v>92</v>
      </c>
      <c r="D1368" s="1" t="s">
        <v>35</v>
      </c>
      <c r="E1368" s="5">
        <v>42693</v>
      </c>
      <c r="F1368" s="3" t="s">
        <v>25</v>
      </c>
      <c r="G1368" s="1" t="s">
        <v>1403</v>
      </c>
      <c r="H1368" s="1">
        <v>700</v>
      </c>
      <c r="I1368" s="1">
        <v>672</v>
      </c>
      <c r="J1368" s="2">
        <v>0.04</v>
      </c>
      <c r="K1368">
        <f t="shared" si="63"/>
        <v>26.88</v>
      </c>
      <c r="L1368">
        <f t="shared" si="64"/>
        <v>645.12</v>
      </c>
      <c r="M1368" t="str">
        <f t="shared" si="65"/>
        <v>Nov-2016</v>
      </c>
    </row>
    <row r="1369" spans="1:13" x14ac:dyDescent="0.3">
      <c r="A1369" t="s">
        <v>1937</v>
      </c>
      <c r="B1369" s="1" t="s">
        <v>131</v>
      </c>
      <c r="C1369" s="1" t="s">
        <v>108</v>
      </c>
      <c r="D1369" s="1" t="s">
        <v>19</v>
      </c>
      <c r="E1369" s="5">
        <v>42610</v>
      </c>
      <c r="F1369" s="3" t="s">
        <v>36</v>
      </c>
      <c r="G1369" s="1" t="s">
        <v>1550</v>
      </c>
      <c r="H1369" s="1">
        <v>50</v>
      </c>
      <c r="I1369" s="1">
        <v>45</v>
      </c>
      <c r="J1369" s="2">
        <v>0.1</v>
      </c>
      <c r="K1369">
        <f t="shared" si="63"/>
        <v>4.5</v>
      </c>
      <c r="L1369">
        <f t="shared" si="64"/>
        <v>40.5</v>
      </c>
      <c r="M1369" t="str">
        <f t="shared" si="65"/>
        <v>Aug-2016</v>
      </c>
    </row>
    <row r="1370" spans="1:13" x14ac:dyDescent="0.3">
      <c r="A1370" t="s">
        <v>1938</v>
      </c>
      <c r="B1370" s="1" t="s">
        <v>324</v>
      </c>
      <c r="C1370" s="1" t="s">
        <v>325</v>
      </c>
      <c r="D1370" s="1" t="s">
        <v>13</v>
      </c>
      <c r="E1370" s="5">
        <v>41989</v>
      </c>
      <c r="F1370" s="3" t="s">
        <v>104</v>
      </c>
      <c r="G1370" s="1" t="s">
        <v>453</v>
      </c>
      <c r="H1370" s="1">
        <v>70</v>
      </c>
      <c r="I1370" s="1">
        <v>67</v>
      </c>
      <c r="J1370" s="2">
        <v>4.2900000000000001E-2</v>
      </c>
      <c r="K1370">
        <f t="shared" si="63"/>
        <v>2.8742999999999999</v>
      </c>
      <c r="L1370">
        <f t="shared" si="64"/>
        <v>64.125699999999995</v>
      </c>
      <c r="M1370" t="str">
        <f t="shared" si="65"/>
        <v>Dec-2014</v>
      </c>
    </row>
    <row r="1371" spans="1:13" x14ac:dyDescent="0.3">
      <c r="A1371" t="s">
        <v>1939</v>
      </c>
      <c r="B1371" s="1" t="s">
        <v>70</v>
      </c>
      <c r="C1371" s="1" t="s">
        <v>71</v>
      </c>
      <c r="D1371" s="1" t="s">
        <v>35</v>
      </c>
      <c r="E1371" s="5">
        <v>42946</v>
      </c>
      <c r="F1371" s="3" t="s">
        <v>122</v>
      </c>
      <c r="G1371" s="1" t="s">
        <v>391</v>
      </c>
      <c r="H1371" s="1">
        <v>50</v>
      </c>
      <c r="I1371" s="1">
        <v>38</v>
      </c>
      <c r="J1371" s="2">
        <v>0.24</v>
      </c>
      <c r="K1371">
        <f t="shared" si="63"/>
        <v>9.1199999999999992</v>
      </c>
      <c r="L1371">
        <f t="shared" si="64"/>
        <v>28.880000000000003</v>
      </c>
      <c r="M1371" t="str">
        <f t="shared" si="65"/>
        <v>Jul-2017</v>
      </c>
    </row>
    <row r="1372" spans="1:13" x14ac:dyDescent="0.3">
      <c r="A1372" t="s">
        <v>1940</v>
      </c>
      <c r="B1372" s="1" t="s">
        <v>49</v>
      </c>
      <c r="C1372" s="1" t="s">
        <v>50</v>
      </c>
      <c r="D1372" s="1" t="s">
        <v>24</v>
      </c>
      <c r="E1372" s="5">
        <v>42723</v>
      </c>
      <c r="F1372" s="3" t="s">
        <v>72</v>
      </c>
      <c r="G1372" s="1" t="s">
        <v>68</v>
      </c>
      <c r="H1372" s="1">
        <v>500</v>
      </c>
      <c r="I1372" s="1">
        <v>495</v>
      </c>
      <c r="J1372" s="2">
        <v>0.01</v>
      </c>
      <c r="K1372">
        <f t="shared" si="63"/>
        <v>4.95</v>
      </c>
      <c r="L1372">
        <f t="shared" si="64"/>
        <v>490.05</v>
      </c>
      <c r="M1372" t="str">
        <f t="shared" si="65"/>
        <v>Dec-2016</v>
      </c>
    </row>
    <row r="1373" spans="1:13" x14ac:dyDescent="0.3">
      <c r="A1373" t="s">
        <v>1941</v>
      </c>
      <c r="B1373" s="1" t="s">
        <v>224</v>
      </c>
      <c r="C1373" s="1" t="s">
        <v>50</v>
      </c>
      <c r="D1373" s="1" t="s">
        <v>24</v>
      </c>
      <c r="E1373" s="5">
        <v>42081</v>
      </c>
      <c r="F1373" s="3" t="s">
        <v>122</v>
      </c>
      <c r="G1373" s="1" t="s">
        <v>1942</v>
      </c>
      <c r="H1373" s="1">
        <v>50</v>
      </c>
      <c r="I1373" s="1">
        <v>43</v>
      </c>
      <c r="J1373" s="2">
        <v>0.14000000000000001</v>
      </c>
      <c r="K1373">
        <f t="shared" si="63"/>
        <v>6.0200000000000005</v>
      </c>
      <c r="L1373">
        <f t="shared" si="64"/>
        <v>36.979999999999997</v>
      </c>
      <c r="M1373" t="str">
        <f t="shared" si="65"/>
        <v>Mar-2015</v>
      </c>
    </row>
    <row r="1374" spans="1:13" x14ac:dyDescent="0.3">
      <c r="A1374" t="s">
        <v>1943</v>
      </c>
      <c r="B1374" s="1" t="s">
        <v>99</v>
      </c>
      <c r="C1374" s="1" t="s">
        <v>100</v>
      </c>
      <c r="D1374" s="1" t="s">
        <v>13</v>
      </c>
      <c r="E1374" s="5">
        <v>42628</v>
      </c>
      <c r="F1374" s="3" t="s">
        <v>61</v>
      </c>
      <c r="G1374" s="1" t="s">
        <v>911</v>
      </c>
      <c r="H1374" s="1">
        <v>1000</v>
      </c>
      <c r="I1374" s="1">
        <v>930</v>
      </c>
      <c r="J1374" s="2">
        <v>7.0000000000000007E-2</v>
      </c>
      <c r="K1374">
        <f t="shared" si="63"/>
        <v>65.100000000000009</v>
      </c>
      <c r="L1374">
        <f t="shared" si="64"/>
        <v>864.9</v>
      </c>
      <c r="M1374" t="str">
        <f t="shared" si="65"/>
        <v>Sep-2016</v>
      </c>
    </row>
    <row r="1375" spans="1:13" x14ac:dyDescent="0.3">
      <c r="A1375" t="s">
        <v>1944</v>
      </c>
      <c r="B1375" s="1" t="s">
        <v>154</v>
      </c>
      <c r="C1375" s="1" t="s">
        <v>108</v>
      </c>
      <c r="D1375" s="1" t="s">
        <v>19</v>
      </c>
      <c r="E1375" s="5">
        <v>42727</v>
      </c>
      <c r="F1375" s="3" t="s">
        <v>72</v>
      </c>
      <c r="G1375" s="1" t="s">
        <v>1292</v>
      </c>
      <c r="H1375" s="1">
        <v>500</v>
      </c>
      <c r="I1375" s="1">
        <v>490</v>
      </c>
      <c r="J1375" s="2">
        <v>0.02</v>
      </c>
      <c r="K1375">
        <f t="shared" si="63"/>
        <v>9.8000000000000007</v>
      </c>
      <c r="L1375">
        <f t="shared" si="64"/>
        <v>480.2</v>
      </c>
      <c r="M1375" t="str">
        <f t="shared" si="65"/>
        <v>Dec-2016</v>
      </c>
    </row>
    <row r="1376" spans="1:13" x14ac:dyDescent="0.3">
      <c r="A1376" t="s">
        <v>1945</v>
      </c>
      <c r="B1376" s="1" t="s">
        <v>124</v>
      </c>
      <c r="C1376" s="1" t="s">
        <v>40</v>
      </c>
      <c r="D1376" s="1" t="s">
        <v>35</v>
      </c>
      <c r="E1376" s="5">
        <v>43069</v>
      </c>
      <c r="F1376" s="3" t="s">
        <v>25</v>
      </c>
      <c r="G1376" s="1" t="s">
        <v>1017</v>
      </c>
      <c r="H1376" s="1">
        <v>700</v>
      </c>
      <c r="I1376" s="1">
        <v>658</v>
      </c>
      <c r="J1376" s="2">
        <v>0.06</v>
      </c>
      <c r="K1376">
        <f t="shared" si="63"/>
        <v>39.479999999999997</v>
      </c>
      <c r="L1376">
        <f t="shared" si="64"/>
        <v>618.52</v>
      </c>
      <c r="M1376" t="str">
        <f t="shared" si="65"/>
        <v>Nov-2017</v>
      </c>
    </row>
    <row r="1377" spans="1:13" x14ac:dyDescent="0.3">
      <c r="A1377" t="s">
        <v>1946</v>
      </c>
      <c r="B1377" s="1" t="s">
        <v>270</v>
      </c>
      <c r="C1377" s="1" t="s">
        <v>271</v>
      </c>
      <c r="D1377" s="1" t="s">
        <v>35</v>
      </c>
      <c r="E1377" s="5">
        <v>41843</v>
      </c>
      <c r="F1377" s="3" t="s">
        <v>36</v>
      </c>
      <c r="G1377" s="1" t="s">
        <v>1827</v>
      </c>
      <c r="H1377" s="1">
        <v>50</v>
      </c>
      <c r="I1377" s="1">
        <v>47</v>
      </c>
      <c r="J1377" s="2">
        <v>0.06</v>
      </c>
      <c r="K1377">
        <f t="shared" si="63"/>
        <v>2.82</v>
      </c>
      <c r="L1377">
        <f t="shared" si="64"/>
        <v>44.18</v>
      </c>
      <c r="M1377" t="str">
        <f t="shared" si="65"/>
        <v>Jul-2014</v>
      </c>
    </row>
    <row r="1378" spans="1:13" x14ac:dyDescent="0.3">
      <c r="A1378" t="s">
        <v>1947</v>
      </c>
      <c r="B1378" s="1" t="s">
        <v>44</v>
      </c>
      <c r="C1378" s="1" t="s">
        <v>45</v>
      </c>
      <c r="D1378" s="1" t="s">
        <v>24</v>
      </c>
      <c r="E1378" s="5">
        <v>42168</v>
      </c>
      <c r="F1378" s="3" t="s">
        <v>115</v>
      </c>
      <c r="G1378" s="1" t="s">
        <v>321</v>
      </c>
      <c r="H1378" s="1">
        <v>250</v>
      </c>
      <c r="I1378" s="1">
        <v>220</v>
      </c>
      <c r="J1378" s="2">
        <v>0.12</v>
      </c>
      <c r="K1378">
        <f t="shared" si="63"/>
        <v>26.4</v>
      </c>
      <c r="L1378">
        <f t="shared" si="64"/>
        <v>193.6</v>
      </c>
      <c r="M1378" t="str">
        <f t="shared" si="65"/>
        <v>Jun-2015</v>
      </c>
    </row>
    <row r="1379" spans="1:13" x14ac:dyDescent="0.3">
      <c r="A1379" t="s">
        <v>1948</v>
      </c>
      <c r="B1379" s="1" t="s">
        <v>77</v>
      </c>
      <c r="C1379" s="1" t="s">
        <v>78</v>
      </c>
      <c r="D1379" s="1" t="s">
        <v>35</v>
      </c>
      <c r="E1379" s="5">
        <v>42963</v>
      </c>
      <c r="F1379" s="3" t="s">
        <v>61</v>
      </c>
      <c r="G1379" s="1" t="s">
        <v>79</v>
      </c>
      <c r="H1379" s="1">
        <v>1000</v>
      </c>
      <c r="I1379" s="1">
        <v>520</v>
      </c>
      <c r="J1379" s="2">
        <v>0.48</v>
      </c>
      <c r="K1379">
        <f t="shared" si="63"/>
        <v>249.6</v>
      </c>
      <c r="L1379">
        <f t="shared" si="64"/>
        <v>270.39999999999998</v>
      </c>
      <c r="M1379" t="str">
        <f t="shared" si="65"/>
        <v>Aug-2017</v>
      </c>
    </row>
    <row r="1380" spans="1:13" x14ac:dyDescent="0.3">
      <c r="A1380" t="s">
        <v>1949</v>
      </c>
      <c r="B1380" s="1" t="s">
        <v>59</v>
      </c>
      <c r="C1380" s="1" t="s">
        <v>60</v>
      </c>
      <c r="D1380" s="1" t="s">
        <v>13</v>
      </c>
      <c r="E1380" s="5">
        <v>42146</v>
      </c>
      <c r="F1380" s="3" t="s">
        <v>61</v>
      </c>
      <c r="G1380" s="1" t="s">
        <v>62</v>
      </c>
      <c r="H1380" s="1">
        <v>1000</v>
      </c>
      <c r="I1380" s="1">
        <v>980</v>
      </c>
      <c r="J1380" s="2">
        <v>0.02</v>
      </c>
      <c r="K1380">
        <f t="shared" si="63"/>
        <v>19.600000000000001</v>
      </c>
      <c r="L1380">
        <f t="shared" si="64"/>
        <v>960.4</v>
      </c>
      <c r="M1380" t="str">
        <f t="shared" si="65"/>
        <v>May-2015</v>
      </c>
    </row>
    <row r="1381" spans="1:13" x14ac:dyDescent="0.3">
      <c r="A1381" t="s">
        <v>1950</v>
      </c>
      <c r="B1381" s="1" t="s">
        <v>33</v>
      </c>
      <c r="C1381" s="1" t="s">
        <v>34</v>
      </c>
      <c r="D1381" s="1" t="s">
        <v>35</v>
      </c>
      <c r="E1381" s="5">
        <v>41755</v>
      </c>
      <c r="F1381" s="3" t="s">
        <v>72</v>
      </c>
      <c r="G1381" s="1" t="s">
        <v>75</v>
      </c>
      <c r="H1381" s="1">
        <v>500</v>
      </c>
      <c r="I1381" s="1">
        <v>495</v>
      </c>
      <c r="J1381" s="2">
        <v>0.01</v>
      </c>
      <c r="K1381">
        <f t="shared" si="63"/>
        <v>4.95</v>
      </c>
      <c r="L1381">
        <f t="shared" si="64"/>
        <v>490.05</v>
      </c>
      <c r="M1381" t="str">
        <f t="shared" si="65"/>
        <v>Apr-2014</v>
      </c>
    </row>
    <row r="1382" spans="1:13" x14ac:dyDescent="0.3">
      <c r="A1382" t="s">
        <v>1951</v>
      </c>
      <c r="B1382" s="1" t="s">
        <v>33</v>
      </c>
      <c r="C1382" s="1" t="s">
        <v>34</v>
      </c>
      <c r="D1382" s="1" t="s">
        <v>35</v>
      </c>
      <c r="E1382" s="5">
        <v>42550</v>
      </c>
      <c r="F1382" s="3" t="s">
        <v>25</v>
      </c>
      <c r="G1382" s="1" t="s">
        <v>160</v>
      </c>
      <c r="H1382" s="1">
        <v>700</v>
      </c>
      <c r="I1382" s="1">
        <v>546</v>
      </c>
      <c r="J1382" s="2">
        <v>0.22</v>
      </c>
      <c r="K1382">
        <f t="shared" si="63"/>
        <v>120.12</v>
      </c>
      <c r="L1382">
        <f t="shared" si="64"/>
        <v>425.88</v>
      </c>
      <c r="M1382" t="str">
        <f t="shared" si="65"/>
        <v>Jun-2016</v>
      </c>
    </row>
    <row r="1383" spans="1:13" x14ac:dyDescent="0.3">
      <c r="A1383" t="s">
        <v>1952</v>
      </c>
      <c r="B1383" s="1" t="s">
        <v>81</v>
      </c>
      <c r="C1383" s="1" t="s">
        <v>82</v>
      </c>
      <c r="D1383" s="1" t="s">
        <v>13</v>
      </c>
      <c r="E1383" s="5">
        <v>42478</v>
      </c>
      <c r="F1383" s="3" t="s">
        <v>25</v>
      </c>
      <c r="G1383" s="1" t="s">
        <v>861</v>
      </c>
      <c r="H1383" s="1">
        <v>700</v>
      </c>
      <c r="I1383" s="1">
        <v>693</v>
      </c>
      <c r="J1383" s="2">
        <v>0.01</v>
      </c>
      <c r="K1383">
        <f t="shared" si="63"/>
        <v>6.93</v>
      </c>
      <c r="L1383">
        <f t="shared" si="64"/>
        <v>686.07</v>
      </c>
      <c r="M1383" t="str">
        <f t="shared" si="65"/>
        <v>Apr-2016</v>
      </c>
    </row>
    <row r="1384" spans="1:13" x14ac:dyDescent="0.3">
      <c r="A1384" t="s">
        <v>1953</v>
      </c>
      <c r="B1384" s="1" t="s">
        <v>134</v>
      </c>
      <c r="C1384" s="1" t="s">
        <v>92</v>
      </c>
      <c r="D1384" s="1" t="s">
        <v>35</v>
      </c>
      <c r="E1384" s="5">
        <v>41958</v>
      </c>
      <c r="F1384" s="3" t="s">
        <v>36</v>
      </c>
      <c r="G1384" s="1" t="s">
        <v>678</v>
      </c>
      <c r="H1384" s="1">
        <v>50</v>
      </c>
      <c r="I1384" s="1">
        <v>45</v>
      </c>
      <c r="J1384" s="2">
        <v>0.1</v>
      </c>
      <c r="K1384">
        <f t="shared" si="63"/>
        <v>4.5</v>
      </c>
      <c r="L1384">
        <f t="shared" si="64"/>
        <v>40.5</v>
      </c>
      <c r="M1384" t="str">
        <f t="shared" si="65"/>
        <v>Nov-2014</v>
      </c>
    </row>
    <row r="1385" spans="1:13" x14ac:dyDescent="0.3">
      <c r="A1385" t="s">
        <v>1954</v>
      </c>
      <c r="B1385" s="1" t="s">
        <v>103</v>
      </c>
      <c r="C1385" s="1" t="s">
        <v>71</v>
      </c>
      <c r="D1385" s="1" t="s">
        <v>35</v>
      </c>
      <c r="E1385" s="5">
        <v>42576</v>
      </c>
      <c r="F1385" s="3" t="s">
        <v>25</v>
      </c>
      <c r="G1385" s="1" t="s">
        <v>592</v>
      </c>
      <c r="H1385" s="1">
        <v>700</v>
      </c>
      <c r="I1385" s="1">
        <v>595</v>
      </c>
      <c r="J1385" s="2">
        <v>0.15</v>
      </c>
      <c r="K1385">
        <f t="shared" si="63"/>
        <v>89.25</v>
      </c>
      <c r="L1385">
        <f t="shared" si="64"/>
        <v>505.75</v>
      </c>
      <c r="M1385" t="str">
        <f t="shared" si="65"/>
        <v>Jul-2016</v>
      </c>
    </row>
    <row r="1386" spans="1:13" x14ac:dyDescent="0.3">
      <c r="A1386" t="s">
        <v>1955</v>
      </c>
      <c r="B1386" s="1" t="s">
        <v>400</v>
      </c>
      <c r="C1386" s="1" t="s">
        <v>401</v>
      </c>
      <c r="D1386" s="1" t="s">
        <v>13</v>
      </c>
      <c r="E1386" s="5">
        <v>41661</v>
      </c>
      <c r="F1386" s="3" t="s">
        <v>41</v>
      </c>
      <c r="G1386" s="1" t="s">
        <v>693</v>
      </c>
      <c r="H1386" s="1">
        <v>30</v>
      </c>
      <c r="I1386" s="1">
        <v>29</v>
      </c>
      <c r="J1386" s="2">
        <v>3.3300000000000003E-2</v>
      </c>
      <c r="K1386">
        <f t="shared" si="63"/>
        <v>0.96570000000000011</v>
      </c>
      <c r="L1386">
        <f t="shared" si="64"/>
        <v>28.034299999999998</v>
      </c>
      <c r="M1386" t="str">
        <f t="shared" si="65"/>
        <v>Jan-2014</v>
      </c>
    </row>
    <row r="1387" spans="1:13" x14ac:dyDescent="0.3">
      <c r="A1387" t="s">
        <v>1956</v>
      </c>
      <c r="B1387" s="1" t="s">
        <v>146</v>
      </c>
      <c r="C1387" s="1" t="s">
        <v>147</v>
      </c>
      <c r="D1387" s="1" t="s">
        <v>13</v>
      </c>
      <c r="E1387" s="5">
        <v>42450</v>
      </c>
      <c r="F1387" s="3" t="s">
        <v>41</v>
      </c>
      <c r="G1387" s="1" t="s">
        <v>1006</v>
      </c>
      <c r="H1387" s="1">
        <v>30</v>
      </c>
      <c r="I1387" s="1">
        <v>30</v>
      </c>
      <c r="J1387" s="2">
        <v>0</v>
      </c>
      <c r="K1387">
        <f t="shared" si="63"/>
        <v>0</v>
      </c>
      <c r="L1387">
        <f t="shared" si="64"/>
        <v>30</v>
      </c>
      <c r="M1387" t="str">
        <f t="shared" si="65"/>
        <v>Mar-2016</v>
      </c>
    </row>
    <row r="1388" spans="1:13" x14ac:dyDescent="0.3">
      <c r="A1388" t="s">
        <v>1957</v>
      </c>
      <c r="B1388" s="1" t="s">
        <v>70</v>
      </c>
      <c r="C1388" s="1" t="s">
        <v>71</v>
      </c>
      <c r="D1388" s="1" t="s">
        <v>35</v>
      </c>
      <c r="E1388" s="5">
        <v>42721</v>
      </c>
      <c r="F1388" s="3" t="s">
        <v>41</v>
      </c>
      <c r="G1388" s="1" t="s">
        <v>962</v>
      </c>
      <c r="H1388" s="1">
        <v>30</v>
      </c>
      <c r="I1388" s="1">
        <v>23</v>
      </c>
      <c r="J1388" s="2">
        <v>0.23330000000000001</v>
      </c>
      <c r="K1388">
        <f t="shared" si="63"/>
        <v>5.3658999999999999</v>
      </c>
      <c r="L1388">
        <f t="shared" si="64"/>
        <v>17.6341</v>
      </c>
      <c r="M1388" t="str">
        <f t="shared" si="65"/>
        <v>Dec-2016</v>
      </c>
    </row>
    <row r="1389" spans="1:13" x14ac:dyDescent="0.3">
      <c r="A1389" t="s">
        <v>1958</v>
      </c>
      <c r="B1389" s="1" t="s">
        <v>255</v>
      </c>
      <c r="C1389" s="1" t="s">
        <v>256</v>
      </c>
      <c r="D1389" s="1" t="s">
        <v>13</v>
      </c>
      <c r="E1389" s="5">
        <v>42391</v>
      </c>
      <c r="F1389" s="3" t="s">
        <v>14</v>
      </c>
      <c r="G1389" s="1" t="s">
        <v>376</v>
      </c>
      <c r="H1389" s="1">
        <v>80</v>
      </c>
      <c r="I1389" s="1">
        <v>73</v>
      </c>
      <c r="J1389" s="2">
        <v>8.7499999999999994E-2</v>
      </c>
      <c r="K1389">
        <f t="shared" si="63"/>
        <v>6.3874999999999993</v>
      </c>
      <c r="L1389">
        <f t="shared" si="64"/>
        <v>66.612499999999997</v>
      </c>
      <c r="M1389" t="str">
        <f t="shared" si="65"/>
        <v>Jan-2016</v>
      </c>
    </row>
    <row r="1390" spans="1:13" x14ac:dyDescent="0.3">
      <c r="A1390" t="s">
        <v>1959</v>
      </c>
      <c r="B1390" s="1" t="s">
        <v>174</v>
      </c>
      <c r="C1390" s="1" t="s">
        <v>175</v>
      </c>
      <c r="D1390" s="1" t="s">
        <v>13</v>
      </c>
      <c r="E1390" s="5">
        <v>42637</v>
      </c>
      <c r="F1390" s="3" t="s">
        <v>61</v>
      </c>
      <c r="G1390" s="1" t="s">
        <v>1277</v>
      </c>
      <c r="H1390" s="1">
        <v>1000</v>
      </c>
      <c r="I1390" s="1">
        <v>980</v>
      </c>
      <c r="J1390" s="2">
        <v>0.02</v>
      </c>
      <c r="K1390">
        <f t="shared" si="63"/>
        <v>19.600000000000001</v>
      </c>
      <c r="L1390">
        <f t="shared" si="64"/>
        <v>960.4</v>
      </c>
      <c r="M1390" t="str">
        <f t="shared" si="65"/>
        <v>Sep-2016</v>
      </c>
    </row>
    <row r="1391" spans="1:13" x14ac:dyDescent="0.3">
      <c r="A1391" t="s">
        <v>1960</v>
      </c>
      <c r="B1391" s="1" t="s">
        <v>114</v>
      </c>
      <c r="C1391" s="1" t="s">
        <v>54</v>
      </c>
      <c r="D1391" s="1" t="s">
        <v>13</v>
      </c>
      <c r="E1391" s="5">
        <v>42336</v>
      </c>
      <c r="F1391" s="3" t="s">
        <v>30</v>
      </c>
      <c r="G1391" s="1" t="s">
        <v>1961</v>
      </c>
      <c r="H1391" s="1">
        <v>150</v>
      </c>
      <c r="I1391" s="1">
        <v>150</v>
      </c>
      <c r="J1391" s="2">
        <v>0</v>
      </c>
      <c r="K1391">
        <f t="shared" si="63"/>
        <v>0</v>
      </c>
      <c r="L1391">
        <f t="shared" si="64"/>
        <v>150</v>
      </c>
      <c r="M1391" t="str">
        <f t="shared" si="65"/>
        <v>Nov-2015</v>
      </c>
    </row>
    <row r="1392" spans="1:13" x14ac:dyDescent="0.3">
      <c r="A1392" t="s">
        <v>1962</v>
      </c>
      <c r="B1392" s="1" t="s">
        <v>91</v>
      </c>
      <c r="C1392" s="1" t="s">
        <v>92</v>
      </c>
      <c r="D1392" s="1" t="s">
        <v>35</v>
      </c>
      <c r="E1392" s="5">
        <v>42453</v>
      </c>
      <c r="F1392" s="3" t="s">
        <v>104</v>
      </c>
      <c r="G1392" s="1" t="s">
        <v>285</v>
      </c>
      <c r="H1392" s="1">
        <v>70</v>
      </c>
      <c r="I1392" s="1">
        <v>32</v>
      </c>
      <c r="J1392" s="2">
        <v>0.54290000000000005</v>
      </c>
      <c r="K1392">
        <f t="shared" si="63"/>
        <v>17.372800000000002</v>
      </c>
      <c r="L1392">
        <f t="shared" si="64"/>
        <v>14.627199999999998</v>
      </c>
      <c r="M1392" t="str">
        <f t="shared" si="65"/>
        <v>Mar-2016</v>
      </c>
    </row>
    <row r="1393" spans="1:13" x14ac:dyDescent="0.3">
      <c r="A1393" t="s">
        <v>1963</v>
      </c>
      <c r="B1393" s="1" t="s">
        <v>187</v>
      </c>
      <c r="C1393" s="1" t="s">
        <v>188</v>
      </c>
      <c r="D1393" s="1" t="s">
        <v>13</v>
      </c>
      <c r="E1393" s="5">
        <v>43325</v>
      </c>
      <c r="F1393" s="3" t="s">
        <v>25</v>
      </c>
      <c r="G1393" s="1" t="s">
        <v>237</v>
      </c>
      <c r="H1393" s="1">
        <v>700</v>
      </c>
      <c r="I1393" s="1">
        <v>700</v>
      </c>
      <c r="J1393" s="2">
        <v>0</v>
      </c>
      <c r="K1393">
        <f t="shared" si="63"/>
        <v>0</v>
      </c>
      <c r="L1393">
        <f t="shared" si="64"/>
        <v>700</v>
      </c>
      <c r="M1393" t="str">
        <f t="shared" si="65"/>
        <v>Aug-2018</v>
      </c>
    </row>
    <row r="1394" spans="1:13" x14ac:dyDescent="0.3">
      <c r="A1394" t="s">
        <v>1964</v>
      </c>
      <c r="B1394" s="1" t="s">
        <v>99</v>
      </c>
      <c r="C1394" s="1" t="s">
        <v>100</v>
      </c>
      <c r="D1394" s="1" t="s">
        <v>13</v>
      </c>
      <c r="E1394" s="5">
        <v>41807</v>
      </c>
      <c r="F1394" s="3" t="s">
        <v>41</v>
      </c>
      <c r="G1394" s="1" t="s">
        <v>1171</v>
      </c>
      <c r="H1394" s="1">
        <v>30</v>
      </c>
      <c r="I1394" s="1">
        <v>26</v>
      </c>
      <c r="J1394" s="2">
        <v>0.1333</v>
      </c>
      <c r="K1394">
        <f t="shared" si="63"/>
        <v>3.4658000000000002</v>
      </c>
      <c r="L1394">
        <f t="shared" si="64"/>
        <v>22.534199999999998</v>
      </c>
      <c r="M1394" t="str">
        <f t="shared" si="65"/>
        <v>Jun-2014</v>
      </c>
    </row>
    <row r="1395" spans="1:13" x14ac:dyDescent="0.3">
      <c r="A1395" t="s">
        <v>1965</v>
      </c>
      <c r="B1395" s="1" t="s">
        <v>33</v>
      </c>
      <c r="C1395" s="1" t="s">
        <v>34</v>
      </c>
      <c r="D1395" s="1" t="s">
        <v>35</v>
      </c>
      <c r="E1395" s="5">
        <v>43311</v>
      </c>
      <c r="F1395" s="3" t="s">
        <v>55</v>
      </c>
      <c r="G1395" s="1" t="s">
        <v>197</v>
      </c>
      <c r="H1395" s="1">
        <v>800</v>
      </c>
      <c r="I1395" s="1">
        <v>624</v>
      </c>
      <c r="J1395" s="2">
        <v>0.22</v>
      </c>
      <c r="K1395">
        <f t="shared" si="63"/>
        <v>137.28</v>
      </c>
      <c r="L1395">
        <f t="shared" si="64"/>
        <v>486.72</v>
      </c>
      <c r="M1395" t="str">
        <f t="shared" si="65"/>
        <v>Jul-2018</v>
      </c>
    </row>
    <row r="1396" spans="1:13" x14ac:dyDescent="0.3">
      <c r="A1396" t="s">
        <v>1966</v>
      </c>
      <c r="B1396" s="1" t="s">
        <v>131</v>
      </c>
      <c r="C1396" s="1" t="s">
        <v>108</v>
      </c>
      <c r="D1396" s="1" t="s">
        <v>19</v>
      </c>
      <c r="E1396" s="5">
        <v>42571</v>
      </c>
      <c r="F1396" s="3" t="s">
        <v>55</v>
      </c>
      <c r="G1396" s="1" t="s">
        <v>793</v>
      </c>
      <c r="H1396" s="1">
        <v>800</v>
      </c>
      <c r="I1396" s="1">
        <v>560</v>
      </c>
      <c r="J1396" s="2">
        <v>0.3</v>
      </c>
      <c r="K1396">
        <f t="shared" si="63"/>
        <v>168</v>
      </c>
      <c r="L1396">
        <f t="shared" si="64"/>
        <v>392</v>
      </c>
      <c r="M1396" t="str">
        <f t="shared" si="65"/>
        <v>Jul-2016</v>
      </c>
    </row>
    <row r="1397" spans="1:13" x14ac:dyDescent="0.3">
      <c r="A1397" t="s">
        <v>1967</v>
      </c>
      <c r="B1397" s="1" t="s">
        <v>170</v>
      </c>
      <c r="C1397" s="1" t="s">
        <v>171</v>
      </c>
      <c r="D1397" s="1" t="s">
        <v>13</v>
      </c>
      <c r="E1397" s="5">
        <v>43125</v>
      </c>
      <c r="F1397" s="3" t="s">
        <v>61</v>
      </c>
      <c r="G1397" s="1" t="s">
        <v>411</v>
      </c>
      <c r="H1397" s="1">
        <v>1000</v>
      </c>
      <c r="I1397" s="1">
        <v>970</v>
      </c>
      <c r="J1397" s="2">
        <v>0.03</v>
      </c>
      <c r="K1397">
        <f t="shared" si="63"/>
        <v>29.099999999999998</v>
      </c>
      <c r="L1397">
        <f t="shared" si="64"/>
        <v>940.9</v>
      </c>
      <c r="M1397" t="str">
        <f t="shared" si="65"/>
        <v>Jan-2018</v>
      </c>
    </row>
    <row r="1398" spans="1:13" x14ac:dyDescent="0.3">
      <c r="A1398" t="s">
        <v>1968</v>
      </c>
      <c r="B1398" s="1" t="s">
        <v>22</v>
      </c>
      <c r="C1398" s="1" t="s">
        <v>23</v>
      </c>
      <c r="D1398" s="1" t="s">
        <v>24</v>
      </c>
      <c r="E1398" s="5">
        <v>43425</v>
      </c>
      <c r="F1398" s="3" t="s">
        <v>14</v>
      </c>
      <c r="G1398" s="1" t="s">
        <v>624</v>
      </c>
      <c r="H1398" s="1">
        <v>80</v>
      </c>
      <c r="I1398" s="1">
        <v>70</v>
      </c>
      <c r="J1398" s="2">
        <v>0.125</v>
      </c>
      <c r="K1398">
        <f t="shared" si="63"/>
        <v>8.75</v>
      </c>
      <c r="L1398">
        <f t="shared" si="64"/>
        <v>61.25</v>
      </c>
      <c r="M1398" t="str">
        <f t="shared" si="65"/>
        <v>Nov-2018</v>
      </c>
    </row>
    <row r="1399" spans="1:13" x14ac:dyDescent="0.3">
      <c r="A1399" t="s">
        <v>1969</v>
      </c>
      <c r="B1399" s="1" t="s">
        <v>70</v>
      </c>
      <c r="C1399" s="1" t="s">
        <v>71</v>
      </c>
      <c r="D1399" s="1" t="s">
        <v>35</v>
      </c>
      <c r="E1399" s="5">
        <v>41817</v>
      </c>
      <c r="F1399" s="3" t="s">
        <v>55</v>
      </c>
      <c r="G1399" s="1" t="s">
        <v>73</v>
      </c>
      <c r="H1399" s="1">
        <v>800</v>
      </c>
      <c r="I1399" s="1">
        <v>480</v>
      </c>
      <c r="J1399" s="2">
        <v>0.4</v>
      </c>
      <c r="K1399">
        <f t="shared" si="63"/>
        <v>192</v>
      </c>
      <c r="L1399">
        <f t="shared" si="64"/>
        <v>288</v>
      </c>
      <c r="M1399" t="str">
        <f t="shared" si="65"/>
        <v>Jun-2014</v>
      </c>
    </row>
    <row r="1400" spans="1:13" x14ac:dyDescent="0.3">
      <c r="A1400" t="s">
        <v>1970</v>
      </c>
      <c r="B1400" s="1" t="s">
        <v>114</v>
      </c>
      <c r="C1400" s="1" t="s">
        <v>54</v>
      </c>
      <c r="D1400" s="1" t="s">
        <v>13</v>
      </c>
      <c r="E1400" s="5">
        <v>43176</v>
      </c>
      <c r="F1400" s="3" t="s">
        <v>46</v>
      </c>
      <c r="G1400" s="1" t="s">
        <v>168</v>
      </c>
      <c r="H1400" s="1">
        <v>500</v>
      </c>
      <c r="I1400" s="1">
        <v>455</v>
      </c>
      <c r="J1400" s="2">
        <v>0.09</v>
      </c>
      <c r="K1400">
        <f t="shared" si="63"/>
        <v>40.949999999999996</v>
      </c>
      <c r="L1400">
        <f t="shared" si="64"/>
        <v>414.05</v>
      </c>
      <c r="M1400" t="str">
        <f t="shared" si="65"/>
        <v>Mar-2018</v>
      </c>
    </row>
    <row r="1401" spans="1:13" x14ac:dyDescent="0.3">
      <c r="A1401" t="s">
        <v>1971</v>
      </c>
      <c r="B1401" s="1" t="s">
        <v>134</v>
      </c>
      <c r="C1401" s="1" t="s">
        <v>92</v>
      </c>
      <c r="D1401" s="1" t="s">
        <v>35</v>
      </c>
      <c r="E1401" s="5">
        <v>42138</v>
      </c>
      <c r="F1401" s="3" t="s">
        <v>104</v>
      </c>
      <c r="G1401" s="1" t="s">
        <v>807</v>
      </c>
      <c r="H1401" s="1">
        <v>70</v>
      </c>
      <c r="I1401" s="1">
        <v>69</v>
      </c>
      <c r="J1401" s="2">
        <v>1.43E-2</v>
      </c>
      <c r="K1401">
        <f t="shared" si="63"/>
        <v>0.98670000000000002</v>
      </c>
      <c r="L1401">
        <f t="shared" si="64"/>
        <v>68.013300000000001</v>
      </c>
      <c r="M1401" t="str">
        <f t="shared" si="65"/>
        <v>May-2015</v>
      </c>
    </row>
    <row r="1402" spans="1:13" x14ac:dyDescent="0.3">
      <c r="A1402" t="s">
        <v>1972</v>
      </c>
      <c r="B1402" s="1" t="s">
        <v>33</v>
      </c>
      <c r="C1402" s="1" t="s">
        <v>34</v>
      </c>
      <c r="D1402" s="1" t="s">
        <v>35</v>
      </c>
      <c r="E1402" s="5">
        <v>42580</v>
      </c>
      <c r="F1402" s="3" t="s">
        <v>104</v>
      </c>
      <c r="G1402" s="1" t="s">
        <v>197</v>
      </c>
      <c r="H1402" s="1">
        <v>70</v>
      </c>
      <c r="I1402" s="1">
        <v>63</v>
      </c>
      <c r="J1402" s="2">
        <v>0.1</v>
      </c>
      <c r="K1402">
        <f t="shared" si="63"/>
        <v>6.3000000000000007</v>
      </c>
      <c r="L1402">
        <f t="shared" si="64"/>
        <v>56.7</v>
      </c>
      <c r="M1402" t="str">
        <f t="shared" si="65"/>
        <v>Jul-2016</v>
      </c>
    </row>
    <row r="1403" spans="1:13" x14ac:dyDescent="0.3">
      <c r="A1403" t="s">
        <v>1973</v>
      </c>
      <c r="B1403" s="1" t="s">
        <v>187</v>
      </c>
      <c r="C1403" s="1" t="s">
        <v>188</v>
      </c>
      <c r="D1403" s="1" t="s">
        <v>13</v>
      </c>
      <c r="E1403" s="5">
        <v>41906</v>
      </c>
      <c r="F1403" s="3" t="s">
        <v>36</v>
      </c>
      <c r="G1403" s="1" t="s">
        <v>741</v>
      </c>
      <c r="H1403" s="1">
        <v>50</v>
      </c>
      <c r="I1403" s="1">
        <v>38</v>
      </c>
      <c r="J1403" s="2">
        <v>0.24</v>
      </c>
      <c r="K1403">
        <f t="shared" si="63"/>
        <v>9.1199999999999992</v>
      </c>
      <c r="L1403">
        <f t="shared" si="64"/>
        <v>28.880000000000003</v>
      </c>
      <c r="M1403" t="str">
        <f t="shared" si="65"/>
        <v>Sep-2014</v>
      </c>
    </row>
    <row r="1404" spans="1:13" x14ac:dyDescent="0.3">
      <c r="A1404" t="s">
        <v>1974</v>
      </c>
      <c r="B1404" s="1" t="s">
        <v>146</v>
      </c>
      <c r="C1404" s="1" t="s">
        <v>147</v>
      </c>
      <c r="D1404" s="1" t="s">
        <v>13</v>
      </c>
      <c r="E1404" s="5">
        <v>41986</v>
      </c>
      <c r="F1404" s="3" t="s">
        <v>115</v>
      </c>
      <c r="G1404" s="1" t="s">
        <v>830</v>
      </c>
      <c r="H1404" s="1">
        <v>250</v>
      </c>
      <c r="I1404" s="1">
        <v>200</v>
      </c>
      <c r="J1404" s="2">
        <v>0.2</v>
      </c>
      <c r="K1404">
        <f t="shared" si="63"/>
        <v>40</v>
      </c>
      <c r="L1404">
        <f t="shared" si="64"/>
        <v>160</v>
      </c>
      <c r="M1404" t="str">
        <f t="shared" si="65"/>
        <v>Dec-2014</v>
      </c>
    </row>
    <row r="1405" spans="1:13" x14ac:dyDescent="0.3">
      <c r="A1405" t="s">
        <v>1975</v>
      </c>
      <c r="B1405" s="1" t="s">
        <v>91</v>
      </c>
      <c r="C1405" s="1" t="s">
        <v>92</v>
      </c>
      <c r="D1405" s="1" t="s">
        <v>35</v>
      </c>
      <c r="E1405" s="5">
        <v>43266</v>
      </c>
      <c r="F1405" s="3" t="s">
        <v>104</v>
      </c>
      <c r="G1405" s="1" t="s">
        <v>1155</v>
      </c>
      <c r="H1405" s="1">
        <v>70</v>
      </c>
      <c r="I1405" s="1">
        <v>69</v>
      </c>
      <c r="J1405" s="2">
        <v>1.43E-2</v>
      </c>
      <c r="K1405">
        <f t="shared" si="63"/>
        <v>0.98670000000000002</v>
      </c>
      <c r="L1405">
        <f t="shared" si="64"/>
        <v>68.013300000000001</v>
      </c>
      <c r="M1405" t="str">
        <f t="shared" si="65"/>
        <v>Jun-2018</v>
      </c>
    </row>
    <row r="1406" spans="1:13" x14ac:dyDescent="0.3">
      <c r="A1406" t="s">
        <v>1976</v>
      </c>
      <c r="B1406" s="1" t="s">
        <v>49</v>
      </c>
      <c r="C1406" s="1" t="s">
        <v>50</v>
      </c>
      <c r="D1406" s="1" t="s">
        <v>24</v>
      </c>
      <c r="E1406" s="5">
        <v>42838</v>
      </c>
      <c r="F1406" s="3" t="s">
        <v>41</v>
      </c>
      <c r="G1406" s="1" t="s">
        <v>658</v>
      </c>
      <c r="H1406" s="1">
        <v>30</v>
      </c>
      <c r="I1406" s="1">
        <v>26</v>
      </c>
      <c r="J1406" s="2">
        <v>0.1333</v>
      </c>
      <c r="K1406">
        <f t="shared" si="63"/>
        <v>3.4658000000000002</v>
      </c>
      <c r="L1406">
        <f t="shared" si="64"/>
        <v>22.534199999999998</v>
      </c>
      <c r="M1406" t="str">
        <f t="shared" si="65"/>
        <v>Apr-2017</v>
      </c>
    </row>
    <row r="1407" spans="1:13" x14ac:dyDescent="0.3">
      <c r="A1407" t="s">
        <v>1977</v>
      </c>
      <c r="B1407" s="1" t="s">
        <v>11</v>
      </c>
      <c r="C1407" s="1" t="s">
        <v>12</v>
      </c>
      <c r="D1407" s="1" t="s">
        <v>13</v>
      </c>
      <c r="E1407" s="5">
        <v>41720</v>
      </c>
      <c r="F1407" s="3" t="s">
        <v>41</v>
      </c>
      <c r="G1407" s="1" t="s">
        <v>193</v>
      </c>
      <c r="H1407" s="1">
        <v>30</v>
      </c>
      <c r="I1407" s="1">
        <v>30</v>
      </c>
      <c r="J1407" s="2">
        <v>0</v>
      </c>
      <c r="K1407">
        <f t="shared" si="63"/>
        <v>0</v>
      </c>
      <c r="L1407">
        <f t="shared" si="64"/>
        <v>30</v>
      </c>
      <c r="M1407" t="str">
        <f t="shared" si="65"/>
        <v>Mar-2014</v>
      </c>
    </row>
    <row r="1408" spans="1:13" x14ac:dyDescent="0.3">
      <c r="A1408" t="s">
        <v>1978</v>
      </c>
      <c r="B1408" s="1" t="s">
        <v>95</v>
      </c>
      <c r="C1408" s="1" t="s">
        <v>96</v>
      </c>
      <c r="D1408" s="1" t="s">
        <v>13</v>
      </c>
      <c r="E1408" s="5">
        <v>43144</v>
      </c>
      <c r="F1408" s="3" t="s">
        <v>122</v>
      </c>
      <c r="G1408" s="1" t="s">
        <v>333</v>
      </c>
      <c r="H1408" s="1">
        <v>50</v>
      </c>
      <c r="I1408" s="1">
        <v>46</v>
      </c>
      <c r="J1408" s="2">
        <v>0.08</v>
      </c>
      <c r="K1408">
        <f t="shared" si="63"/>
        <v>3.68</v>
      </c>
      <c r="L1408">
        <f t="shared" si="64"/>
        <v>42.32</v>
      </c>
      <c r="M1408" t="str">
        <f t="shared" si="65"/>
        <v>Feb-2018</v>
      </c>
    </row>
    <row r="1409" spans="1:13" x14ac:dyDescent="0.3">
      <c r="A1409" t="s">
        <v>1979</v>
      </c>
      <c r="B1409" s="1" t="s">
        <v>187</v>
      </c>
      <c r="C1409" s="1" t="s">
        <v>188</v>
      </c>
      <c r="D1409" s="1" t="s">
        <v>13</v>
      </c>
      <c r="E1409" s="5">
        <v>43241</v>
      </c>
      <c r="F1409" s="3" t="s">
        <v>72</v>
      </c>
      <c r="G1409" s="1" t="s">
        <v>237</v>
      </c>
      <c r="H1409" s="1">
        <v>500</v>
      </c>
      <c r="I1409" s="1">
        <v>500</v>
      </c>
      <c r="J1409" s="2">
        <v>0</v>
      </c>
      <c r="K1409">
        <f t="shared" si="63"/>
        <v>0</v>
      </c>
      <c r="L1409">
        <f t="shared" si="64"/>
        <v>500</v>
      </c>
      <c r="M1409" t="str">
        <f t="shared" si="65"/>
        <v>May-2018</v>
      </c>
    </row>
    <row r="1410" spans="1:13" x14ac:dyDescent="0.3">
      <c r="A1410" t="s">
        <v>1980</v>
      </c>
      <c r="B1410" s="1" t="s">
        <v>174</v>
      </c>
      <c r="C1410" s="1" t="s">
        <v>175</v>
      </c>
      <c r="D1410" s="1" t="s">
        <v>13</v>
      </c>
      <c r="E1410" s="5">
        <v>43034</v>
      </c>
      <c r="F1410" s="3" t="s">
        <v>25</v>
      </c>
      <c r="G1410" s="1" t="s">
        <v>1558</v>
      </c>
      <c r="H1410" s="1">
        <v>700</v>
      </c>
      <c r="I1410" s="1">
        <v>679</v>
      </c>
      <c r="J1410" s="2">
        <v>0.03</v>
      </c>
      <c r="K1410">
        <f t="shared" si="63"/>
        <v>20.37</v>
      </c>
      <c r="L1410">
        <f t="shared" si="64"/>
        <v>658.63</v>
      </c>
      <c r="M1410" t="str">
        <f t="shared" si="65"/>
        <v>Oct-2017</v>
      </c>
    </row>
    <row r="1411" spans="1:13" x14ac:dyDescent="0.3">
      <c r="A1411" t="s">
        <v>1981</v>
      </c>
      <c r="B1411" s="1" t="s">
        <v>99</v>
      </c>
      <c r="C1411" s="1" t="s">
        <v>100</v>
      </c>
      <c r="D1411" s="1" t="s">
        <v>13</v>
      </c>
      <c r="E1411" s="5">
        <v>42119</v>
      </c>
      <c r="F1411" s="3" t="s">
        <v>25</v>
      </c>
      <c r="G1411" s="1" t="s">
        <v>1171</v>
      </c>
      <c r="H1411" s="1">
        <v>700</v>
      </c>
      <c r="I1411" s="1">
        <v>630</v>
      </c>
      <c r="J1411" s="2">
        <v>0.1</v>
      </c>
      <c r="K1411">
        <f t="shared" si="63"/>
        <v>63</v>
      </c>
      <c r="L1411">
        <f t="shared" si="64"/>
        <v>567</v>
      </c>
      <c r="M1411" t="str">
        <f t="shared" si="65"/>
        <v>Apr-2015</v>
      </c>
    </row>
    <row r="1412" spans="1:13" x14ac:dyDescent="0.3">
      <c r="A1412" t="s">
        <v>1982</v>
      </c>
      <c r="B1412" s="1" t="s">
        <v>17</v>
      </c>
      <c r="C1412" s="1" t="s">
        <v>18</v>
      </c>
      <c r="D1412" s="1" t="s">
        <v>19</v>
      </c>
      <c r="E1412" s="5">
        <v>43088</v>
      </c>
      <c r="F1412" s="3" t="s">
        <v>104</v>
      </c>
      <c r="G1412" s="1" t="s">
        <v>493</v>
      </c>
      <c r="H1412" s="1">
        <v>70</v>
      </c>
      <c r="I1412" s="1">
        <v>65</v>
      </c>
      <c r="J1412" s="2">
        <v>7.1400000000000005E-2</v>
      </c>
      <c r="K1412">
        <f t="shared" ref="K1412:K1475" si="66">I1412*J1412</f>
        <v>4.641</v>
      </c>
      <c r="L1412">
        <f t="shared" ref="L1412:L1475" si="67">I1412-K1412</f>
        <v>60.359000000000002</v>
      </c>
      <c r="M1412" t="str">
        <f t="shared" ref="M1412:M1475" si="68">TEXT(E1412, "mmm-yyyy")</f>
        <v>Dec-2017</v>
      </c>
    </row>
    <row r="1413" spans="1:13" x14ac:dyDescent="0.3">
      <c r="A1413" t="s">
        <v>1983</v>
      </c>
      <c r="B1413" s="1" t="s">
        <v>70</v>
      </c>
      <c r="C1413" s="1" t="s">
        <v>71</v>
      </c>
      <c r="D1413" s="1" t="s">
        <v>35</v>
      </c>
      <c r="E1413" s="5">
        <v>41781</v>
      </c>
      <c r="F1413" s="3" t="s">
        <v>72</v>
      </c>
      <c r="G1413" s="1" t="s">
        <v>962</v>
      </c>
      <c r="H1413" s="1">
        <v>500</v>
      </c>
      <c r="I1413" s="1">
        <v>500</v>
      </c>
      <c r="J1413" s="2">
        <v>0</v>
      </c>
      <c r="K1413">
        <f t="shared" si="66"/>
        <v>0</v>
      </c>
      <c r="L1413">
        <f t="shared" si="67"/>
        <v>500</v>
      </c>
      <c r="M1413" t="str">
        <f t="shared" si="68"/>
        <v>May-2014</v>
      </c>
    </row>
    <row r="1414" spans="1:13" x14ac:dyDescent="0.3">
      <c r="A1414" t="s">
        <v>1984</v>
      </c>
      <c r="B1414" s="1" t="s">
        <v>400</v>
      </c>
      <c r="C1414" s="1" t="s">
        <v>401</v>
      </c>
      <c r="D1414" s="1" t="s">
        <v>13</v>
      </c>
      <c r="E1414" s="5">
        <v>42033</v>
      </c>
      <c r="F1414" s="3" t="s">
        <v>115</v>
      </c>
      <c r="G1414" s="1" t="s">
        <v>856</v>
      </c>
      <c r="H1414" s="1">
        <v>250</v>
      </c>
      <c r="I1414" s="1">
        <v>200</v>
      </c>
      <c r="J1414" s="2">
        <v>0.2</v>
      </c>
      <c r="K1414">
        <f t="shared" si="66"/>
        <v>40</v>
      </c>
      <c r="L1414">
        <f t="shared" si="67"/>
        <v>160</v>
      </c>
      <c r="M1414" t="str">
        <f t="shared" si="68"/>
        <v>Jan-2015</v>
      </c>
    </row>
    <row r="1415" spans="1:13" x14ac:dyDescent="0.3">
      <c r="A1415" t="s">
        <v>1985</v>
      </c>
      <c r="B1415" s="1" t="s">
        <v>127</v>
      </c>
      <c r="C1415" s="1" t="s">
        <v>128</v>
      </c>
      <c r="D1415" s="1" t="s">
        <v>13</v>
      </c>
      <c r="E1415" s="5">
        <v>43088</v>
      </c>
      <c r="F1415" s="3" t="s">
        <v>72</v>
      </c>
      <c r="G1415" s="1" t="s">
        <v>1261</v>
      </c>
      <c r="H1415" s="1">
        <v>500</v>
      </c>
      <c r="I1415" s="1">
        <v>490</v>
      </c>
      <c r="J1415" s="2">
        <v>0.02</v>
      </c>
      <c r="K1415">
        <f t="shared" si="66"/>
        <v>9.8000000000000007</v>
      </c>
      <c r="L1415">
        <f t="shared" si="67"/>
        <v>480.2</v>
      </c>
      <c r="M1415" t="str">
        <f t="shared" si="68"/>
        <v>Dec-2017</v>
      </c>
    </row>
    <row r="1416" spans="1:13" x14ac:dyDescent="0.3">
      <c r="A1416" t="s">
        <v>1986</v>
      </c>
      <c r="B1416" s="1" t="s">
        <v>227</v>
      </c>
      <c r="C1416" s="1" t="s">
        <v>228</v>
      </c>
      <c r="D1416" s="1" t="s">
        <v>24</v>
      </c>
      <c r="E1416" s="5">
        <v>42052</v>
      </c>
      <c r="F1416" s="3" t="s">
        <v>41</v>
      </c>
      <c r="G1416" s="1" t="s">
        <v>278</v>
      </c>
      <c r="H1416" s="1">
        <v>30</v>
      </c>
      <c r="I1416" s="1">
        <v>30</v>
      </c>
      <c r="J1416" s="2">
        <v>0</v>
      </c>
      <c r="K1416">
        <f t="shared" si="66"/>
        <v>0</v>
      </c>
      <c r="L1416">
        <f t="shared" si="67"/>
        <v>30</v>
      </c>
      <c r="M1416" t="str">
        <f t="shared" si="68"/>
        <v>Feb-2015</v>
      </c>
    </row>
    <row r="1417" spans="1:13" x14ac:dyDescent="0.3">
      <c r="A1417" t="s">
        <v>1987</v>
      </c>
      <c r="B1417" s="1" t="s">
        <v>107</v>
      </c>
      <c r="C1417" s="1" t="s">
        <v>108</v>
      </c>
      <c r="D1417" s="1" t="s">
        <v>19</v>
      </c>
      <c r="E1417" s="5">
        <v>42151</v>
      </c>
      <c r="F1417" s="3" t="s">
        <v>104</v>
      </c>
      <c r="G1417" s="1" t="s">
        <v>1437</v>
      </c>
      <c r="H1417" s="1">
        <v>70</v>
      </c>
      <c r="I1417" s="1">
        <v>55</v>
      </c>
      <c r="J1417" s="2">
        <v>0.21429999999999999</v>
      </c>
      <c r="K1417">
        <f t="shared" si="66"/>
        <v>11.7865</v>
      </c>
      <c r="L1417">
        <f t="shared" si="67"/>
        <v>43.213499999999996</v>
      </c>
      <c r="M1417" t="str">
        <f t="shared" si="68"/>
        <v>May-2015</v>
      </c>
    </row>
    <row r="1418" spans="1:13" x14ac:dyDescent="0.3">
      <c r="A1418" t="s">
        <v>1988</v>
      </c>
      <c r="B1418" s="1" t="s">
        <v>150</v>
      </c>
      <c r="C1418" s="1" t="s">
        <v>151</v>
      </c>
      <c r="D1418" s="1" t="s">
        <v>13</v>
      </c>
      <c r="E1418" s="5">
        <v>42215</v>
      </c>
      <c r="F1418" s="3" t="s">
        <v>122</v>
      </c>
      <c r="G1418" s="1" t="s">
        <v>824</v>
      </c>
      <c r="H1418" s="1">
        <v>50</v>
      </c>
      <c r="I1418" s="1">
        <v>42</v>
      </c>
      <c r="J1418" s="2">
        <v>0.16</v>
      </c>
      <c r="K1418">
        <f t="shared" si="66"/>
        <v>6.72</v>
      </c>
      <c r="L1418">
        <f t="shared" si="67"/>
        <v>35.28</v>
      </c>
      <c r="M1418" t="str">
        <f t="shared" si="68"/>
        <v>Jul-2015</v>
      </c>
    </row>
    <row r="1419" spans="1:13" x14ac:dyDescent="0.3">
      <c r="A1419" t="s">
        <v>1989</v>
      </c>
      <c r="B1419" s="1" t="s">
        <v>134</v>
      </c>
      <c r="C1419" s="1" t="s">
        <v>92</v>
      </c>
      <c r="D1419" s="1" t="s">
        <v>35</v>
      </c>
      <c r="E1419" s="5">
        <v>41693</v>
      </c>
      <c r="F1419" s="3" t="s">
        <v>41</v>
      </c>
      <c r="G1419" s="1" t="s">
        <v>1019</v>
      </c>
      <c r="H1419" s="1">
        <v>30</v>
      </c>
      <c r="I1419" s="1">
        <v>26</v>
      </c>
      <c r="J1419" s="2">
        <v>0.1333</v>
      </c>
      <c r="K1419">
        <f t="shared" si="66"/>
        <v>3.4658000000000002</v>
      </c>
      <c r="L1419">
        <f t="shared" si="67"/>
        <v>22.534199999999998</v>
      </c>
      <c r="M1419" t="str">
        <f t="shared" si="68"/>
        <v>Feb-2014</v>
      </c>
    </row>
    <row r="1420" spans="1:13" x14ac:dyDescent="0.3">
      <c r="A1420" t="s">
        <v>1990</v>
      </c>
      <c r="B1420" s="1" t="s">
        <v>241</v>
      </c>
      <c r="C1420" s="1" t="s">
        <v>242</v>
      </c>
      <c r="D1420" s="1" t="s">
        <v>13</v>
      </c>
      <c r="E1420" s="5">
        <v>42486</v>
      </c>
      <c r="F1420" s="3" t="s">
        <v>104</v>
      </c>
      <c r="G1420" s="1" t="s">
        <v>331</v>
      </c>
      <c r="H1420" s="1">
        <v>70</v>
      </c>
      <c r="I1420" s="1">
        <v>53</v>
      </c>
      <c r="J1420" s="2">
        <v>0.2429</v>
      </c>
      <c r="K1420">
        <f t="shared" si="66"/>
        <v>12.873699999999999</v>
      </c>
      <c r="L1420">
        <f t="shared" si="67"/>
        <v>40.126300000000001</v>
      </c>
      <c r="M1420" t="str">
        <f t="shared" si="68"/>
        <v>Apr-2016</v>
      </c>
    </row>
    <row r="1421" spans="1:13" x14ac:dyDescent="0.3">
      <c r="A1421" t="s">
        <v>1991</v>
      </c>
      <c r="B1421" s="1" t="s">
        <v>59</v>
      </c>
      <c r="C1421" s="1" t="s">
        <v>60</v>
      </c>
      <c r="D1421" s="1" t="s">
        <v>13</v>
      </c>
      <c r="E1421" s="5">
        <v>43372</v>
      </c>
      <c r="F1421" s="3" t="s">
        <v>72</v>
      </c>
      <c r="G1421" s="1" t="s">
        <v>62</v>
      </c>
      <c r="H1421" s="1">
        <v>500</v>
      </c>
      <c r="I1421" s="1">
        <v>490</v>
      </c>
      <c r="J1421" s="2">
        <v>0.02</v>
      </c>
      <c r="K1421">
        <f t="shared" si="66"/>
        <v>9.8000000000000007</v>
      </c>
      <c r="L1421">
        <f t="shared" si="67"/>
        <v>480.2</v>
      </c>
      <c r="M1421" t="str">
        <f t="shared" si="68"/>
        <v>Sep-2018</v>
      </c>
    </row>
    <row r="1422" spans="1:13" x14ac:dyDescent="0.3">
      <c r="A1422" t="s">
        <v>1992</v>
      </c>
      <c r="B1422" s="1" t="s">
        <v>170</v>
      </c>
      <c r="C1422" s="1" t="s">
        <v>171</v>
      </c>
      <c r="D1422" s="1" t="s">
        <v>13</v>
      </c>
      <c r="E1422" s="5">
        <v>42483</v>
      </c>
      <c r="F1422" s="3" t="s">
        <v>41</v>
      </c>
      <c r="G1422" s="1" t="s">
        <v>172</v>
      </c>
      <c r="H1422" s="1">
        <v>30</v>
      </c>
      <c r="I1422" s="1">
        <v>26</v>
      </c>
      <c r="J1422" s="2">
        <v>0.1333</v>
      </c>
      <c r="K1422">
        <f t="shared" si="66"/>
        <v>3.4658000000000002</v>
      </c>
      <c r="L1422">
        <f t="shared" si="67"/>
        <v>22.534199999999998</v>
      </c>
      <c r="M1422" t="str">
        <f t="shared" si="68"/>
        <v>Apr-2016</v>
      </c>
    </row>
    <row r="1423" spans="1:13" x14ac:dyDescent="0.3">
      <c r="A1423" t="s">
        <v>1993</v>
      </c>
      <c r="B1423" s="1" t="s">
        <v>270</v>
      </c>
      <c r="C1423" s="1" t="s">
        <v>271</v>
      </c>
      <c r="D1423" s="1" t="s">
        <v>35</v>
      </c>
      <c r="E1423" s="5">
        <v>42365</v>
      </c>
      <c r="F1423" s="3" t="s">
        <v>14</v>
      </c>
      <c r="G1423" s="1" t="s">
        <v>713</v>
      </c>
      <c r="H1423" s="1">
        <v>80</v>
      </c>
      <c r="I1423" s="1">
        <v>53</v>
      </c>
      <c r="J1423" s="2">
        <v>0.33750000000000002</v>
      </c>
      <c r="K1423">
        <f t="shared" si="66"/>
        <v>17.887500000000003</v>
      </c>
      <c r="L1423">
        <f t="shared" si="67"/>
        <v>35.112499999999997</v>
      </c>
      <c r="M1423" t="str">
        <f t="shared" si="68"/>
        <v>Dec-2015</v>
      </c>
    </row>
    <row r="1424" spans="1:13" x14ac:dyDescent="0.3">
      <c r="A1424" t="s">
        <v>1994</v>
      </c>
      <c r="B1424" s="1" t="s">
        <v>434</v>
      </c>
      <c r="C1424" s="1" t="s">
        <v>435</v>
      </c>
      <c r="D1424" s="1" t="s">
        <v>24</v>
      </c>
      <c r="E1424" s="5">
        <v>42261</v>
      </c>
      <c r="F1424" s="3" t="s">
        <v>55</v>
      </c>
      <c r="G1424" s="1" t="s">
        <v>550</v>
      </c>
      <c r="H1424" s="1">
        <v>800</v>
      </c>
      <c r="I1424" s="1">
        <v>616</v>
      </c>
      <c r="J1424" s="2">
        <v>0.23</v>
      </c>
      <c r="K1424">
        <f t="shared" si="66"/>
        <v>141.68</v>
      </c>
      <c r="L1424">
        <f t="shared" si="67"/>
        <v>474.32</v>
      </c>
      <c r="M1424" t="str">
        <f t="shared" si="68"/>
        <v>Sep-2015</v>
      </c>
    </row>
    <row r="1425" spans="1:13" x14ac:dyDescent="0.3">
      <c r="A1425" t="s">
        <v>1995</v>
      </c>
      <c r="B1425" s="1" t="s">
        <v>17</v>
      </c>
      <c r="C1425" s="1" t="s">
        <v>18</v>
      </c>
      <c r="D1425" s="1" t="s">
        <v>19</v>
      </c>
      <c r="E1425" s="5">
        <v>42266</v>
      </c>
      <c r="F1425" s="3" t="s">
        <v>115</v>
      </c>
      <c r="G1425" s="1" t="s">
        <v>478</v>
      </c>
      <c r="H1425" s="1">
        <v>250</v>
      </c>
      <c r="I1425" s="1">
        <v>225</v>
      </c>
      <c r="J1425" s="2">
        <v>0.1</v>
      </c>
      <c r="K1425">
        <f t="shared" si="66"/>
        <v>22.5</v>
      </c>
      <c r="L1425">
        <f t="shared" si="67"/>
        <v>202.5</v>
      </c>
      <c r="M1425" t="str">
        <f t="shared" si="68"/>
        <v>Sep-2015</v>
      </c>
    </row>
    <row r="1426" spans="1:13" x14ac:dyDescent="0.3">
      <c r="A1426" t="s">
        <v>1996</v>
      </c>
      <c r="B1426" s="1" t="s">
        <v>434</v>
      </c>
      <c r="C1426" s="1" t="s">
        <v>435</v>
      </c>
      <c r="D1426" s="1" t="s">
        <v>24</v>
      </c>
      <c r="E1426" s="5">
        <v>42390</v>
      </c>
      <c r="F1426" s="3" t="s">
        <v>115</v>
      </c>
      <c r="G1426" s="1" t="s">
        <v>858</v>
      </c>
      <c r="H1426" s="1">
        <v>250</v>
      </c>
      <c r="I1426" s="1">
        <v>215</v>
      </c>
      <c r="J1426" s="2">
        <v>0.14000000000000001</v>
      </c>
      <c r="K1426">
        <f t="shared" si="66"/>
        <v>30.1</v>
      </c>
      <c r="L1426">
        <f t="shared" si="67"/>
        <v>184.9</v>
      </c>
      <c r="M1426" t="str">
        <f t="shared" si="68"/>
        <v>Jan-2016</v>
      </c>
    </row>
    <row r="1427" spans="1:13" x14ac:dyDescent="0.3">
      <c r="A1427" t="s">
        <v>1997</v>
      </c>
      <c r="B1427" s="1" t="s">
        <v>39</v>
      </c>
      <c r="C1427" s="1" t="s">
        <v>40</v>
      </c>
      <c r="D1427" s="1" t="s">
        <v>35</v>
      </c>
      <c r="E1427" s="5">
        <v>42582</v>
      </c>
      <c r="F1427" s="3" t="s">
        <v>55</v>
      </c>
      <c r="G1427" s="1" t="s">
        <v>1290</v>
      </c>
      <c r="H1427" s="1">
        <v>800</v>
      </c>
      <c r="I1427" s="1">
        <v>712</v>
      </c>
      <c r="J1427" s="2">
        <v>0.11</v>
      </c>
      <c r="K1427">
        <f t="shared" si="66"/>
        <v>78.320000000000007</v>
      </c>
      <c r="L1427">
        <f t="shared" si="67"/>
        <v>633.67999999999995</v>
      </c>
      <c r="M1427" t="str">
        <f t="shared" si="68"/>
        <v>Jul-2016</v>
      </c>
    </row>
    <row r="1428" spans="1:13" x14ac:dyDescent="0.3">
      <c r="A1428" t="s">
        <v>1998</v>
      </c>
      <c r="B1428" s="1" t="s">
        <v>131</v>
      </c>
      <c r="C1428" s="1" t="s">
        <v>108</v>
      </c>
      <c r="D1428" s="1" t="s">
        <v>19</v>
      </c>
      <c r="E1428" s="5">
        <v>43095</v>
      </c>
      <c r="F1428" s="3" t="s">
        <v>36</v>
      </c>
      <c r="G1428" s="1" t="s">
        <v>268</v>
      </c>
      <c r="H1428" s="1">
        <v>50</v>
      </c>
      <c r="I1428" s="1">
        <v>46</v>
      </c>
      <c r="J1428" s="2">
        <v>0.08</v>
      </c>
      <c r="K1428">
        <f t="shared" si="66"/>
        <v>3.68</v>
      </c>
      <c r="L1428">
        <f t="shared" si="67"/>
        <v>42.32</v>
      </c>
      <c r="M1428" t="str">
        <f t="shared" si="68"/>
        <v>Dec-2017</v>
      </c>
    </row>
    <row r="1429" spans="1:13" x14ac:dyDescent="0.3">
      <c r="A1429" t="s">
        <v>1999</v>
      </c>
      <c r="B1429" s="1" t="s">
        <v>205</v>
      </c>
      <c r="C1429" s="1" t="s">
        <v>206</v>
      </c>
      <c r="D1429" s="1" t="s">
        <v>24</v>
      </c>
      <c r="E1429" s="5">
        <v>43329</v>
      </c>
      <c r="F1429" s="3" t="s">
        <v>61</v>
      </c>
      <c r="G1429" s="1" t="s">
        <v>722</v>
      </c>
      <c r="H1429" s="1">
        <v>1000</v>
      </c>
      <c r="I1429" s="1">
        <v>960</v>
      </c>
      <c r="J1429" s="2">
        <v>0.04</v>
      </c>
      <c r="K1429">
        <f t="shared" si="66"/>
        <v>38.4</v>
      </c>
      <c r="L1429">
        <f t="shared" si="67"/>
        <v>921.6</v>
      </c>
      <c r="M1429" t="str">
        <f t="shared" si="68"/>
        <v>Aug-2018</v>
      </c>
    </row>
    <row r="1430" spans="1:13" x14ac:dyDescent="0.3">
      <c r="A1430" t="s">
        <v>2000</v>
      </c>
      <c r="B1430" s="1" t="s">
        <v>227</v>
      </c>
      <c r="C1430" s="1" t="s">
        <v>228</v>
      </c>
      <c r="D1430" s="1" t="s">
        <v>24</v>
      </c>
      <c r="E1430" s="5">
        <v>42838</v>
      </c>
      <c r="F1430" s="3" t="s">
        <v>115</v>
      </c>
      <c r="G1430" s="1" t="s">
        <v>937</v>
      </c>
      <c r="H1430" s="1">
        <v>250</v>
      </c>
      <c r="I1430" s="1">
        <v>243</v>
      </c>
      <c r="J1430" s="2">
        <v>2.8000000000000001E-2</v>
      </c>
      <c r="K1430">
        <f t="shared" si="66"/>
        <v>6.8040000000000003</v>
      </c>
      <c r="L1430">
        <f t="shared" si="67"/>
        <v>236.196</v>
      </c>
      <c r="M1430" t="str">
        <f t="shared" si="68"/>
        <v>Apr-2017</v>
      </c>
    </row>
    <row r="1431" spans="1:13" x14ac:dyDescent="0.3">
      <c r="A1431" t="s">
        <v>2001</v>
      </c>
      <c r="B1431" s="1" t="s">
        <v>118</v>
      </c>
      <c r="C1431" s="1" t="s">
        <v>119</v>
      </c>
      <c r="D1431" s="1" t="s">
        <v>35</v>
      </c>
      <c r="E1431" s="5">
        <v>42931</v>
      </c>
      <c r="F1431" s="3" t="s">
        <v>25</v>
      </c>
      <c r="G1431" s="1" t="s">
        <v>1110</v>
      </c>
      <c r="H1431" s="1">
        <v>700</v>
      </c>
      <c r="I1431" s="1">
        <v>665</v>
      </c>
      <c r="J1431" s="2">
        <v>0.05</v>
      </c>
      <c r="K1431">
        <f t="shared" si="66"/>
        <v>33.25</v>
      </c>
      <c r="L1431">
        <f t="shared" si="67"/>
        <v>631.75</v>
      </c>
      <c r="M1431" t="str">
        <f t="shared" si="68"/>
        <v>Jul-2017</v>
      </c>
    </row>
    <row r="1432" spans="1:13" x14ac:dyDescent="0.3">
      <c r="A1432" t="s">
        <v>2002</v>
      </c>
      <c r="B1432" s="1" t="s">
        <v>64</v>
      </c>
      <c r="C1432" s="1" t="s">
        <v>65</v>
      </c>
      <c r="D1432" s="1" t="s">
        <v>35</v>
      </c>
      <c r="E1432" s="5">
        <v>43329</v>
      </c>
      <c r="F1432" s="3" t="s">
        <v>41</v>
      </c>
      <c r="G1432" s="1" t="s">
        <v>872</v>
      </c>
      <c r="H1432" s="1">
        <v>30</v>
      </c>
      <c r="I1432" s="1">
        <v>30</v>
      </c>
      <c r="J1432" s="2">
        <v>0</v>
      </c>
      <c r="K1432">
        <f t="shared" si="66"/>
        <v>0</v>
      </c>
      <c r="L1432">
        <f t="shared" si="67"/>
        <v>30</v>
      </c>
      <c r="M1432" t="str">
        <f t="shared" si="68"/>
        <v>Aug-2018</v>
      </c>
    </row>
    <row r="1433" spans="1:13" x14ac:dyDescent="0.3">
      <c r="A1433" t="s">
        <v>2003</v>
      </c>
      <c r="B1433" s="1" t="s">
        <v>22</v>
      </c>
      <c r="C1433" s="1" t="s">
        <v>23</v>
      </c>
      <c r="D1433" s="1" t="s">
        <v>24</v>
      </c>
      <c r="E1433" s="5">
        <v>43056</v>
      </c>
      <c r="F1433" s="3" t="s">
        <v>46</v>
      </c>
      <c r="G1433" s="1" t="s">
        <v>483</v>
      </c>
      <c r="H1433" s="1">
        <v>500</v>
      </c>
      <c r="I1433" s="1">
        <v>350</v>
      </c>
      <c r="J1433" s="2">
        <v>0.3</v>
      </c>
      <c r="K1433">
        <f t="shared" si="66"/>
        <v>105</v>
      </c>
      <c r="L1433">
        <f t="shared" si="67"/>
        <v>245</v>
      </c>
      <c r="M1433" t="str">
        <f t="shared" si="68"/>
        <v>Nov-2017</v>
      </c>
    </row>
    <row r="1434" spans="1:13" x14ac:dyDescent="0.3">
      <c r="A1434" t="s">
        <v>2004</v>
      </c>
      <c r="B1434" s="1" t="s">
        <v>70</v>
      </c>
      <c r="C1434" s="1" t="s">
        <v>71</v>
      </c>
      <c r="D1434" s="1" t="s">
        <v>35</v>
      </c>
      <c r="E1434" s="5">
        <v>42936</v>
      </c>
      <c r="F1434" s="3" t="s">
        <v>41</v>
      </c>
      <c r="G1434" s="1" t="s">
        <v>1414</v>
      </c>
      <c r="H1434" s="1">
        <v>30</v>
      </c>
      <c r="I1434" s="1">
        <v>28</v>
      </c>
      <c r="J1434" s="2">
        <v>6.6699999999999995E-2</v>
      </c>
      <c r="K1434">
        <f t="shared" si="66"/>
        <v>1.8675999999999999</v>
      </c>
      <c r="L1434">
        <f t="shared" si="67"/>
        <v>26.132400000000001</v>
      </c>
      <c r="M1434" t="str">
        <f t="shared" si="68"/>
        <v>Jul-2017</v>
      </c>
    </row>
    <row r="1435" spans="1:13" x14ac:dyDescent="0.3">
      <c r="A1435" t="s">
        <v>2005</v>
      </c>
      <c r="B1435" s="1" t="s">
        <v>289</v>
      </c>
      <c r="C1435" s="1" t="s">
        <v>108</v>
      </c>
      <c r="D1435" s="1" t="s">
        <v>19</v>
      </c>
      <c r="E1435" s="5">
        <v>43456</v>
      </c>
      <c r="F1435" s="3" t="s">
        <v>115</v>
      </c>
      <c r="G1435" s="1" t="s">
        <v>903</v>
      </c>
      <c r="H1435" s="1">
        <v>250</v>
      </c>
      <c r="I1435" s="1">
        <v>245</v>
      </c>
      <c r="J1435" s="2">
        <v>0.02</v>
      </c>
      <c r="K1435">
        <f t="shared" si="66"/>
        <v>4.9000000000000004</v>
      </c>
      <c r="L1435">
        <f t="shared" si="67"/>
        <v>240.1</v>
      </c>
      <c r="M1435" t="str">
        <f t="shared" si="68"/>
        <v>Dec-2018</v>
      </c>
    </row>
    <row r="1436" spans="1:13" x14ac:dyDescent="0.3">
      <c r="A1436" t="s">
        <v>2006</v>
      </c>
      <c r="B1436" s="1" t="s">
        <v>111</v>
      </c>
      <c r="C1436" s="1" t="s">
        <v>82</v>
      </c>
      <c r="D1436" s="1" t="s">
        <v>13</v>
      </c>
      <c r="E1436" s="5">
        <v>41663</v>
      </c>
      <c r="F1436" s="3" t="s">
        <v>30</v>
      </c>
      <c r="G1436" s="1" t="s">
        <v>372</v>
      </c>
      <c r="H1436" s="1">
        <v>150</v>
      </c>
      <c r="I1436" s="1">
        <v>143</v>
      </c>
      <c r="J1436" s="2">
        <v>4.6699999999999998E-2</v>
      </c>
      <c r="K1436">
        <f t="shared" si="66"/>
        <v>6.6780999999999997</v>
      </c>
      <c r="L1436">
        <f t="shared" si="67"/>
        <v>136.3219</v>
      </c>
      <c r="M1436" t="str">
        <f t="shared" si="68"/>
        <v>Jan-2014</v>
      </c>
    </row>
    <row r="1437" spans="1:13" x14ac:dyDescent="0.3">
      <c r="A1437" t="s">
        <v>2007</v>
      </c>
      <c r="B1437" s="1" t="s">
        <v>270</v>
      </c>
      <c r="C1437" s="1" t="s">
        <v>271</v>
      </c>
      <c r="D1437" s="1" t="s">
        <v>35</v>
      </c>
      <c r="E1437" s="5">
        <v>42701</v>
      </c>
      <c r="F1437" s="3" t="s">
        <v>122</v>
      </c>
      <c r="G1437" s="1" t="s">
        <v>272</v>
      </c>
      <c r="H1437" s="1">
        <v>50</v>
      </c>
      <c r="I1437" s="1">
        <v>49</v>
      </c>
      <c r="J1437" s="2">
        <v>0.02</v>
      </c>
      <c r="K1437">
        <f t="shared" si="66"/>
        <v>0.98</v>
      </c>
      <c r="L1437">
        <f t="shared" si="67"/>
        <v>48.02</v>
      </c>
      <c r="M1437" t="str">
        <f t="shared" si="68"/>
        <v>Nov-2016</v>
      </c>
    </row>
    <row r="1438" spans="1:13" x14ac:dyDescent="0.3">
      <c r="A1438" t="s">
        <v>2008</v>
      </c>
      <c r="B1438" s="1" t="s">
        <v>39</v>
      </c>
      <c r="C1438" s="1" t="s">
        <v>40</v>
      </c>
      <c r="D1438" s="1" t="s">
        <v>35</v>
      </c>
      <c r="E1438" s="5">
        <v>42630</v>
      </c>
      <c r="F1438" s="3" t="s">
        <v>36</v>
      </c>
      <c r="G1438" s="1" t="s">
        <v>1304</v>
      </c>
      <c r="H1438" s="1">
        <v>50</v>
      </c>
      <c r="I1438" s="1">
        <v>50</v>
      </c>
      <c r="J1438" s="2">
        <v>0</v>
      </c>
      <c r="K1438">
        <f t="shared" si="66"/>
        <v>0</v>
      </c>
      <c r="L1438">
        <f t="shared" si="67"/>
        <v>50</v>
      </c>
      <c r="M1438" t="str">
        <f t="shared" si="68"/>
        <v>Sep-2016</v>
      </c>
    </row>
    <row r="1439" spans="1:13" x14ac:dyDescent="0.3">
      <c r="A1439" t="s">
        <v>2009</v>
      </c>
      <c r="B1439" s="1" t="s">
        <v>64</v>
      </c>
      <c r="C1439" s="1" t="s">
        <v>65</v>
      </c>
      <c r="D1439" s="1" t="s">
        <v>35</v>
      </c>
      <c r="E1439" s="5">
        <v>42669</v>
      </c>
      <c r="F1439" s="3" t="s">
        <v>61</v>
      </c>
      <c r="G1439" s="1" t="s">
        <v>280</v>
      </c>
      <c r="H1439" s="1">
        <v>1000</v>
      </c>
      <c r="I1439" s="1">
        <v>940</v>
      </c>
      <c r="J1439" s="2">
        <v>0.06</v>
      </c>
      <c r="K1439">
        <f t="shared" si="66"/>
        <v>56.4</v>
      </c>
      <c r="L1439">
        <f t="shared" si="67"/>
        <v>883.6</v>
      </c>
      <c r="M1439" t="str">
        <f t="shared" si="68"/>
        <v>Oct-2016</v>
      </c>
    </row>
    <row r="1440" spans="1:13" x14ac:dyDescent="0.3">
      <c r="A1440" t="s">
        <v>2010</v>
      </c>
      <c r="B1440" s="1" t="s">
        <v>127</v>
      </c>
      <c r="C1440" s="1" t="s">
        <v>128</v>
      </c>
      <c r="D1440" s="1" t="s">
        <v>13</v>
      </c>
      <c r="E1440" s="5">
        <v>41784</v>
      </c>
      <c r="F1440" s="3" t="s">
        <v>55</v>
      </c>
      <c r="G1440" s="1" t="s">
        <v>867</v>
      </c>
      <c r="H1440" s="1">
        <v>800</v>
      </c>
      <c r="I1440" s="1">
        <v>480</v>
      </c>
      <c r="J1440" s="2">
        <v>0.4</v>
      </c>
      <c r="K1440">
        <f t="shared" si="66"/>
        <v>192</v>
      </c>
      <c r="L1440">
        <f t="shared" si="67"/>
        <v>288</v>
      </c>
      <c r="M1440" t="str">
        <f t="shared" si="68"/>
        <v>May-2014</v>
      </c>
    </row>
    <row r="1441" spans="1:13" x14ac:dyDescent="0.3">
      <c r="A1441" t="s">
        <v>2011</v>
      </c>
      <c r="B1441" s="1" t="s">
        <v>241</v>
      </c>
      <c r="C1441" s="1" t="s">
        <v>242</v>
      </c>
      <c r="D1441" s="1" t="s">
        <v>13</v>
      </c>
      <c r="E1441" s="5">
        <v>42879</v>
      </c>
      <c r="F1441" s="3" t="s">
        <v>115</v>
      </c>
      <c r="G1441" s="1" t="s">
        <v>626</v>
      </c>
      <c r="H1441" s="1">
        <v>250</v>
      </c>
      <c r="I1441" s="1">
        <v>198</v>
      </c>
      <c r="J1441" s="2">
        <v>0.20799999999999999</v>
      </c>
      <c r="K1441">
        <f t="shared" si="66"/>
        <v>41.183999999999997</v>
      </c>
      <c r="L1441">
        <f t="shared" si="67"/>
        <v>156.816</v>
      </c>
      <c r="M1441" t="str">
        <f t="shared" si="68"/>
        <v>May-2017</v>
      </c>
    </row>
    <row r="1442" spans="1:13" x14ac:dyDescent="0.3">
      <c r="A1442" t="s">
        <v>2012</v>
      </c>
      <c r="B1442" s="1" t="s">
        <v>174</v>
      </c>
      <c r="C1442" s="1" t="s">
        <v>175</v>
      </c>
      <c r="D1442" s="1" t="s">
        <v>13</v>
      </c>
      <c r="E1442" s="5">
        <v>41901</v>
      </c>
      <c r="F1442" s="3" t="s">
        <v>30</v>
      </c>
      <c r="G1442" s="1" t="s">
        <v>1558</v>
      </c>
      <c r="H1442" s="1">
        <v>150</v>
      </c>
      <c r="I1442" s="1">
        <v>131</v>
      </c>
      <c r="J1442" s="2">
        <v>0.12670000000000001</v>
      </c>
      <c r="K1442">
        <f t="shared" si="66"/>
        <v>16.5977</v>
      </c>
      <c r="L1442">
        <f t="shared" si="67"/>
        <v>114.4023</v>
      </c>
      <c r="M1442" t="str">
        <f t="shared" si="68"/>
        <v>Sep-2014</v>
      </c>
    </row>
    <row r="1443" spans="1:13" x14ac:dyDescent="0.3">
      <c r="A1443" t="s">
        <v>2013</v>
      </c>
      <c r="B1443" s="1" t="s">
        <v>205</v>
      </c>
      <c r="C1443" s="1" t="s">
        <v>206</v>
      </c>
      <c r="D1443" s="1" t="s">
        <v>24</v>
      </c>
      <c r="E1443" s="5">
        <v>43279</v>
      </c>
      <c r="F1443" s="3" t="s">
        <v>61</v>
      </c>
      <c r="G1443" s="1" t="s">
        <v>759</v>
      </c>
      <c r="H1443" s="1">
        <v>1000</v>
      </c>
      <c r="I1443" s="1">
        <v>730</v>
      </c>
      <c r="J1443" s="2">
        <v>0.27</v>
      </c>
      <c r="K1443">
        <f t="shared" si="66"/>
        <v>197.10000000000002</v>
      </c>
      <c r="L1443">
        <f t="shared" si="67"/>
        <v>532.9</v>
      </c>
      <c r="M1443" t="str">
        <f t="shared" si="68"/>
        <v>Jun-2018</v>
      </c>
    </row>
    <row r="1444" spans="1:13" x14ac:dyDescent="0.3">
      <c r="A1444" t="s">
        <v>2014</v>
      </c>
      <c r="B1444" s="1" t="s">
        <v>127</v>
      </c>
      <c r="C1444" s="1" t="s">
        <v>128</v>
      </c>
      <c r="D1444" s="1" t="s">
        <v>13</v>
      </c>
      <c r="E1444" s="5">
        <v>41690</v>
      </c>
      <c r="F1444" s="3" t="s">
        <v>55</v>
      </c>
      <c r="G1444" s="1" t="s">
        <v>920</v>
      </c>
      <c r="H1444" s="1">
        <v>800</v>
      </c>
      <c r="I1444" s="1">
        <v>584</v>
      </c>
      <c r="J1444" s="2">
        <v>0.27</v>
      </c>
      <c r="K1444">
        <f t="shared" si="66"/>
        <v>157.68</v>
      </c>
      <c r="L1444">
        <f t="shared" si="67"/>
        <v>426.32</v>
      </c>
      <c r="M1444" t="str">
        <f t="shared" si="68"/>
        <v>Feb-2014</v>
      </c>
    </row>
    <row r="1445" spans="1:13" x14ac:dyDescent="0.3">
      <c r="A1445" t="s">
        <v>2015</v>
      </c>
      <c r="B1445" s="1" t="s">
        <v>182</v>
      </c>
      <c r="C1445" s="1" t="s">
        <v>108</v>
      </c>
      <c r="D1445" s="1" t="s">
        <v>19</v>
      </c>
      <c r="E1445" s="5">
        <v>42475</v>
      </c>
      <c r="F1445" s="3" t="s">
        <v>30</v>
      </c>
      <c r="G1445" s="1" t="s">
        <v>2016</v>
      </c>
      <c r="H1445" s="1">
        <v>150</v>
      </c>
      <c r="I1445" s="1">
        <v>128</v>
      </c>
      <c r="J1445" s="2">
        <v>0.1467</v>
      </c>
      <c r="K1445">
        <f t="shared" si="66"/>
        <v>18.7776</v>
      </c>
      <c r="L1445">
        <f t="shared" si="67"/>
        <v>109.22239999999999</v>
      </c>
      <c r="M1445" t="str">
        <f t="shared" si="68"/>
        <v>Apr-2016</v>
      </c>
    </row>
    <row r="1446" spans="1:13" x14ac:dyDescent="0.3">
      <c r="A1446" t="s">
        <v>2017</v>
      </c>
      <c r="B1446" s="1" t="s">
        <v>53</v>
      </c>
      <c r="C1446" s="1" t="s">
        <v>54</v>
      </c>
      <c r="D1446" s="1" t="s">
        <v>13</v>
      </c>
      <c r="E1446" s="5">
        <v>43190</v>
      </c>
      <c r="F1446" s="3" t="s">
        <v>61</v>
      </c>
      <c r="G1446" s="1" t="s">
        <v>404</v>
      </c>
      <c r="H1446" s="1">
        <v>1000</v>
      </c>
      <c r="I1446" s="1">
        <v>1000</v>
      </c>
      <c r="J1446" s="2">
        <v>0</v>
      </c>
      <c r="K1446">
        <f t="shared" si="66"/>
        <v>0</v>
      </c>
      <c r="L1446">
        <f t="shared" si="67"/>
        <v>1000</v>
      </c>
      <c r="M1446" t="str">
        <f t="shared" si="68"/>
        <v>Mar-2018</v>
      </c>
    </row>
    <row r="1447" spans="1:13" x14ac:dyDescent="0.3">
      <c r="A1447" t="s">
        <v>2018</v>
      </c>
      <c r="B1447" s="1" t="s">
        <v>146</v>
      </c>
      <c r="C1447" s="1" t="s">
        <v>147</v>
      </c>
      <c r="D1447" s="1" t="s">
        <v>13</v>
      </c>
      <c r="E1447" s="5">
        <v>43242</v>
      </c>
      <c r="F1447" s="3" t="s">
        <v>36</v>
      </c>
      <c r="G1447" s="1" t="s">
        <v>1033</v>
      </c>
      <c r="H1447" s="1">
        <v>50</v>
      </c>
      <c r="I1447" s="1">
        <v>47</v>
      </c>
      <c r="J1447" s="2">
        <v>0.06</v>
      </c>
      <c r="K1447">
        <f t="shared" si="66"/>
        <v>2.82</v>
      </c>
      <c r="L1447">
        <f t="shared" si="67"/>
        <v>44.18</v>
      </c>
      <c r="M1447" t="str">
        <f t="shared" si="68"/>
        <v>May-2018</v>
      </c>
    </row>
    <row r="1448" spans="1:13" x14ac:dyDescent="0.3">
      <c r="A1448" t="s">
        <v>2019</v>
      </c>
      <c r="B1448" s="1" t="s">
        <v>81</v>
      </c>
      <c r="C1448" s="1" t="s">
        <v>82</v>
      </c>
      <c r="D1448" s="1" t="s">
        <v>13</v>
      </c>
      <c r="E1448" s="5">
        <v>41690</v>
      </c>
      <c r="F1448" s="3" t="s">
        <v>30</v>
      </c>
      <c r="G1448" s="1" t="s">
        <v>556</v>
      </c>
      <c r="H1448" s="1">
        <v>150</v>
      </c>
      <c r="I1448" s="1">
        <v>144</v>
      </c>
      <c r="J1448" s="2">
        <v>0.04</v>
      </c>
      <c r="K1448">
        <f t="shared" si="66"/>
        <v>5.76</v>
      </c>
      <c r="L1448">
        <f t="shared" si="67"/>
        <v>138.24</v>
      </c>
      <c r="M1448" t="str">
        <f t="shared" si="68"/>
        <v>Feb-2014</v>
      </c>
    </row>
    <row r="1449" spans="1:13" x14ac:dyDescent="0.3">
      <c r="A1449" t="s">
        <v>2020</v>
      </c>
      <c r="B1449" s="1" t="s">
        <v>59</v>
      </c>
      <c r="C1449" s="1" t="s">
        <v>60</v>
      </c>
      <c r="D1449" s="1" t="s">
        <v>13</v>
      </c>
      <c r="E1449" s="5">
        <v>42487</v>
      </c>
      <c r="F1449" s="3" t="s">
        <v>41</v>
      </c>
      <c r="G1449" s="1" t="s">
        <v>697</v>
      </c>
      <c r="H1449" s="1">
        <v>30</v>
      </c>
      <c r="I1449" s="1">
        <v>29</v>
      </c>
      <c r="J1449" s="2">
        <v>3.3300000000000003E-2</v>
      </c>
      <c r="K1449">
        <f t="shared" si="66"/>
        <v>0.96570000000000011</v>
      </c>
      <c r="L1449">
        <f t="shared" si="67"/>
        <v>28.034299999999998</v>
      </c>
      <c r="M1449" t="str">
        <f t="shared" si="68"/>
        <v>Apr-2016</v>
      </c>
    </row>
    <row r="1450" spans="1:13" x14ac:dyDescent="0.3">
      <c r="A1450" t="s">
        <v>2021</v>
      </c>
      <c r="B1450" s="1" t="s">
        <v>154</v>
      </c>
      <c r="C1450" s="1" t="s">
        <v>108</v>
      </c>
      <c r="D1450" s="1" t="s">
        <v>19</v>
      </c>
      <c r="E1450" s="5">
        <v>42185</v>
      </c>
      <c r="F1450" s="3" t="s">
        <v>36</v>
      </c>
      <c r="G1450" s="1" t="s">
        <v>155</v>
      </c>
      <c r="H1450" s="1">
        <v>50</v>
      </c>
      <c r="I1450" s="1">
        <v>44</v>
      </c>
      <c r="J1450" s="2">
        <v>0.12</v>
      </c>
      <c r="K1450">
        <f t="shared" si="66"/>
        <v>5.2799999999999994</v>
      </c>
      <c r="L1450">
        <f t="shared" si="67"/>
        <v>38.72</v>
      </c>
      <c r="M1450" t="str">
        <f t="shared" si="68"/>
        <v>Jun-2015</v>
      </c>
    </row>
    <row r="1451" spans="1:13" x14ac:dyDescent="0.3">
      <c r="A1451" t="s">
        <v>2022</v>
      </c>
      <c r="B1451" s="1" t="s">
        <v>134</v>
      </c>
      <c r="C1451" s="1" t="s">
        <v>92</v>
      </c>
      <c r="D1451" s="1" t="s">
        <v>35</v>
      </c>
      <c r="E1451" s="5">
        <v>42268</v>
      </c>
      <c r="F1451" s="3" t="s">
        <v>46</v>
      </c>
      <c r="G1451" s="1" t="s">
        <v>1019</v>
      </c>
      <c r="H1451" s="1">
        <v>500</v>
      </c>
      <c r="I1451" s="1">
        <v>350</v>
      </c>
      <c r="J1451" s="2">
        <v>0.3</v>
      </c>
      <c r="K1451">
        <f t="shared" si="66"/>
        <v>105</v>
      </c>
      <c r="L1451">
        <f t="shared" si="67"/>
        <v>245</v>
      </c>
      <c r="M1451" t="str">
        <f t="shared" si="68"/>
        <v>Sep-2015</v>
      </c>
    </row>
    <row r="1452" spans="1:13" x14ac:dyDescent="0.3">
      <c r="A1452" t="s">
        <v>2023</v>
      </c>
      <c r="B1452" s="1" t="s">
        <v>95</v>
      </c>
      <c r="C1452" s="1" t="s">
        <v>96</v>
      </c>
      <c r="D1452" s="1" t="s">
        <v>13</v>
      </c>
      <c r="E1452" s="5">
        <v>42114</v>
      </c>
      <c r="F1452" s="3" t="s">
        <v>122</v>
      </c>
      <c r="G1452" s="1" t="s">
        <v>731</v>
      </c>
      <c r="H1452" s="1">
        <v>50</v>
      </c>
      <c r="I1452" s="1">
        <v>42</v>
      </c>
      <c r="J1452" s="2">
        <v>0.16</v>
      </c>
      <c r="K1452">
        <f t="shared" si="66"/>
        <v>6.72</v>
      </c>
      <c r="L1452">
        <f t="shared" si="67"/>
        <v>35.28</v>
      </c>
      <c r="M1452" t="str">
        <f t="shared" si="68"/>
        <v>Apr-2015</v>
      </c>
    </row>
    <row r="1453" spans="1:13" x14ac:dyDescent="0.3">
      <c r="A1453" t="s">
        <v>2024</v>
      </c>
      <c r="B1453" s="1" t="s">
        <v>270</v>
      </c>
      <c r="C1453" s="1" t="s">
        <v>271</v>
      </c>
      <c r="D1453" s="1" t="s">
        <v>35</v>
      </c>
      <c r="E1453" s="5">
        <v>42121</v>
      </c>
      <c r="F1453" s="3" t="s">
        <v>115</v>
      </c>
      <c r="G1453" s="1" t="s">
        <v>715</v>
      </c>
      <c r="H1453" s="1">
        <v>250</v>
      </c>
      <c r="I1453" s="1">
        <v>220</v>
      </c>
      <c r="J1453" s="2">
        <v>0.12</v>
      </c>
      <c r="K1453">
        <f t="shared" si="66"/>
        <v>26.4</v>
      </c>
      <c r="L1453">
        <f t="shared" si="67"/>
        <v>193.6</v>
      </c>
      <c r="M1453" t="str">
        <f t="shared" si="68"/>
        <v>Apr-2015</v>
      </c>
    </row>
    <row r="1454" spans="1:13" x14ac:dyDescent="0.3">
      <c r="A1454" t="s">
        <v>2025</v>
      </c>
      <c r="B1454" s="1" t="s">
        <v>85</v>
      </c>
      <c r="C1454" s="1" t="s">
        <v>86</v>
      </c>
      <c r="D1454" s="1" t="s">
        <v>13</v>
      </c>
      <c r="E1454" s="5">
        <v>42512</v>
      </c>
      <c r="F1454" s="3" t="s">
        <v>46</v>
      </c>
      <c r="G1454" s="1" t="s">
        <v>581</v>
      </c>
      <c r="H1454" s="1">
        <v>500</v>
      </c>
      <c r="I1454" s="1">
        <v>485</v>
      </c>
      <c r="J1454" s="2">
        <v>0.03</v>
      </c>
      <c r="K1454">
        <f t="shared" si="66"/>
        <v>14.549999999999999</v>
      </c>
      <c r="L1454">
        <f t="shared" si="67"/>
        <v>470.45</v>
      </c>
      <c r="M1454" t="str">
        <f t="shared" si="68"/>
        <v>May-2016</v>
      </c>
    </row>
    <row r="1455" spans="1:13" x14ac:dyDescent="0.3">
      <c r="A1455" t="s">
        <v>2026</v>
      </c>
      <c r="B1455" s="1" t="s">
        <v>182</v>
      </c>
      <c r="C1455" s="1" t="s">
        <v>108</v>
      </c>
      <c r="D1455" s="1" t="s">
        <v>19</v>
      </c>
      <c r="E1455" s="5">
        <v>42914</v>
      </c>
      <c r="F1455" s="3" t="s">
        <v>25</v>
      </c>
      <c r="G1455" s="1" t="s">
        <v>183</v>
      </c>
      <c r="H1455" s="1">
        <v>700</v>
      </c>
      <c r="I1455" s="1">
        <v>672</v>
      </c>
      <c r="J1455" s="2">
        <v>0.04</v>
      </c>
      <c r="K1455">
        <f t="shared" si="66"/>
        <v>26.88</v>
      </c>
      <c r="L1455">
        <f t="shared" si="67"/>
        <v>645.12</v>
      </c>
      <c r="M1455" t="str">
        <f t="shared" si="68"/>
        <v>Jun-2017</v>
      </c>
    </row>
    <row r="1456" spans="1:13" x14ac:dyDescent="0.3">
      <c r="A1456" t="s">
        <v>2027</v>
      </c>
      <c r="B1456" s="1" t="s">
        <v>95</v>
      </c>
      <c r="C1456" s="1" t="s">
        <v>96</v>
      </c>
      <c r="D1456" s="1" t="s">
        <v>13</v>
      </c>
      <c r="E1456" s="5">
        <v>43189</v>
      </c>
      <c r="F1456" s="3" t="s">
        <v>25</v>
      </c>
      <c r="G1456" s="1" t="s">
        <v>1275</v>
      </c>
      <c r="H1456" s="1">
        <v>700</v>
      </c>
      <c r="I1456" s="1">
        <v>630</v>
      </c>
      <c r="J1456" s="2">
        <v>0.1</v>
      </c>
      <c r="K1456">
        <f t="shared" si="66"/>
        <v>63</v>
      </c>
      <c r="L1456">
        <f t="shared" si="67"/>
        <v>567</v>
      </c>
      <c r="M1456" t="str">
        <f t="shared" si="68"/>
        <v>Mar-2018</v>
      </c>
    </row>
    <row r="1457" spans="1:13" x14ac:dyDescent="0.3">
      <c r="A1457" t="s">
        <v>2028</v>
      </c>
      <c r="B1457" s="1" t="s">
        <v>33</v>
      </c>
      <c r="C1457" s="1" t="s">
        <v>34</v>
      </c>
      <c r="D1457" s="1" t="s">
        <v>35</v>
      </c>
      <c r="E1457" s="5">
        <v>42849</v>
      </c>
      <c r="F1457" s="3" t="s">
        <v>55</v>
      </c>
      <c r="G1457" s="1" t="s">
        <v>75</v>
      </c>
      <c r="H1457" s="1">
        <v>800</v>
      </c>
      <c r="I1457" s="1">
        <v>688</v>
      </c>
      <c r="J1457" s="2">
        <v>0.14000000000000001</v>
      </c>
      <c r="K1457">
        <f t="shared" si="66"/>
        <v>96.320000000000007</v>
      </c>
      <c r="L1457">
        <f t="shared" si="67"/>
        <v>591.67999999999995</v>
      </c>
      <c r="M1457" t="str">
        <f t="shared" si="68"/>
        <v>Apr-2017</v>
      </c>
    </row>
    <row r="1458" spans="1:13" x14ac:dyDescent="0.3">
      <c r="A1458" t="s">
        <v>2029</v>
      </c>
      <c r="B1458" s="1" t="s">
        <v>221</v>
      </c>
      <c r="C1458" s="1" t="s">
        <v>40</v>
      </c>
      <c r="D1458" s="1" t="s">
        <v>35</v>
      </c>
      <c r="E1458" s="5">
        <v>41747</v>
      </c>
      <c r="F1458" s="3" t="s">
        <v>36</v>
      </c>
      <c r="G1458" s="1" t="s">
        <v>262</v>
      </c>
      <c r="H1458" s="1">
        <v>50</v>
      </c>
      <c r="I1458" s="1">
        <v>48</v>
      </c>
      <c r="J1458" s="2">
        <v>0.04</v>
      </c>
      <c r="K1458">
        <f t="shared" si="66"/>
        <v>1.92</v>
      </c>
      <c r="L1458">
        <f t="shared" si="67"/>
        <v>46.08</v>
      </c>
      <c r="M1458" t="str">
        <f t="shared" si="68"/>
        <v>Apr-2014</v>
      </c>
    </row>
    <row r="1459" spans="1:13" x14ac:dyDescent="0.3">
      <c r="A1459" t="s">
        <v>2030</v>
      </c>
      <c r="B1459" s="1" t="s">
        <v>53</v>
      </c>
      <c r="C1459" s="1" t="s">
        <v>54</v>
      </c>
      <c r="D1459" s="1" t="s">
        <v>13</v>
      </c>
      <c r="E1459" s="5">
        <v>42508</v>
      </c>
      <c r="F1459" s="3" t="s">
        <v>104</v>
      </c>
      <c r="G1459" s="1" t="s">
        <v>404</v>
      </c>
      <c r="H1459" s="1">
        <v>70</v>
      </c>
      <c r="I1459" s="1">
        <v>67</v>
      </c>
      <c r="J1459" s="2">
        <v>4.2900000000000001E-2</v>
      </c>
      <c r="K1459">
        <f t="shared" si="66"/>
        <v>2.8742999999999999</v>
      </c>
      <c r="L1459">
        <f t="shared" si="67"/>
        <v>64.125699999999995</v>
      </c>
      <c r="M1459" t="str">
        <f t="shared" si="68"/>
        <v>May-2016</v>
      </c>
    </row>
    <row r="1460" spans="1:13" x14ac:dyDescent="0.3">
      <c r="A1460" t="s">
        <v>2031</v>
      </c>
      <c r="B1460" s="1" t="s">
        <v>187</v>
      </c>
      <c r="C1460" s="1" t="s">
        <v>188</v>
      </c>
      <c r="D1460" s="1" t="s">
        <v>13</v>
      </c>
      <c r="E1460" s="5">
        <v>42334</v>
      </c>
      <c r="F1460" s="3" t="s">
        <v>46</v>
      </c>
      <c r="G1460" s="1" t="s">
        <v>791</v>
      </c>
      <c r="H1460" s="1">
        <v>500</v>
      </c>
      <c r="I1460" s="1">
        <v>470</v>
      </c>
      <c r="J1460" s="2">
        <v>0.06</v>
      </c>
      <c r="K1460">
        <f t="shared" si="66"/>
        <v>28.2</v>
      </c>
      <c r="L1460">
        <f t="shared" si="67"/>
        <v>441.8</v>
      </c>
      <c r="M1460" t="str">
        <f t="shared" si="68"/>
        <v>Nov-2015</v>
      </c>
    </row>
    <row r="1461" spans="1:13" x14ac:dyDescent="0.3">
      <c r="A1461" t="s">
        <v>2032</v>
      </c>
      <c r="B1461" s="1" t="s">
        <v>174</v>
      </c>
      <c r="C1461" s="1" t="s">
        <v>175</v>
      </c>
      <c r="D1461" s="1" t="s">
        <v>13</v>
      </c>
      <c r="E1461" s="5">
        <v>42932</v>
      </c>
      <c r="F1461" s="3" t="s">
        <v>115</v>
      </c>
      <c r="G1461" s="1" t="s">
        <v>1558</v>
      </c>
      <c r="H1461" s="1">
        <v>250</v>
      </c>
      <c r="I1461" s="1">
        <v>243</v>
      </c>
      <c r="J1461" s="2">
        <v>2.8000000000000001E-2</v>
      </c>
      <c r="K1461">
        <f t="shared" si="66"/>
        <v>6.8040000000000003</v>
      </c>
      <c r="L1461">
        <f t="shared" si="67"/>
        <v>236.196</v>
      </c>
      <c r="M1461" t="str">
        <f t="shared" si="68"/>
        <v>Jul-2017</v>
      </c>
    </row>
    <row r="1462" spans="1:13" x14ac:dyDescent="0.3">
      <c r="A1462" t="s">
        <v>2033</v>
      </c>
      <c r="B1462" s="1" t="s">
        <v>157</v>
      </c>
      <c r="C1462" s="1" t="s">
        <v>108</v>
      </c>
      <c r="D1462" s="1" t="s">
        <v>19</v>
      </c>
      <c r="E1462" s="5">
        <v>42846</v>
      </c>
      <c r="F1462" s="3" t="s">
        <v>55</v>
      </c>
      <c r="G1462" s="1" t="s">
        <v>720</v>
      </c>
      <c r="H1462" s="1">
        <v>800</v>
      </c>
      <c r="I1462" s="1">
        <v>552</v>
      </c>
      <c r="J1462" s="2">
        <v>0.31</v>
      </c>
      <c r="K1462">
        <f t="shared" si="66"/>
        <v>171.12</v>
      </c>
      <c r="L1462">
        <f t="shared" si="67"/>
        <v>380.88</v>
      </c>
      <c r="M1462" t="str">
        <f t="shared" si="68"/>
        <v>Apr-2017</v>
      </c>
    </row>
    <row r="1463" spans="1:13" x14ac:dyDescent="0.3">
      <c r="A1463" t="s">
        <v>2034</v>
      </c>
      <c r="B1463" s="1" t="s">
        <v>174</v>
      </c>
      <c r="C1463" s="1" t="s">
        <v>175</v>
      </c>
      <c r="D1463" s="1" t="s">
        <v>13</v>
      </c>
      <c r="E1463" s="5">
        <v>41713</v>
      </c>
      <c r="F1463" s="3" t="s">
        <v>72</v>
      </c>
      <c r="G1463" s="1" t="s">
        <v>788</v>
      </c>
      <c r="H1463" s="1">
        <v>500</v>
      </c>
      <c r="I1463" s="1">
        <v>490</v>
      </c>
      <c r="J1463" s="2">
        <v>0.02</v>
      </c>
      <c r="K1463">
        <f t="shared" si="66"/>
        <v>9.8000000000000007</v>
      </c>
      <c r="L1463">
        <f t="shared" si="67"/>
        <v>480.2</v>
      </c>
      <c r="M1463" t="str">
        <f t="shared" si="68"/>
        <v>Mar-2014</v>
      </c>
    </row>
    <row r="1464" spans="1:13" x14ac:dyDescent="0.3">
      <c r="A1464" t="s">
        <v>2035</v>
      </c>
      <c r="B1464" s="1" t="s">
        <v>44</v>
      </c>
      <c r="C1464" s="1" t="s">
        <v>45</v>
      </c>
      <c r="D1464" s="1" t="s">
        <v>24</v>
      </c>
      <c r="E1464" s="5">
        <v>41847</v>
      </c>
      <c r="F1464" s="3" t="s">
        <v>14</v>
      </c>
      <c r="G1464" s="1" t="s">
        <v>1070</v>
      </c>
      <c r="H1464" s="1">
        <v>80</v>
      </c>
      <c r="I1464" s="1">
        <v>65</v>
      </c>
      <c r="J1464" s="2">
        <v>0.1875</v>
      </c>
      <c r="K1464">
        <f t="shared" si="66"/>
        <v>12.1875</v>
      </c>
      <c r="L1464">
        <f t="shared" si="67"/>
        <v>52.8125</v>
      </c>
      <c r="M1464" t="str">
        <f t="shared" si="68"/>
        <v>Jul-2014</v>
      </c>
    </row>
    <row r="1465" spans="1:13" x14ac:dyDescent="0.3">
      <c r="A1465" t="s">
        <v>2036</v>
      </c>
      <c r="B1465" s="1" t="s">
        <v>255</v>
      </c>
      <c r="C1465" s="1" t="s">
        <v>256</v>
      </c>
      <c r="D1465" s="1" t="s">
        <v>13</v>
      </c>
      <c r="E1465" s="5">
        <v>43216</v>
      </c>
      <c r="F1465" s="3" t="s">
        <v>122</v>
      </c>
      <c r="G1465" s="1" t="s">
        <v>1829</v>
      </c>
      <c r="H1465" s="1">
        <v>50</v>
      </c>
      <c r="I1465" s="1">
        <v>43</v>
      </c>
      <c r="J1465" s="2">
        <v>0.14000000000000001</v>
      </c>
      <c r="K1465">
        <f t="shared" si="66"/>
        <v>6.0200000000000005</v>
      </c>
      <c r="L1465">
        <f t="shared" si="67"/>
        <v>36.979999999999997</v>
      </c>
      <c r="M1465" t="str">
        <f t="shared" si="68"/>
        <v>Apr-2018</v>
      </c>
    </row>
    <row r="1466" spans="1:13" x14ac:dyDescent="0.3">
      <c r="A1466" t="s">
        <v>2037</v>
      </c>
      <c r="B1466" s="1" t="s">
        <v>157</v>
      </c>
      <c r="C1466" s="1" t="s">
        <v>108</v>
      </c>
      <c r="D1466" s="1" t="s">
        <v>19</v>
      </c>
      <c r="E1466" s="5">
        <v>42211</v>
      </c>
      <c r="F1466" s="3" t="s">
        <v>55</v>
      </c>
      <c r="G1466" s="1" t="s">
        <v>1870</v>
      </c>
      <c r="H1466" s="1">
        <v>800</v>
      </c>
      <c r="I1466" s="1">
        <v>616</v>
      </c>
      <c r="J1466" s="2">
        <v>0.23</v>
      </c>
      <c r="K1466">
        <f t="shared" si="66"/>
        <v>141.68</v>
      </c>
      <c r="L1466">
        <f t="shared" si="67"/>
        <v>474.32</v>
      </c>
      <c r="M1466" t="str">
        <f t="shared" si="68"/>
        <v>Jul-2015</v>
      </c>
    </row>
    <row r="1467" spans="1:13" x14ac:dyDescent="0.3">
      <c r="A1467" t="s">
        <v>2038</v>
      </c>
      <c r="B1467" s="1" t="s">
        <v>227</v>
      </c>
      <c r="C1467" s="1" t="s">
        <v>228</v>
      </c>
      <c r="D1467" s="1" t="s">
        <v>24</v>
      </c>
      <c r="E1467" s="5">
        <v>43271</v>
      </c>
      <c r="F1467" s="3" t="s">
        <v>72</v>
      </c>
      <c r="G1467" s="1" t="s">
        <v>1024</v>
      </c>
      <c r="H1467" s="1">
        <v>500</v>
      </c>
      <c r="I1467" s="1">
        <v>490</v>
      </c>
      <c r="J1467" s="2">
        <v>0.02</v>
      </c>
      <c r="K1467">
        <f t="shared" si="66"/>
        <v>9.8000000000000007</v>
      </c>
      <c r="L1467">
        <f t="shared" si="67"/>
        <v>480.2</v>
      </c>
      <c r="M1467" t="str">
        <f t="shared" si="68"/>
        <v>Jun-2018</v>
      </c>
    </row>
    <row r="1468" spans="1:13" x14ac:dyDescent="0.3">
      <c r="A1468" t="s">
        <v>2039</v>
      </c>
      <c r="B1468" s="1" t="s">
        <v>70</v>
      </c>
      <c r="C1468" s="1" t="s">
        <v>71</v>
      </c>
      <c r="D1468" s="1" t="s">
        <v>35</v>
      </c>
      <c r="E1468" s="5">
        <v>43264</v>
      </c>
      <c r="F1468" s="3" t="s">
        <v>41</v>
      </c>
      <c r="G1468" s="1" t="s">
        <v>73</v>
      </c>
      <c r="H1468" s="1">
        <v>30</v>
      </c>
      <c r="I1468" s="1">
        <v>26</v>
      </c>
      <c r="J1468" s="2">
        <v>0.1333</v>
      </c>
      <c r="K1468">
        <f t="shared" si="66"/>
        <v>3.4658000000000002</v>
      </c>
      <c r="L1468">
        <f t="shared" si="67"/>
        <v>22.534199999999998</v>
      </c>
      <c r="M1468" t="str">
        <f t="shared" si="68"/>
        <v>Jun-2018</v>
      </c>
    </row>
    <row r="1469" spans="1:13" x14ac:dyDescent="0.3">
      <c r="A1469" t="s">
        <v>2040</v>
      </c>
      <c r="B1469" s="1" t="s">
        <v>146</v>
      </c>
      <c r="C1469" s="1" t="s">
        <v>147</v>
      </c>
      <c r="D1469" s="1" t="s">
        <v>13</v>
      </c>
      <c r="E1469" s="5">
        <v>43295</v>
      </c>
      <c r="F1469" s="3" t="s">
        <v>122</v>
      </c>
      <c r="G1469" s="1" t="s">
        <v>1647</v>
      </c>
      <c r="H1469" s="1">
        <v>50</v>
      </c>
      <c r="I1469" s="1">
        <v>48</v>
      </c>
      <c r="J1469" s="2">
        <v>0.04</v>
      </c>
      <c r="K1469">
        <f t="shared" si="66"/>
        <v>1.92</v>
      </c>
      <c r="L1469">
        <f t="shared" si="67"/>
        <v>46.08</v>
      </c>
      <c r="M1469" t="str">
        <f t="shared" si="68"/>
        <v>Jul-2018</v>
      </c>
    </row>
    <row r="1470" spans="1:13" x14ac:dyDescent="0.3">
      <c r="A1470" t="s">
        <v>2041</v>
      </c>
      <c r="B1470" s="1" t="s">
        <v>70</v>
      </c>
      <c r="C1470" s="1" t="s">
        <v>71</v>
      </c>
      <c r="D1470" s="1" t="s">
        <v>35</v>
      </c>
      <c r="E1470" s="5">
        <v>41774</v>
      </c>
      <c r="F1470" s="3" t="s">
        <v>55</v>
      </c>
      <c r="G1470" s="1" t="s">
        <v>962</v>
      </c>
      <c r="H1470" s="1">
        <v>800</v>
      </c>
      <c r="I1470" s="1">
        <v>608</v>
      </c>
      <c r="J1470" s="2">
        <v>0.24</v>
      </c>
      <c r="K1470">
        <f t="shared" si="66"/>
        <v>145.91999999999999</v>
      </c>
      <c r="L1470">
        <f t="shared" si="67"/>
        <v>462.08000000000004</v>
      </c>
      <c r="M1470" t="str">
        <f t="shared" si="68"/>
        <v>May-2014</v>
      </c>
    </row>
    <row r="1471" spans="1:13" x14ac:dyDescent="0.3">
      <c r="A1471" t="s">
        <v>2042</v>
      </c>
      <c r="B1471" s="1" t="s">
        <v>221</v>
      </c>
      <c r="C1471" s="1" t="s">
        <v>40</v>
      </c>
      <c r="D1471" s="1" t="s">
        <v>35</v>
      </c>
      <c r="E1471" s="5">
        <v>41939</v>
      </c>
      <c r="F1471" s="3" t="s">
        <v>61</v>
      </c>
      <c r="G1471" s="1" t="s">
        <v>222</v>
      </c>
      <c r="H1471" s="1">
        <v>1000</v>
      </c>
      <c r="I1471" s="1">
        <v>680</v>
      </c>
      <c r="J1471" s="2">
        <v>0.32</v>
      </c>
      <c r="K1471">
        <f t="shared" si="66"/>
        <v>217.6</v>
      </c>
      <c r="L1471">
        <f t="shared" si="67"/>
        <v>462.4</v>
      </c>
      <c r="M1471" t="str">
        <f t="shared" si="68"/>
        <v>Oct-2014</v>
      </c>
    </row>
    <row r="1472" spans="1:13" x14ac:dyDescent="0.3">
      <c r="A1472" t="s">
        <v>2043</v>
      </c>
      <c r="B1472" s="1" t="s">
        <v>107</v>
      </c>
      <c r="C1472" s="1" t="s">
        <v>108</v>
      </c>
      <c r="D1472" s="1" t="s">
        <v>19</v>
      </c>
      <c r="E1472" s="5">
        <v>42992</v>
      </c>
      <c r="F1472" s="3" t="s">
        <v>72</v>
      </c>
      <c r="G1472" s="1" t="s">
        <v>946</v>
      </c>
      <c r="H1472" s="1">
        <v>500</v>
      </c>
      <c r="I1472" s="1">
        <v>500</v>
      </c>
      <c r="J1472" s="2">
        <v>0</v>
      </c>
      <c r="K1472">
        <f t="shared" si="66"/>
        <v>0</v>
      </c>
      <c r="L1472">
        <f t="shared" si="67"/>
        <v>500</v>
      </c>
      <c r="M1472" t="str">
        <f t="shared" si="68"/>
        <v>Sep-2017</v>
      </c>
    </row>
    <row r="1473" spans="1:13" x14ac:dyDescent="0.3">
      <c r="A1473" t="s">
        <v>2044</v>
      </c>
      <c r="B1473" s="1" t="s">
        <v>59</v>
      </c>
      <c r="C1473" s="1" t="s">
        <v>60</v>
      </c>
      <c r="D1473" s="1" t="s">
        <v>13</v>
      </c>
      <c r="E1473" s="5">
        <v>42033</v>
      </c>
      <c r="F1473" s="3" t="s">
        <v>25</v>
      </c>
      <c r="G1473" s="1" t="s">
        <v>1842</v>
      </c>
      <c r="H1473" s="1">
        <v>700</v>
      </c>
      <c r="I1473" s="1">
        <v>462</v>
      </c>
      <c r="J1473" s="2">
        <v>0.34</v>
      </c>
      <c r="K1473">
        <f t="shared" si="66"/>
        <v>157.08000000000001</v>
      </c>
      <c r="L1473">
        <f t="shared" si="67"/>
        <v>304.91999999999996</v>
      </c>
      <c r="M1473" t="str">
        <f t="shared" si="68"/>
        <v>Jan-2015</v>
      </c>
    </row>
    <row r="1474" spans="1:13" x14ac:dyDescent="0.3">
      <c r="A1474" t="s">
        <v>2045</v>
      </c>
      <c r="B1474" s="1" t="s">
        <v>99</v>
      </c>
      <c r="C1474" s="1" t="s">
        <v>100</v>
      </c>
      <c r="D1474" s="1" t="s">
        <v>13</v>
      </c>
      <c r="E1474" s="5">
        <v>42242</v>
      </c>
      <c r="F1474" s="3" t="s">
        <v>14</v>
      </c>
      <c r="G1474" s="1" t="s">
        <v>948</v>
      </c>
      <c r="H1474" s="1">
        <v>80</v>
      </c>
      <c r="I1474" s="1">
        <v>69</v>
      </c>
      <c r="J1474" s="2">
        <v>0.13750000000000001</v>
      </c>
      <c r="K1474">
        <f t="shared" si="66"/>
        <v>9.4875000000000007</v>
      </c>
      <c r="L1474">
        <f t="shared" si="67"/>
        <v>59.512500000000003</v>
      </c>
      <c r="M1474" t="str">
        <f t="shared" si="68"/>
        <v>Aug-2015</v>
      </c>
    </row>
    <row r="1475" spans="1:13" x14ac:dyDescent="0.3">
      <c r="A1475" t="s">
        <v>2046</v>
      </c>
      <c r="B1475" s="1" t="s">
        <v>187</v>
      </c>
      <c r="C1475" s="1" t="s">
        <v>188</v>
      </c>
      <c r="D1475" s="1" t="s">
        <v>13</v>
      </c>
      <c r="E1475" s="5">
        <v>42477</v>
      </c>
      <c r="F1475" s="3" t="s">
        <v>104</v>
      </c>
      <c r="G1475" s="1" t="s">
        <v>189</v>
      </c>
      <c r="H1475" s="1">
        <v>70</v>
      </c>
      <c r="I1475" s="1">
        <v>47</v>
      </c>
      <c r="J1475" s="2">
        <v>0.3286</v>
      </c>
      <c r="K1475">
        <f t="shared" si="66"/>
        <v>15.4442</v>
      </c>
      <c r="L1475">
        <f t="shared" si="67"/>
        <v>31.555799999999998</v>
      </c>
      <c r="M1475" t="str">
        <f t="shared" si="68"/>
        <v>Apr-2016</v>
      </c>
    </row>
    <row r="1476" spans="1:13" x14ac:dyDescent="0.3">
      <c r="A1476" t="s">
        <v>2047</v>
      </c>
      <c r="B1476" s="1" t="s">
        <v>11</v>
      </c>
      <c r="C1476" s="1" t="s">
        <v>12</v>
      </c>
      <c r="D1476" s="1" t="s">
        <v>13</v>
      </c>
      <c r="E1476" s="5">
        <v>41757</v>
      </c>
      <c r="F1476" s="3" t="s">
        <v>46</v>
      </c>
      <c r="G1476" s="1" t="s">
        <v>276</v>
      </c>
      <c r="H1476" s="1">
        <v>500</v>
      </c>
      <c r="I1476" s="1">
        <v>490</v>
      </c>
      <c r="J1476" s="2">
        <v>0.02</v>
      </c>
      <c r="K1476">
        <f t="shared" ref="K1476:K1539" si="69">I1476*J1476</f>
        <v>9.8000000000000007</v>
      </c>
      <c r="L1476">
        <f t="shared" ref="L1476:L1539" si="70">I1476-K1476</f>
        <v>480.2</v>
      </c>
      <c r="M1476" t="str">
        <f t="shared" ref="M1476:M1539" si="71">TEXT(E1476, "mmm-yyyy")</f>
        <v>Apr-2014</v>
      </c>
    </row>
    <row r="1477" spans="1:13" x14ac:dyDescent="0.3">
      <c r="A1477" t="s">
        <v>2048</v>
      </c>
      <c r="B1477" s="1" t="s">
        <v>64</v>
      </c>
      <c r="C1477" s="1" t="s">
        <v>65</v>
      </c>
      <c r="D1477" s="1" t="s">
        <v>35</v>
      </c>
      <c r="E1477" s="5">
        <v>43368</v>
      </c>
      <c r="F1477" s="3" t="s">
        <v>72</v>
      </c>
      <c r="G1477" s="1" t="s">
        <v>299</v>
      </c>
      <c r="H1477" s="1">
        <v>500</v>
      </c>
      <c r="I1477" s="1">
        <v>490</v>
      </c>
      <c r="J1477" s="2">
        <v>0.02</v>
      </c>
      <c r="K1477">
        <f t="shared" si="69"/>
        <v>9.8000000000000007</v>
      </c>
      <c r="L1477">
        <f t="shared" si="70"/>
        <v>480.2</v>
      </c>
      <c r="M1477" t="str">
        <f t="shared" si="71"/>
        <v>Sep-2018</v>
      </c>
    </row>
    <row r="1478" spans="1:13" x14ac:dyDescent="0.3">
      <c r="A1478" t="s">
        <v>2049</v>
      </c>
      <c r="B1478" s="1" t="s">
        <v>91</v>
      </c>
      <c r="C1478" s="1" t="s">
        <v>92</v>
      </c>
      <c r="D1478" s="1" t="s">
        <v>35</v>
      </c>
      <c r="E1478" s="5">
        <v>41871</v>
      </c>
      <c r="F1478" s="3" t="s">
        <v>14</v>
      </c>
      <c r="G1478" s="1" t="s">
        <v>495</v>
      </c>
      <c r="H1478" s="1">
        <v>80</v>
      </c>
      <c r="I1478" s="1">
        <v>80</v>
      </c>
      <c r="J1478" s="2">
        <v>0</v>
      </c>
      <c r="K1478">
        <f t="shared" si="69"/>
        <v>0</v>
      </c>
      <c r="L1478">
        <f t="shared" si="70"/>
        <v>80</v>
      </c>
      <c r="M1478" t="str">
        <f t="shared" si="71"/>
        <v>Aug-2014</v>
      </c>
    </row>
    <row r="1479" spans="1:13" x14ac:dyDescent="0.3">
      <c r="A1479" t="s">
        <v>2050</v>
      </c>
      <c r="B1479" s="1" t="s">
        <v>127</v>
      </c>
      <c r="C1479" s="1" t="s">
        <v>128</v>
      </c>
      <c r="D1479" s="1" t="s">
        <v>13</v>
      </c>
      <c r="E1479" s="5">
        <v>43404</v>
      </c>
      <c r="F1479" s="3" t="s">
        <v>14</v>
      </c>
      <c r="G1479" s="1" t="s">
        <v>233</v>
      </c>
      <c r="H1479" s="1">
        <v>80</v>
      </c>
      <c r="I1479" s="1">
        <v>76</v>
      </c>
      <c r="J1479" s="2">
        <v>0.05</v>
      </c>
      <c r="K1479">
        <f t="shared" si="69"/>
        <v>3.8000000000000003</v>
      </c>
      <c r="L1479">
        <f t="shared" si="70"/>
        <v>72.2</v>
      </c>
      <c r="M1479" t="str">
        <f t="shared" si="71"/>
        <v>Oct-2018</v>
      </c>
    </row>
    <row r="1480" spans="1:13" x14ac:dyDescent="0.3">
      <c r="A1480" t="s">
        <v>2051</v>
      </c>
      <c r="B1480" s="1" t="s">
        <v>241</v>
      </c>
      <c r="C1480" s="1" t="s">
        <v>242</v>
      </c>
      <c r="D1480" s="1" t="s">
        <v>13</v>
      </c>
      <c r="E1480" s="5">
        <v>41688</v>
      </c>
      <c r="F1480" s="3" t="s">
        <v>25</v>
      </c>
      <c r="G1480" s="1" t="s">
        <v>520</v>
      </c>
      <c r="H1480" s="1">
        <v>700</v>
      </c>
      <c r="I1480" s="1">
        <v>686</v>
      </c>
      <c r="J1480" s="2">
        <v>0.02</v>
      </c>
      <c r="K1480">
        <f t="shared" si="69"/>
        <v>13.72</v>
      </c>
      <c r="L1480">
        <f t="shared" si="70"/>
        <v>672.28</v>
      </c>
      <c r="M1480" t="str">
        <f t="shared" si="71"/>
        <v>Feb-2014</v>
      </c>
    </row>
    <row r="1481" spans="1:13" x14ac:dyDescent="0.3">
      <c r="A1481" t="s">
        <v>2052</v>
      </c>
      <c r="B1481" s="1" t="s">
        <v>174</v>
      </c>
      <c r="C1481" s="1" t="s">
        <v>175</v>
      </c>
      <c r="D1481" s="1" t="s">
        <v>13</v>
      </c>
      <c r="E1481" s="5">
        <v>42332</v>
      </c>
      <c r="F1481" s="3" t="s">
        <v>115</v>
      </c>
      <c r="G1481" s="1" t="s">
        <v>1277</v>
      </c>
      <c r="H1481" s="1">
        <v>250</v>
      </c>
      <c r="I1481" s="1">
        <v>223</v>
      </c>
      <c r="J1481" s="2">
        <v>0.108</v>
      </c>
      <c r="K1481">
        <f t="shared" si="69"/>
        <v>24.084</v>
      </c>
      <c r="L1481">
        <f t="shared" si="70"/>
        <v>198.916</v>
      </c>
      <c r="M1481" t="str">
        <f t="shared" si="71"/>
        <v>Nov-2015</v>
      </c>
    </row>
    <row r="1482" spans="1:13" x14ac:dyDescent="0.3">
      <c r="A1482" t="s">
        <v>2053</v>
      </c>
      <c r="B1482" s="1" t="s">
        <v>91</v>
      </c>
      <c r="C1482" s="1" t="s">
        <v>92</v>
      </c>
      <c r="D1482" s="1" t="s">
        <v>35</v>
      </c>
      <c r="E1482" s="5">
        <v>41935</v>
      </c>
      <c r="F1482" s="3" t="s">
        <v>115</v>
      </c>
      <c r="G1482" s="1" t="s">
        <v>199</v>
      </c>
      <c r="H1482" s="1">
        <v>250</v>
      </c>
      <c r="I1482" s="1">
        <v>180</v>
      </c>
      <c r="J1482" s="2">
        <v>0.28000000000000003</v>
      </c>
      <c r="K1482">
        <f t="shared" si="69"/>
        <v>50.400000000000006</v>
      </c>
      <c r="L1482">
        <f t="shared" si="70"/>
        <v>129.6</v>
      </c>
      <c r="M1482" t="str">
        <f t="shared" si="71"/>
        <v>Oct-2014</v>
      </c>
    </row>
    <row r="1483" spans="1:13" x14ac:dyDescent="0.3">
      <c r="A1483" t="s">
        <v>2054</v>
      </c>
      <c r="B1483" s="1" t="s">
        <v>205</v>
      </c>
      <c r="C1483" s="1" t="s">
        <v>206</v>
      </c>
      <c r="D1483" s="1" t="s">
        <v>24</v>
      </c>
      <c r="E1483" s="5">
        <v>43184</v>
      </c>
      <c r="F1483" s="3" t="s">
        <v>30</v>
      </c>
      <c r="G1483" s="1" t="s">
        <v>579</v>
      </c>
      <c r="H1483" s="1">
        <v>150</v>
      </c>
      <c r="I1483" s="1">
        <v>146</v>
      </c>
      <c r="J1483" s="2">
        <v>2.6700000000000002E-2</v>
      </c>
      <c r="K1483">
        <f t="shared" si="69"/>
        <v>3.8982000000000001</v>
      </c>
      <c r="L1483">
        <f t="shared" si="70"/>
        <v>142.1018</v>
      </c>
      <c r="M1483" t="str">
        <f t="shared" si="71"/>
        <v>Mar-2018</v>
      </c>
    </row>
    <row r="1484" spans="1:13" x14ac:dyDescent="0.3">
      <c r="A1484" t="s">
        <v>2055</v>
      </c>
      <c r="B1484" s="1" t="s">
        <v>205</v>
      </c>
      <c r="C1484" s="1" t="s">
        <v>206</v>
      </c>
      <c r="D1484" s="1" t="s">
        <v>24</v>
      </c>
      <c r="E1484" s="5">
        <v>42173</v>
      </c>
      <c r="F1484" s="3" t="s">
        <v>115</v>
      </c>
      <c r="G1484" s="1" t="s">
        <v>1772</v>
      </c>
      <c r="H1484" s="1">
        <v>250</v>
      </c>
      <c r="I1484" s="1">
        <v>235</v>
      </c>
      <c r="J1484" s="2">
        <v>0.06</v>
      </c>
      <c r="K1484">
        <f t="shared" si="69"/>
        <v>14.1</v>
      </c>
      <c r="L1484">
        <f t="shared" si="70"/>
        <v>220.9</v>
      </c>
      <c r="M1484" t="str">
        <f t="shared" si="71"/>
        <v>Jun-2015</v>
      </c>
    </row>
    <row r="1485" spans="1:13" x14ac:dyDescent="0.3">
      <c r="A1485" t="s">
        <v>2056</v>
      </c>
      <c r="B1485" s="1" t="s">
        <v>85</v>
      </c>
      <c r="C1485" s="1" t="s">
        <v>86</v>
      </c>
      <c r="D1485" s="1" t="s">
        <v>13</v>
      </c>
      <c r="E1485" s="5">
        <v>43360</v>
      </c>
      <c r="F1485" s="3" t="s">
        <v>55</v>
      </c>
      <c r="G1485" s="1" t="s">
        <v>573</v>
      </c>
      <c r="H1485" s="1">
        <v>800</v>
      </c>
      <c r="I1485" s="1">
        <v>440</v>
      </c>
      <c r="J1485" s="2">
        <v>0.45</v>
      </c>
      <c r="K1485">
        <f t="shared" si="69"/>
        <v>198</v>
      </c>
      <c r="L1485">
        <f t="shared" si="70"/>
        <v>242</v>
      </c>
      <c r="M1485" t="str">
        <f t="shared" si="71"/>
        <v>Sep-2018</v>
      </c>
    </row>
    <row r="1486" spans="1:13" x14ac:dyDescent="0.3">
      <c r="A1486" t="s">
        <v>2057</v>
      </c>
      <c r="B1486" s="1" t="s">
        <v>103</v>
      </c>
      <c r="C1486" s="1" t="s">
        <v>71</v>
      </c>
      <c r="D1486" s="1" t="s">
        <v>35</v>
      </c>
      <c r="E1486" s="5">
        <v>42245</v>
      </c>
      <c r="F1486" s="3" t="s">
        <v>41</v>
      </c>
      <c r="G1486" s="1" t="s">
        <v>497</v>
      </c>
      <c r="H1486" s="1">
        <v>30</v>
      </c>
      <c r="I1486" s="1">
        <v>28</v>
      </c>
      <c r="J1486" s="2">
        <v>6.6699999999999995E-2</v>
      </c>
      <c r="K1486">
        <f t="shared" si="69"/>
        <v>1.8675999999999999</v>
      </c>
      <c r="L1486">
        <f t="shared" si="70"/>
        <v>26.132400000000001</v>
      </c>
      <c r="M1486" t="str">
        <f t="shared" si="71"/>
        <v>Aug-2015</v>
      </c>
    </row>
    <row r="1487" spans="1:13" x14ac:dyDescent="0.3">
      <c r="A1487" t="s">
        <v>2058</v>
      </c>
      <c r="B1487" s="1" t="s">
        <v>22</v>
      </c>
      <c r="C1487" s="1" t="s">
        <v>23</v>
      </c>
      <c r="D1487" s="1" t="s">
        <v>24</v>
      </c>
      <c r="E1487" s="5">
        <v>43025</v>
      </c>
      <c r="F1487" s="3" t="s">
        <v>115</v>
      </c>
      <c r="G1487" s="1" t="s">
        <v>26</v>
      </c>
      <c r="H1487" s="1">
        <v>250</v>
      </c>
      <c r="I1487" s="1">
        <v>213</v>
      </c>
      <c r="J1487" s="2">
        <v>0.14799999999999999</v>
      </c>
      <c r="K1487">
        <f t="shared" si="69"/>
        <v>31.523999999999997</v>
      </c>
      <c r="L1487">
        <f t="shared" si="70"/>
        <v>181.476</v>
      </c>
      <c r="M1487" t="str">
        <f t="shared" si="71"/>
        <v>Oct-2017</v>
      </c>
    </row>
    <row r="1488" spans="1:13" x14ac:dyDescent="0.3">
      <c r="A1488" t="s">
        <v>2059</v>
      </c>
      <c r="B1488" s="1" t="s">
        <v>107</v>
      </c>
      <c r="C1488" s="1" t="s">
        <v>108</v>
      </c>
      <c r="D1488" s="1" t="s">
        <v>19</v>
      </c>
      <c r="E1488" s="5">
        <v>42962</v>
      </c>
      <c r="F1488" s="3" t="s">
        <v>25</v>
      </c>
      <c r="G1488" s="1" t="s">
        <v>1029</v>
      </c>
      <c r="H1488" s="1">
        <v>700</v>
      </c>
      <c r="I1488" s="1">
        <v>665</v>
      </c>
      <c r="J1488" s="2">
        <v>0.05</v>
      </c>
      <c r="K1488">
        <f t="shared" si="69"/>
        <v>33.25</v>
      </c>
      <c r="L1488">
        <f t="shared" si="70"/>
        <v>631.75</v>
      </c>
      <c r="M1488" t="str">
        <f t="shared" si="71"/>
        <v>Aug-2017</v>
      </c>
    </row>
    <row r="1489" spans="1:13" x14ac:dyDescent="0.3">
      <c r="A1489" t="s">
        <v>2060</v>
      </c>
      <c r="B1489" s="1" t="s">
        <v>103</v>
      </c>
      <c r="C1489" s="1" t="s">
        <v>71</v>
      </c>
      <c r="D1489" s="1" t="s">
        <v>35</v>
      </c>
      <c r="E1489" s="5">
        <v>42388</v>
      </c>
      <c r="F1489" s="3" t="s">
        <v>72</v>
      </c>
      <c r="G1489" s="1" t="s">
        <v>1815</v>
      </c>
      <c r="H1489" s="1">
        <v>500</v>
      </c>
      <c r="I1489" s="1">
        <v>495</v>
      </c>
      <c r="J1489" s="2">
        <v>0.01</v>
      </c>
      <c r="K1489">
        <f t="shared" si="69"/>
        <v>4.95</v>
      </c>
      <c r="L1489">
        <f t="shared" si="70"/>
        <v>490.05</v>
      </c>
      <c r="M1489" t="str">
        <f t="shared" si="71"/>
        <v>Jan-2016</v>
      </c>
    </row>
    <row r="1490" spans="1:13" x14ac:dyDescent="0.3">
      <c r="A1490" t="s">
        <v>2061</v>
      </c>
      <c r="B1490" s="1" t="s">
        <v>99</v>
      </c>
      <c r="C1490" s="1" t="s">
        <v>100</v>
      </c>
      <c r="D1490" s="1" t="s">
        <v>13</v>
      </c>
      <c r="E1490" s="5">
        <v>41667</v>
      </c>
      <c r="F1490" s="3" t="s">
        <v>104</v>
      </c>
      <c r="G1490" s="1" t="s">
        <v>101</v>
      </c>
      <c r="H1490" s="1">
        <v>70</v>
      </c>
      <c r="I1490" s="1">
        <v>67</v>
      </c>
      <c r="J1490" s="2">
        <v>4.2900000000000001E-2</v>
      </c>
      <c r="K1490">
        <f t="shared" si="69"/>
        <v>2.8742999999999999</v>
      </c>
      <c r="L1490">
        <f t="shared" si="70"/>
        <v>64.125699999999995</v>
      </c>
      <c r="M1490" t="str">
        <f t="shared" si="71"/>
        <v>Jan-2014</v>
      </c>
    </row>
    <row r="1491" spans="1:13" x14ac:dyDescent="0.3">
      <c r="A1491" t="s">
        <v>2062</v>
      </c>
      <c r="B1491" s="1" t="s">
        <v>255</v>
      </c>
      <c r="C1491" s="1" t="s">
        <v>256</v>
      </c>
      <c r="D1491" s="1" t="s">
        <v>13</v>
      </c>
      <c r="E1491" s="5">
        <v>42179</v>
      </c>
      <c r="F1491" s="3" t="s">
        <v>72</v>
      </c>
      <c r="G1491" s="1" t="s">
        <v>1266</v>
      </c>
      <c r="H1491" s="1">
        <v>500</v>
      </c>
      <c r="I1491" s="1">
        <v>490</v>
      </c>
      <c r="J1491" s="2">
        <v>0.02</v>
      </c>
      <c r="K1491">
        <f t="shared" si="69"/>
        <v>9.8000000000000007</v>
      </c>
      <c r="L1491">
        <f t="shared" si="70"/>
        <v>480.2</v>
      </c>
      <c r="M1491" t="str">
        <f t="shared" si="71"/>
        <v>Jun-2015</v>
      </c>
    </row>
    <row r="1492" spans="1:13" x14ac:dyDescent="0.3">
      <c r="A1492" t="s">
        <v>2063</v>
      </c>
      <c r="B1492" s="1" t="s">
        <v>157</v>
      </c>
      <c r="C1492" s="1" t="s">
        <v>108</v>
      </c>
      <c r="D1492" s="1" t="s">
        <v>19</v>
      </c>
      <c r="E1492" s="5">
        <v>42052</v>
      </c>
      <c r="F1492" s="3" t="s">
        <v>72</v>
      </c>
      <c r="G1492" s="1" t="s">
        <v>158</v>
      </c>
      <c r="H1492" s="1">
        <v>500</v>
      </c>
      <c r="I1492" s="1">
        <v>495</v>
      </c>
      <c r="J1492" s="2">
        <v>0.01</v>
      </c>
      <c r="K1492">
        <f t="shared" si="69"/>
        <v>4.95</v>
      </c>
      <c r="L1492">
        <f t="shared" si="70"/>
        <v>490.05</v>
      </c>
      <c r="M1492" t="str">
        <f t="shared" si="71"/>
        <v>Feb-2015</v>
      </c>
    </row>
    <row r="1493" spans="1:13" x14ac:dyDescent="0.3">
      <c r="A1493" t="s">
        <v>2064</v>
      </c>
      <c r="B1493" s="1" t="s">
        <v>157</v>
      </c>
      <c r="C1493" s="1" t="s">
        <v>108</v>
      </c>
      <c r="D1493" s="1" t="s">
        <v>19</v>
      </c>
      <c r="E1493" s="5">
        <v>41756</v>
      </c>
      <c r="F1493" s="3" t="s">
        <v>25</v>
      </c>
      <c r="G1493" s="1" t="s">
        <v>981</v>
      </c>
      <c r="H1493" s="1">
        <v>700</v>
      </c>
      <c r="I1493" s="1">
        <v>700</v>
      </c>
      <c r="J1493" s="2">
        <v>0</v>
      </c>
      <c r="K1493">
        <f t="shared" si="69"/>
        <v>0</v>
      </c>
      <c r="L1493">
        <f t="shared" si="70"/>
        <v>700</v>
      </c>
      <c r="M1493" t="str">
        <f t="shared" si="71"/>
        <v>Apr-2014</v>
      </c>
    </row>
    <row r="1494" spans="1:13" x14ac:dyDescent="0.3">
      <c r="A1494" t="s">
        <v>2065</v>
      </c>
      <c r="B1494" s="1" t="s">
        <v>59</v>
      </c>
      <c r="C1494" s="1" t="s">
        <v>60</v>
      </c>
      <c r="D1494" s="1" t="s">
        <v>13</v>
      </c>
      <c r="E1494" s="5">
        <v>42817</v>
      </c>
      <c r="F1494" s="3" t="s">
        <v>122</v>
      </c>
      <c r="G1494" s="1" t="s">
        <v>781</v>
      </c>
      <c r="H1494" s="1">
        <v>50</v>
      </c>
      <c r="I1494" s="1">
        <v>43</v>
      </c>
      <c r="J1494" s="2">
        <v>0.14000000000000001</v>
      </c>
      <c r="K1494">
        <f t="shared" si="69"/>
        <v>6.0200000000000005</v>
      </c>
      <c r="L1494">
        <f t="shared" si="70"/>
        <v>36.979999999999997</v>
      </c>
      <c r="M1494" t="str">
        <f t="shared" si="71"/>
        <v>Mar-2017</v>
      </c>
    </row>
    <row r="1495" spans="1:13" x14ac:dyDescent="0.3">
      <c r="A1495" t="s">
        <v>2066</v>
      </c>
      <c r="B1495" s="1" t="s">
        <v>17</v>
      </c>
      <c r="C1495" s="1" t="s">
        <v>18</v>
      </c>
      <c r="D1495" s="1" t="s">
        <v>19</v>
      </c>
      <c r="E1495" s="5">
        <v>43173</v>
      </c>
      <c r="F1495" s="3" t="s">
        <v>55</v>
      </c>
      <c r="G1495" s="1" t="s">
        <v>493</v>
      </c>
      <c r="H1495" s="1">
        <v>800</v>
      </c>
      <c r="I1495" s="1">
        <v>616</v>
      </c>
      <c r="J1495" s="2">
        <v>0.23</v>
      </c>
      <c r="K1495">
        <f t="shared" si="69"/>
        <v>141.68</v>
      </c>
      <c r="L1495">
        <f t="shared" si="70"/>
        <v>474.32</v>
      </c>
      <c r="M1495" t="str">
        <f t="shared" si="71"/>
        <v>Mar-2018</v>
      </c>
    </row>
    <row r="1496" spans="1:13" x14ac:dyDescent="0.3">
      <c r="A1496" t="s">
        <v>2067</v>
      </c>
      <c r="B1496" s="1" t="s">
        <v>131</v>
      </c>
      <c r="C1496" s="1" t="s">
        <v>108</v>
      </c>
      <c r="D1496" s="1" t="s">
        <v>19</v>
      </c>
      <c r="E1496" s="5">
        <v>42916</v>
      </c>
      <c r="F1496" s="3" t="s">
        <v>115</v>
      </c>
      <c r="G1496" s="1" t="s">
        <v>793</v>
      </c>
      <c r="H1496" s="1">
        <v>250</v>
      </c>
      <c r="I1496" s="1">
        <v>245</v>
      </c>
      <c r="J1496" s="2">
        <v>0.02</v>
      </c>
      <c r="K1496">
        <f t="shared" si="69"/>
        <v>4.9000000000000004</v>
      </c>
      <c r="L1496">
        <f t="shared" si="70"/>
        <v>240.1</v>
      </c>
      <c r="M1496" t="str">
        <f t="shared" si="71"/>
        <v>Jun-2017</v>
      </c>
    </row>
    <row r="1497" spans="1:13" x14ac:dyDescent="0.3">
      <c r="A1497" t="s">
        <v>2068</v>
      </c>
      <c r="B1497" s="1" t="s">
        <v>81</v>
      </c>
      <c r="C1497" s="1" t="s">
        <v>82</v>
      </c>
      <c r="D1497" s="1" t="s">
        <v>13</v>
      </c>
      <c r="E1497" s="5">
        <v>42137</v>
      </c>
      <c r="F1497" s="3" t="s">
        <v>115</v>
      </c>
      <c r="G1497" s="1" t="s">
        <v>195</v>
      </c>
      <c r="H1497" s="1">
        <v>250</v>
      </c>
      <c r="I1497" s="1">
        <v>223</v>
      </c>
      <c r="J1497" s="2">
        <v>0.108</v>
      </c>
      <c r="K1497">
        <f t="shared" si="69"/>
        <v>24.084</v>
      </c>
      <c r="L1497">
        <f t="shared" si="70"/>
        <v>198.916</v>
      </c>
      <c r="M1497" t="str">
        <f t="shared" si="71"/>
        <v>May-2015</v>
      </c>
    </row>
    <row r="1498" spans="1:13" x14ac:dyDescent="0.3">
      <c r="A1498" t="s">
        <v>2069</v>
      </c>
      <c r="B1498" s="1" t="s">
        <v>174</v>
      </c>
      <c r="C1498" s="1" t="s">
        <v>175</v>
      </c>
      <c r="D1498" s="1" t="s">
        <v>13</v>
      </c>
      <c r="E1498" s="5">
        <v>43184</v>
      </c>
      <c r="F1498" s="3" t="s">
        <v>14</v>
      </c>
      <c r="G1498" s="1" t="s">
        <v>1558</v>
      </c>
      <c r="H1498" s="1">
        <v>80</v>
      </c>
      <c r="I1498" s="1">
        <v>73</v>
      </c>
      <c r="J1498" s="2">
        <v>8.7499999999999994E-2</v>
      </c>
      <c r="K1498">
        <f t="shared" si="69"/>
        <v>6.3874999999999993</v>
      </c>
      <c r="L1498">
        <f t="shared" si="70"/>
        <v>66.612499999999997</v>
      </c>
      <c r="M1498" t="str">
        <f t="shared" si="71"/>
        <v>Mar-2018</v>
      </c>
    </row>
    <row r="1499" spans="1:13" x14ac:dyDescent="0.3">
      <c r="A1499" t="s">
        <v>2070</v>
      </c>
      <c r="B1499" s="1" t="s">
        <v>99</v>
      </c>
      <c r="C1499" s="1" t="s">
        <v>100</v>
      </c>
      <c r="D1499" s="1" t="s">
        <v>13</v>
      </c>
      <c r="E1499" s="5">
        <v>43464</v>
      </c>
      <c r="F1499" s="3" t="s">
        <v>104</v>
      </c>
      <c r="G1499" s="1" t="s">
        <v>101</v>
      </c>
      <c r="H1499" s="1">
        <v>70</v>
      </c>
      <c r="I1499" s="1">
        <v>67</v>
      </c>
      <c r="J1499" s="2">
        <v>4.2900000000000001E-2</v>
      </c>
      <c r="K1499">
        <f t="shared" si="69"/>
        <v>2.8742999999999999</v>
      </c>
      <c r="L1499">
        <f t="shared" si="70"/>
        <v>64.125699999999995</v>
      </c>
      <c r="M1499" t="str">
        <f t="shared" si="71"/>
        <v>Dec-2018</v>
      </c>
    </row>
    <row r="1500" spans="1:13" x14ac:dyDescent="0.3">
      <c r="A1500" t="s">
        <v>2071</v>
      </c>
      <c r="B1500" s="1" t="s">
        <v>95</v>
      </c>
      <c r="C1500" s="1" t="s">
        <v>96</v>
      </c>
      <c r="D1500" s="1" t="s">
        <v>13</v>
      </c>
      <c r="E1500" s="5">
        <v>42877</v>
      </c>
      <c r="F1500" s="3" t="s">
        <v>41</v>
      </c>
      <c r="G1500" s="1" t="s">
        <v>97</v>
      </c>
      <c r="H1500" s="1">
        <v>30</v>
      </c>
      <c r="I1500" s="1">
        <v>30</v>
      </c>
      <c r="J1500" s="2">
        <v>0</v>
      </c>
      <c r="K1500">
        <f t="shared" si="69"/>
        <v>0</v>
      </c>
      <c r="L1500">
        <f t="shared" si="70"/>
        <v>30</v>
      </c>
      <c r="M1500" t="str">
        <f t="shared" si="71"/>
        <v>May-2017</v>
      </c>
    </row>
    <row r="1501" spans="1:13" x14ac:dyDescent="0.3">
      <c r="A1501" t="s">
        <v>2072</v>
      </c>
      <c r="B1501" s="1" t="s">
        <v>131</v>
      </c>
      <c r="C1501" s="1" t="s">
        <v>108</v>
      </c>
      <c r="D1501" s="1" t="s">
        <v>19</v>
      </c>
      <c r="E1501" s="5">
        <v>42538</v>
      </c>
      <c r="F1501" s="3" t="s">
        <v>122</v>
      </c>
      <c r="G1501" s="1" t="s">
        <v>546</v>
      </c>
      <c r="H1501" s="1">
        <v>50</v>
      </c>
      <c r="I1501" s="1">
        <v>49</v>
      </c>
      <c r="J1501" s="2">
        <v>0.02</v>
      </c>
      <c r="K1501">
        <f t="shared" si="69"/>
        <v>0.98</v>
      </c>
      <c r="L1501">
        <f t="shared" si="70"/>
        <v>48.02</v>
      </c>
      <c r="M1501" t="str">
        <f t="shared" si="71"/>
        <v>Jun-2016</v>
      </c>
    </row>
    <row r="1502" spans="1:13" x14ac:dyDescent="0.3">
      <c r="A1502" t="s">
        <v>2073</v>
      </c>
      <c r="B1502" s="1" t="s">
        <v>264</v>
      </c>
      <c r="C1502" s="1" t="s">
        <v>265</v>
      </c>
      <c r="D1502" s="1" t="s">
        <v>13</v>
      </c>
      <c r="E1502" s="5">
        <v>43372</v>
      </c>
      <c r="F1502" s="3" t="s">
        <v>72</v>
      </c>
      <c r="G1502" s="1" t="s">
        <v>369</v>
      </c>
      <c r="H1502" s="1">
        <v>500</v>
      </c>
      <c r="I1502" s="1">
        <v>495</v>
      </c>
      <c r="J1502" s="2">
        <v>0.01</v>
      </c>
      <c r="K1502">
        <f t="shared" si="69"/>
        <v>4.95</v>
      </c>
      <c r="L1502">
        <f t="shared" si="70"/>
        <v>490.05</v>
      </c>
      <c r="M1502" t="str">
        <f t="shared" si="71"/>
        <v>Sep-2018</v>
      </c>
    </row>
    <row r="1503" spans="1:13" x14ac:dyDescent="0.3">
      <c r="A1503" t="s">
        <v>2074</v>
      </c>
      <c r="B1503" s="1" t="s">
        <v>53</v>
      </c>
      <c r="C1503" s="1" t="s">
        <v>54</v>
      </c>
      <c r="D1503" s="1" t="s">
        <v>13</v>
      </c>
      <c r="E1503" s="5">
        <v>42994</v>
      </c>
      <c r="F1503" s="3" t="s">
        <v>46</v>
      </c>
      <c r="G1503" s="1" t="s">
        <v>647</v>
      </c>
      <c r="H1503" s="1">
        <v>500</v>
      </c>
      <c r="I1503" s="1">
        <v>485</v>
      </c>
      <c r="J1503" s="2">
        <v>0.03</v>
      </c>
      <c r="K1503">
        <f t="shared" si="69"/>
        <v>14.549999999999999</v>
      </c>
      <c r="L1503">
        <f t="shared" si="70"/>
        <v>470.45</v>
      </c>
      <c r="M1503" t="str">
        <f t="shared" si="71"/>
        <v>Sep-2017</v>
      </c>
    </row>
    <row r="1504" spans="1:13" x14ac:dyDescent="0.3">
      <c r="A1504" t="s">
        <v>2075</v>
      </c>
      <c r="B1504" s="1" t="s">
        <v>182</v>
      </c>
      <c r="C1504" s="1" t="s">
        <v>108</v>
      </c>
      <c r="D1504" s="1" t="s">
        <v>19</v>
      </c>
      <c r="E1504" s="5">
        <v>43206</v>
      </c>
      <c r="F1504" s="3" t="s">
        <v>30</v>
      </c>
      <c r="G1504" s="1" t="s">
        <v>958</v>
      </c>
      <c r="H1504" s="1">
        <v>150</v>
      </c>
      <c r="I1504" s="1">
        <v>116</v>
      </c>
      <c r="J1504" s="2">
        <v>0.22670000000000001</v>
      </c>
      <c r="K1504">
        <f t="shared" si="69"/>
        <v>26.2972</v>
      </c>
      <c r="L1504">
        <f t="shared" si="70"/>
        <v>89.702799999999996</v>
      </c>
      <c r="M1504" t="str">
        <f t="shared" si="71"/>
        <v>Apr-2018</v>
      </c>
    </row>
    <row r="1505" spans="1:13" x14ac:dyDescent="0.3">
      <c r="A1505" t="s">
        <v>2076</v>
      </c>
      <c r="B1505" s="1" t="s">
        <v>17</v>
      </c>
      <c r="C1505" s="1" t="s">
        <v>18</v>
      </c>
      <c r="D1505" s="1" t="s">
        <v>19</v>
      </c>
      <c r="E1505" s="5">
        <v>41714</v>
      </c>
      <c r="F1505" s="3" t="s">
        <v>25</v>
      </c>
      <c r="G1505" s="1" t="s">
        <v>853</v>
      </c>
      <c r="H1505" s="1">
        <v>700</v>
      </c>
      <c r="I1505" s="1">
        <v>658</v>
      </c>
      <c r="J1505" s="2">
        <v>0.06</v>
      </c>
      <c r="K1505">
        <f t="shared" si="69"/>
        <v>39.479999999999997</v>
      </c>
      <c r="L1505">
        <f t="shared" si="70"/>
        <v>618.52</v>
      </c>
      <c r="M1505" t="str">
        <f t="shared" si="71"/>
        <v>Mar-2014</v>
      </c>
    </row>
    <row r="1506" spans="1:13" x14ac:dyDescent="0.3">
      <c r="A1506" t="s">
        <v>2077</v>
      </c>
      <c r="B1506" s="1" t="s">
        <v>59</v>
      </c>
      <c r="C1506" s="1" t="s">
        <v>60</v>
      </c>
      <c r="D1506" s="1" t="s">
        <v>13</v>
      </c>
      <c r="E1506" s="5">
        <v>42915</v>
      </c>
      <c r="F1506" s="3" t="s">
        <v>41</v>
      </c>
      <c r="G1506" s="1" t="s">
        <v>1778</v>
      </c>
      <c r="H1506" s="1">
        <v>30</v>
      </c>
      <c r="I1506" s="1">
        <v>27</v>
      </c>
      <c r="J1506" s="2">
        <v>0.1</v>
      </c>
      <c r="K1506">
        <f t="shared" si="69"/>
        <v>2.7</v>
      </c>
      <c r="L1506">
        <f t="shared" si="70"/>
        <v>24.3</v>
      </c>
      <c r="M1506" t="str">
        <f t="shared" si="71"/>
        <v>Jun-2017</v>
      </c>
    </row>
    <row r="1507" spans="1:13" x14ac:dyDescent="0.3">
      <c r="A1507" t="s">
        <v>2078</v>
      </c>
      <c r="B1507" s="1" t="s">
        <v>11</v>
      </c>
      <c r="C1507" s="1" t="s">
        <v>12</v>
      </c>
      <c r="D1507" s="1" t="s">
        <v>13</v>
      </c>
      <c r="E1507" s="5">
        <v>41774</v>
      </c>
      <c r="F1507" s="3" t="s">
        <v>55</v>
      </c>
      <c r="G1507" s="1" t="s">
        <v>137</v>
      </c>
      <c r="H1507" s="1">
        <v>800</v>
      </c>
      <c r="I1507" s="1">
        <v>608</v>
      </c>
      <c r="J1507" s="2">
        <v>0.24</v>
      </c>
      <c r="K1507">
        <f t="shared" si="69"/>
        <v>145.91999999999999</v>
      </c>
      <c r="L1507">
        <f t="shared" si="70"/>
        <v>462.08000000000004</v>
      </c>
      <c r="M1507" t="str">
        <f t="shared" si="71"/>
        <v>May-2014</v>
      </c>
    </row>
    <row r="1508" spans="1:13" x14ac:dyDescent="0.3">
      <c r="A1508" t="s">
        <v>2079</v>
      </c>
      <c r="B1508" s="1" t="s">
        <v>124</v>
      </c>
      <c r="C1508" s="1" t="s">
        <v>40</v>
      </c>
      <c r="D1508" s="1" t="s">
        <v>35</v>
      </c>
      <c r="E1508" s="5">
        <v>41881</v>
      </c>
      <c r="F1508" s="3" t="s">
        <v>36</v>
      </c>
      <c r="G1508" s="1" t="s">
        <v>125</v>
      </c>
      <c r="H1508" s="1">
        <v>50</v>
      </c>
      <c r="I1508" s="1">
        <v>49</v>
      </c>
      <c r="J1508" s="2">
        <v>0.02</v>
      </c>
      <c r="K1508">
        <f t="shared" si="69"/>
        <v>0.98</v>
      </c>
      <c r="L1508">
        <f t="shared" si="70"/>
        <v>48.02</v>
      </c>
      <c r="M1508" t="str">
        <f t="shared" si="71"/>
        <v>Aug-2014</v>
      </c>
    </row>
    <row r="1509" spans="1:13" x14ac:dyDescent="0.3">
      <c r="A1509" t="s">
        <v>2080</v>
      </c>
      <c r="B1509" s="1" t="s">
        <v>205</v>
      </c>
      <c r="C1509" s="1" t="s">
        <v>206</v>
      </c>
      <c r="D1509" s="1" t="s">
        <v>24</v>
      </c>
      <c r="E1509" s="5">
        <v>42357</v>
      </c>
      <c r="F1509" s="3" t="s">
        <v>14</v>
      </c>
      <c r="G1509" s="1" t="s">
        <v>1872</v>
      </c>
      <c r="H1509" s="1">
        <v>80</v>
      </c>
      <c r="I1509" s="1">
        <v>69</v>
      </c>
      <c r="J1509" s="2">
        <v>0.13750000000000001</v>
      </c>
      <c r="K1509">
        <f t="shared" si="69"/>
        <v>9.4875000000000007</v>
      </c>
      <c r="L1509">
        <f t="shared" si="70"/>
        <v>59.512500000000003</v>
      </c>
      <c r="M1509" t="str">
        <f t="shared" si="71"/>
        <v>Dec-2015</v>
      </c>
    </row>
    <row r="1510" spans="1:13" x14ac:dyDescent="0.3">
      <c r="A1510" t="s">
        <v>2081</v>
      </c>
      <c r="B1510" s="1" t="s">
        <v>270</v>
      </c>
      <c r="C1510" s="1" t="s">
        <v>271</v>
      </c>
      <c r="D1510" s="1" t="s">
        <v>35</v>
      </c>
      <c r="E1510" s="5">
        <v>42962</v>
      </c>
      <c r="F1510" s="3" t="s">
        <v>104</v>
      </c>
      <c r="G1510" s="1" t="s">
        <v>713</v>
      </c>
      <c r="H1510" s="1">
        <v>70</v>
      </c>
      <c r="I1510" s="1">
        <v>64</v>
      </c>
      <c r="J1510" s="2">
        <v>8.5699999999999998E-2</v>
      </c>
      <c r="K1510">
        <f t="shared" si="69"/>
        <v>5.4847999999999999</v>
      </c>
      <c r="L1510">
        <f t="shared" si="70"/>
        <v>58.5152</v>
      </c>
      <c r="M1510" t="str">
        <f t="shared" si="71"/>
        <v>Aug-2017</v>
      </c>
    </row>
    <row r="1511" spans="1:13" x14ac:dyDescent="0.3">
      <c r="A1511" t="s">
        <v>2082</v>
      </c>
      <c r="B1511" s="1" t="s">
        <v>59</v>
      </c>
      <c r="C1511" s="1" t="s">
        <v>60</v>
      </c>
      <c r="D1511" s="1" t="s">
        <v>13</v>
      </c>
      <c r="E1511" s="5">
        <v>42171</v>
      </c>
      <c r="F1511" s="3" t="s">
        <v>41</v>
      </c>
      <c r="G1511" s="1" t="s">
        <v>312</v>
      </c>
      <c r="H1511" s="1">
        <v>30</v>
      </c>
      <c r="I1511" s="1">
        <v>27</v>
      </c>
      <c r="J1511" s="2">
        <v>0.1</v>
      </c>
      <c r="K1511">
        <f t="shared" si="69"/>
        <v>2.7</v>
      </c>
      <c r="L1511">
        <f t="shared" si="70"/>
        <v>24.3</v>
      </c>
      <c r="M1511" t="str">
        <f t="shared" si="71"/>
        <v>Jun-2015</v>
      </c>
    </row>
    <row r="1512" spans="1:13" x14ac:dyDescent="0.3">
      <c r="A1512" t="s">
        <v>2083</v>
      </c>
      <c r="B1512" s="1" t="s">
        <v>95</v>
      </c>
      <c r="C1512" s="1" t="s">
        <v>96</v>
      </c>
      <c r="D1512" s="1" t="s">
        <v>13</v>
      </c>
      <c r="E1512" s="5">
        <v>42966</v>
      </c>
      <c r="F1512" s="3" t="s">
        <v>46</v>
      </c>
      <c r="G1512" s="1" t="s">
        <v>333</v>
      </c>
      <c r="H1512" s="1">
        <v>500</v>
      </c>
      <c r="I1512" s="1">
        <v>500</v>
      </c>
      <c r="J1512" s="2">
        <v>0</v>
      </c>
      <c r="K1512">
        <f t="shared" si="69"/>
        <v>0</v>
      </c>
      <c r="L1512">
        <f t="shared" si="70"/>
        <v>500</v>
      </c>
      <c r="M1512" t="str">
        <f t="shared" si="71"/>
        <v>Aug-2017</v>
      </c>
    </row>
    <row r="1513" spans="1:13" x14ac:dyDescent="0.3">
      <c r="A1513" t="s">
        <v>2084</v>
      </c>
      <c r="B1513" s="1" t="s">
        <v>264</v>
      </c>
      <c r="C1513" s="1" t="s">
        <v>265</v>
      </c>
      <c r="D1513" s="1" t="s">
        <v>13</v>
      </c>
      <c r="E1513" s="5">
        <v>42093</v>
      </c>
      <c r="F1513" s="3" t="s">
        <v>14</v>
      </c>
      <c r="G1513" s="1" t="s">
        <v>599</v>
      </c>
      <c r="H1513" s="1">
        <v>80</v>
      </c>
      <c r="I1513" s="1">
        <v>60</v>
      </c>
      <c r="J1513" s="2">
        <v>0.25</v>
      </c>
      <c r="K1513">
        <f t="shared" si="69"/>
        <v>15</v>
      </c>
      <c r="L1513">
        <f t="shared" si="70"/>
        <v>45</v>
      </c>
      <c r="M1513" t="str">
        <f t="shared" si="71"/>
        <v>Mar-2015</v>
      </c>
    </row>
    <row r="1514" spans="1:13" x14ac:dyDescent="0.3">
      <c r="A1514" t="s">
        <v>2085</v>
      </c>
      <c r="B1514" s="1" t="s">
        <v>81</v>
      </c>
      <c r="C1514" s="1" t="s">
        <v>82</v>
      </c>
      <c r="D1514" s="1" t="s">
        <v>13</v>
      </c>
      <c r="E1514" s="5">
        <v>41928</v>
      </c>
      <c r="F1514" s="3" t="s">
        <v>25</v>
      </c>
      <c r="G1514" s="1" t="s">
        <v>387</v>
      </c>
      <c r="H1514" s="1">
        <v>700</v>
      </c>
      <c r="I1514" s="1">
        <v>637</v>
      </c>
      <c r="J1514" s="2">
        <v>0.09</v>
      </c>
      <c r="K1514">
        <f t="shared" si="69"/>
        <v>57.33</v>
      </c>
      <c r="L1514">
        <f t="shared" si="70"/>
        <v>579.66999999999996</v>
      </c>
      <c r="M1514" t="str">
        <f t="shared" si="71"/>
        <v>Oct-2014</v>
      </c>
    </row>
    <row r="1515" spans="1:13" x14ac:dyDescent="0.3">
      <c r="A1515" t="s">
        <v>2086</v>
      </c>
      <c r="B1515" s="1" t="s">
        <v>134</v>
      </c>
      <c r="C1515" s="1" t="s">
        <v>92</v>
      </c>
      <c r="D1515" s="1" t="s">
        <v>35</v>
      </c>
      <c r="E1515" s="5">
        <v>42062</v>
      </c>
      <c r="F1515" s="3" t="s">
        <v>115</v>
      </c>
      <c r="G1515" s="1" t="s">
        <v>807</v>
      </c>
      <c r="H1515" s="1">
        <v>250</v>
      </c>
      <c r="I1515" s="1">
        <v>178</v>
      </c>
      <c r="J1515" s="2">
        <v>0.28799999999999998</v>
      </c>
      <c r="K1515">
        <f t="shared" si="69"/>
        <v>51.263999999999996</v>
      </c>
      <c r="L1515">
        <f t="shared" si="70"/>
        <v>126.736</v>
      </c>
      <c r="M1515" t="str">
        <f t="shared" si="71"/>
        <v>Feb-2015</v>
      </c>
    </row>
    <row r="1516" spans="1:13" x14ac:dyDescent="0.3">
      <c r="A1516" t="s">
        <v>2087</v>
      </c>
      <c r="B1516" s="1" t="s">
        <v>170</v>
      </c>
      <c r="C1516" s="1" t="s">
        <v>171</v>
      </c>
      <c r="D1516" s="1" t="s">
        <v>13</v>
      </c>
      <c r="E1516" s="5">
        <v>43004</v>
      </c>
      <c r="F1516" s="3" t="s">
        <v>72</v>
      </c>
      <c r="G1516" s="1" t="s">
        <v>172</v>
      </c>
      <c r="H1516" s="1">
        <v>500</v>
      </c>
      <c r="I1516" s="1">
        <v>500</v>
      </c>
      <c r="J1516" s="2">
        <v>0</v>
      </c>
      <c r="K1516">
        <f t="shared" si="69"/>
        <v>0</v>
      </c>
      <c r="L1516">
        <f t="shared" si="70"/>
        <v>500</v>
      </c>
      <c r="M1516" t="str">
        <f t="shared" si="71"/>
        <v>Sep-2017</v>
      </c>
    </row>
    <row r="1517" spans="1:13" x14ac:dyDescent="0.3">
      <c r="A1517" t="s">
        <v>2088</v>
      </c>
      <c r="B1517" s="1" t="s">
        <v>111</v>
      </c>
      <c r="C1517" s="1" t="s">
        <v>82</v>
      </c>
      <c r="D1517" s="1" t="s">
        <v>13</v>
      </c>
      <c r="E1517" s="5">
        <v>41686</v>
      </c>
      <c r="F1517" s="3" t="s">
        <v>36</v>
      </c>
      <c r="G1517" s="1" t="s">
        <v>1688</v>
      </c>
      <c r="H1517" s="1">
        <v>50</v>
      </c>
      <c r="I1517" s="1">
        <v>47</v>
      </c>
      <c r="J1517" s="2">
        <v>0.06</v>
      </c>
      <c r="K1517">
        <f t="shared" si="69"/>
        <v>2.82</v>
      </c>
      <c r="L1517">
        <f t="shared" si="70"/>
        <v>44.18</v>
      </c>
      <c r="M1517" t="str">
        <f t="shared" si="71"/>
        <v>Feb-2014</v>
      </c>
    </row>
    <row r="1518" spans="1:13" x14ac:dyDescent="0.3">
      <c r="A1518" t="s">
        <v>2089</v>
      </c>
      <c r="B1518" s="1" t="s">
        <v>99</v>
      </c>
      <c r="C1518" s="1" t="s">
        <v>100</v>
      </c>
      <c r="D1518" s="1" t="s">
        <v>13</v>
      </c>
      <c r="E1518" s="5">
        <v>42538</v>
      </c>
      <c r="F1518" s="3" t="s">
        <v>46</v>
      </c>
      <c r="G1518" s="1" t="s">
        <v>752</v>
      </c>
      <c r="H1518" s="1">
        <v>500</v>
      </c>
      <c r="I1518" s="1">
        <v>405</v>
      </c>
      <c r="J1518" s="2">
        <v>0.19</v>
      </c>
      <c r="K1518">
        <f t="shared" si="69"/>
        <v>76.95</v>
      </c>
      <c r="L1518">
        <f t="shared" si="70"/>
        <v>328.05</v>
      </c>
      <c r="M1518" t="str">
        <f t="shared" si="71"/>
        <v>Jun-2016</v>
      </c>
    </row>
    <row r="1519" spans="1:13" x14ac:dyDescent="0.3">
      <c r="A1519" t="s">
        <v>2090</v>
      </c>
      <c r="B1519" s="1" t="s">
        <v>150</v>
      </c>
      <c r="C1519" s="1" t="s">
        <v>151</v>
      </c>
      <c r="D1519" s="1" t="s">
        <v>13</v>
      </c>
      <c r="E1519" s="5">
        <v>41718</v>
      </c>
      <c r="F1519" s="3" t="s">
        <v>115</v>
      </c>
      <c r="G1519" s="1" t="s">
        <v>771</v>
      </c>
      <c r="H1519" s="1">
        <v>250</v>
      </c>
      <c r="I1519" s="1">
        <v>245</v>
      </c>
      <c r="J1519" s="2">
        <v>0.02</v>
      </c>
      <c r="K1519">
        <f t="shared" si="69"/>
        <v>4.9000000000000004</v>
      </c>
      <c r="L1519">
        <f t="shared" si="70"/>
        <v>240.1</v>
      </c>
      <c r="M1519" t="str">
        <f t="shared" si="71"/>
        <v>Mar-2014</v>
      </c>
    </row>
    <row r="1520" spans="1:13" x14ac:dyDescent="0.3">
      <c r="A1520" t="s">
        <v>2091</v>
      </c>
      <c r="B1520" s="1" t="s">
        <v>324</v>
      </c>
      <c r="C1520" s="1" t="s">
        <v>325</v>
      </c>
      <c r="D1520" s="1" t="s">
        <v>13</v>
      </c>
      <c r="E1520" s="5">
        <v>43265</v>
      </c>
      <c r="F1520" s="3" t="s">
        <v>14</v>
      </c>
      <c r="G1520" s="1" t="s">
        <v>1009</v>
      </c>
      <c r="H1520" s="1">
        <v>80</v>
      </c>
      <c r="I1520" s="1">
        <v>78</v>
      </c>
      <c r="J1520" s="2">
        <v>2.5000000000000001E-2</v>
      </c>
      <c r="K1520">
        <f t="shared" si="69"/>
        <v>1.9500000000000002</v>
      </c>
      <c r="L1520">
        <f t="shared" si="70"/>
        <v>76.05</v>
      </c>
      <c r="M1520" t="str">
        <f t="shared" si="71"/>
        <v>Jun-2018</v>
      </c>
    </row>
    <row r="1521" spans="1:13" x14ac:dyDescent="0.3">
      <c r="A1521" t="s">
        <v>2092</v>
      </c>
      <c r="B1521" s="1" t="s">
        <v>205</v>
      </c>
      <c r="C1521" s="1" t="s">
        <v>206</v>
      </c>
      <c r="D1521" s="1" t="s">
        <v>24</v>
      </c>
      <c r="E1521" s="5">
        <v>42358</v>
      </c>
      <c r="F1521" s="3" t="s">
        <v>46</v>
      </c>
      <c r="G1521" s="1" t="s">
        <v>660</v>
      </c>
      <c r="H1521" s="1">
        <v>500</v>
      </c>
      <c r="I1521" s="1">
        <v>345</v>
      </c>
      <c r="J1521" s="2">
        <v>0.31</v>
      </c>
      <c r="K1521">
        <f t="shared" si="69"/>
        <v>106.95</v>
      </c>
      <c r="L1521">
        <f t="shared" si="70"/>
        <v>238.05</v>
      </c>
      <c r="M1521" t="str">
        <f t="shared" si="71"/>
        <v>Dec-2015</v>
      </c>
    </row>
    <row r="1522" spans="1:13" x14ac:dyDescent="0.3">
      <c r="A1522" t="s">
        <v>2093</v>
      </c>
      <c r="B1522" s="1" t="s">
        <v>205</v>
      </c>
      <c r="C1522" s="1" t="s">
        <v>206</v>
      </c>
      <c r="D1522" s="1" t="s">
        <v>24</v>
      </c>
      <c r="E1522" s="5">
        <v>41956</v>
      </c>
      <c r="F1522" s="3" t="s">
        <v>61</v>
      </c>
      <c r="G1522" s="1" t="s">
        <v>635</v>
      </c>
      <c r="H1522" s="1">
        <v>1000</v>
      </c>
      <c r="I1522" s="1">
        <v>590</v>
      </c>
      <c r="J1522" s="2">
        <v>0.41</v>
      </c>
      <c r="K1522">
        <f t="shared" si="69"/>
        <v>241.89999999999998</v>
      </c>
      <c r="L1522">
        <f t="shared" si="70"/>
        <v>348.1</v>
      </c>
      <c r="M1522" t="str">
        <f t="shared" si="71"/>
        <v>Nov-2014</v>
      </c>
    </row>
    <row r="1523" spans="1:13" x14ac:dyDescent="0.3">
      <c r="A1523" t="s">
        <v>2094</v>
      </c>
      <c r="B1523" s="1" t="s">
        <v>146</v>
      </c>
      <c r="C1523" s="1" t="s">
        <v>147</v>
      </c>
      <c r="D1523" s="1" t="s">
        <v>13</v>
      </c>
      <c r="E1523" s="5">
        <v>41958</v>
      </c>
      <c r="F1523" s="3" t="s">
        <v>115</v>
      </c>
      <c r="G1523" s="1" t="s">
        <v>358</v>
      </c>
      <c r="H1523" s="1">
        <v>250</v>
      </c>
      <c r="I1523" s="1">
        <v>238</v>
      </c>
      <c r="J1523" s="2">
        <v>4.8000000000000001E-2</v>
      </c>
      <c r="K1523">
        <f t="shared" si="69"/>
        <v>11.423999999999999</v>
      </c>
      <c r="L1523">
        <f t="shared" si="70"/>
        <v>226.57599999999999</v>
      </c>
      <c r="M1523" t="str">
        <f t="shared" si="71"/>
        <v>Nov-2014</v>
      </c>
    </row>
    <row r="1524" spans="1:13" x14ac:dyDescent="0.3">
      <c r="A1524" t="s">
        <v>2095</v>
      </c>
      <c r="B1524" s="1" t="s">
        <v>146</v>
      </c>
      <c r="C1524" s="1" t="s">
        <v>147</v>
      </c>
      <c r="D1524" s="1" t="s">
        <v>13</v>
      </c>
      <c r="E1524" s="5">
        <v>43148</v>
      </c>
      <c r="F1524" s="3" t="s">
        <v>25</v>
      </c>
      <c r="G1524" s="1" t="s">
        <v>1334</v>
      </c>
      <c r="H1524" s="1">
        <v>700</v>
      </c>
      <c r="I1524" s="1">
        <v>672</v>
      </c>
      <c r="J1524" s="2">
        <v>0.04</v>
      </c>
      <c r="K1524">
        <f t="shared" si="69"/>
        <v>26.88</v>
      </c>
      <c r="L1524">
        <f t="shared" si="70"/>
        <v>645.12</v>
      </c>
      <c r="M1524" t="str">
        <f t="shared" si="71"/>
        <v>Feb-2018</v>
      </c>
    </row>
    <row r="1525" spans="1:13" x14ac:dyDescent="0.3">
      <c r="A1525" t="s">
        <v>2096</v>
      </c>
      <c r="B1525" s="1" t="s">
        <v>146</v>
      </c>
      <c r="C1525" s="1" t="s">
        <v>147</v>
      </c>
      <c r="D1525" s="1" t="s">
        <v>13</v>
      </c>
      <c r="E1525" s="5">
        <v>42848</v>
      </c>
      <c r="F1525" s="3" t="s">
        <v>72</v>
      </c>
      <c r="G1525" s="1" t="s">
        <v>1647</v>
      </c>
      <c r="H1525" s="1">
        <v>500</v>
      </c>
      <c r="I1525" s="1">
        <v>500</v>
      </c>
      <c r="J1525" s="2">
        <v>0</v>
      </c>
      <c r="K1525">
        <f t="shared" si="69"/>
        <v>0</v>
      </c>
      <c r="L1525">
        <f t="shared" si="70"/>
        <v>500</v>
      </c>
      <c r="M1525" t="str">
        <f t="shared" si="71"/>
        <v>Apr-2017</v>
      </c>
    </row>
    <row r="1526" spans="1:13" x14ac:dyDescent="0.3">
      <c r="A1526" t="s">
        <v>2097</v>
      </c>
      <c r="B1526" s="1" t="s">
        <v>33</v>
      </c>
      <c r="C1526" s="1" t="s">
        <v>34</v>
      </c>
      <c r="D1526" s="1" t="s">
        <v>35</v>
      </c>
      <c r="E1526" s="5">
        <v>43154</v>
      </c>
      <c r="F1526" s="3" t="s">
        <v>72</v>
      </c>
      <c r="G1526" s="1" t="s">
        <v>1143</v>
      </c>
      <c r="H1526" s="1">
        <v>500</v>
      </c>
      <c r="I1526" s="1">
        <v>495</v>
      </c>
      <c r="J1526" s="2">
        <v>0.01</v>
      </c>
      <c r="K1526">
        <f t="shared" si="69"/>
        <v>4.95</v>
      </c>
      <c r="L1526">
        <f t="shared" si="70"/>
        <v>490.05</v>
      </c>
      <c r="M1526" t="str">
        <f t="shared" si="71"/>
        <v>Feb-2018</v>
      </c>
    </row>
    <row r="1527" spans="1:13" x14ac:dyDescent="0.3">
      <c r="A1527" t="s">
        <v>2098</v>
      </c>
      <c r="B1527" s="1" t="s">
        <v>118</v>
      </c>
      <c r="C1527" s="1" t="s">
        <v>119</v>
      </c>
      <c r="D1527" s="1" t="s">
        <v>35</v>
      </c>
      <c r="E1527" s="5">
        <v>42295</v>
      </c>
      <c r="F1527" s="3" t="s">
        <v>41</v>
      </c>
      <c r="G1527" s="1" t="s">
        <v>120</v>
      </c>
      <c r="H1527" s="1">
        <v>30</v>
      </c>
      <c r="I1527" s="1">
        <v>29</v>
      </c>
      <c r="J1527" s="2">
        <v>3.3300000000000003E-2</v>
      </c>
      <c r="K1527">
        <f t="shared" si="69"/>
        <v>0.96570000000000011</v>
      </c>
      <c r="L1527">
        <f t="shared" si="70"/>
        <v>28.034299999999998</v>
      </c>
      <c r="M1527" t="str">
        <f t="shared" si="71"/>
        <v>Oct-2015</v>
      </c>
    </row>
    <row r="1528" spans="1:13" x14ac:dyDescent="0.3">
      <c r="A1528" t="s">
        <v>2099</v>
      </c>
      <c r="B1528" s="1" t="s">
        <v>33</v>
      </c>
      <c r="C1528" s="1" t="s">
        <v>34</v>
      </c>
      <c r="D1528" s="1" t="s">
        <v>35</v>
      </c>
      <c r="E1528" s="5">
        <v>42425</v>
      </c>
      <c r="F1528" s="3" t="s">
        <v>14</v>
      </c>
      <c r="G1528" s="1" t="s">
        <v>197</v>
      </c>
      <c r="H1528" s="1">
        <v>80</v>
      </c>
      <c r="I1528" s="1">
        <v>55</v>
      </c>
      <c r="J1528" s="2">
        <v>0.3125</v>
      </c>
      <c r="K1528">
        <f t="shared" si="69"/>
        <v>17.1875</v>
      </c>
      <c r="L1528">
        <f t="shared" si="70"/>
        <v>37.8125</v>
      </c>
      <c r="M1528" t="str">
        <f t="shared" si="71"/>
        <v>Feb-2016</v>
      </c>
    </row>
    <row r="1529" spans="1:13" x14ac:dyDescent="0.3">
      <c r="A1529" t="s">
        <v>2100</v>
      </c>
      <c r="B1529" s="1" t="s">
        <v>70</v>
      </c>
      <c r="C1529" s="1" t="s">
        <v>71</v>
      </c>
      <c r="D1529" s="1" t="s">
        <v>35</v>
      </c>
      <c r="E1529" s="5">
        <v>41749</v>
      </c>
      <c r="F1529" s="3" t="s">
        <v>55</v>
      </c>
      <c r="G1529" s="1" t="s">
        <v>142</v>
      </c>
      <c r="H1529" s="1">
        <v>800</v>
      </c>
      <c r="I1529" s="1">
        <v>608</v>
      </c>
      <c r="J1529" s="2">
        <v>0.24</v>
      </c>
      <c r="K1529">
        <f t="shared" si="69"/>
        <v>145.91999999999999</v>
      </c>
      <c r="L1529">
        <f t="shared" si="70"/>
        <v>462.08000000000004</v>
      </c>
      <c r="M1529" t="str">
        <f t="shared" si="71"/>
        <v>Apr-2014</v>
      </c>
    </row>
    <row r="1530" spans="1:13" x14ac:dyDescent="0.3">
      <c r="A1530" t="s">
        <v>2101</v>
      </c>
      <c r="B1530" s="1" t="s">
        <v>131</v>
      </c>
      <c r="C1530" s="1" t="s">
        <v>108</v>
      </c>
      <c r="D1530" s="1" t="s">
        <v>19</v>
      </c>
      <c r="E1530" s="5">
        <v>41992</v>
      </c>
      <c r="F1530" s="3" t="s">
        <v>41</v>
      </c>
      <c r="G1530" s="1" t="s">
        <v>268</v>
      </c>
      <c r="H1530" s="1">
        <v>30</v>
      </c>
      <c r="I1530" s="1">
        <v>22</v>
      </c>
      <c r="J1530" s="2">
        <v>0.26669999999999999</v>
      </c>
      <c r="K1530">
        <f t="shared" si="69"/>
        <v>5.8673999999999999</v>
      </c>
      <c r="L1530">
        <f t="shared" si="70"/>
        <v>16.1326</v>
      </c>
      <c r="M1530" t="str">
        <f t="shared" si="71"/>
        <v>Dec-2014</v>
      </c>
    </row>
    <row r="1531" spans="1:13" x14ac:dyDescent="0.3">
      <c r="A1531" t="s">
        <v>2102</v>
      </c>
      <c r="B1531" s="1" t="s">
        <v>39</v>
      </c>
      <c r="C1531" s="1" t="s">
        <v>40</v>
      </c>
      <c r="D1531" s="1" t="s">
        <v>35</v>
      </c>
      <c r="E1531" s="5">
        <v>41713</v>
      </c>
      <c r="F1531" s="3" t="s">
        <v>14</v>
      </c>
      <c r="G1531" s="1" t="s">
        <v>1526</v>
      </c>
      <c r="H1531" s="1">
        <v>80</v>
      </c>
      <c r="I1531" s="1">
        <v>69</v>
      </c>
      <c r="J1531" s="2">
        <v>0.13750000000000001</v>
      </c>
      <c r="K1531">
        <f t="shared" si="69"/>
        <v>9.4875000000000007</v>
      </c>
      <c r="L1531">
        <f t="shared" si="70"/>
        <v>59.512500000000003</v>
      </c>
      <c r="M1531" t="str">
        <f t="shared" si="71"/>
        <v>Mar-2014</v>
      </c>
    </row>
    <row r="1532" spans="1:13" x14ac:dyDescent="0.3">
      <c r="A1532" t="s">
        <v>2103</v>
      </c>
      <c r="B1532" s="1" t="s">
        <v>103</v>
      </c>
      <c r="C1532" s="1" t="s">
        <v>71</v>
      </c>
      <c r="D1532" s="1" t="s">
        <v>35</v>
      </c>
      <c r="E1532" s="5">
        <v>42242</v>
      </c>
      <c r="F1532" s="3" t="s">
        <v>25</v>
      </c>
      <c r="G1532" s="1" t="s">
        <v>497</v>
      </c>
      <c r="H1532" s="1">
        <v>700</v>
      </c>
      <c r="I1532" s="1">
        <v>665</v>
      </c>
      <c r="J1532" s="2">
        <v>0.05</v>
      </c>
      <c r="K1532">
        <f t="shared" si="69"/>
        <v>33.25</v>
      </c>
      <c r="L1532">
        <f t="shared" si="70"/>
        <v>631.75</v>
      </c>
      <c r="M1532" t="str">
        <f t="shared" si="71"/>
        <v>Aug-2015</v>
      </c>
    </row>
    <row r="1533" spans="1:13" x14ac:dyDescent="0.3">
      <c r="A1533" t="s">
        <v>2104</v>
      </c>
      <c r="B1533" s="1" t="s">
        <v>28</v>
      </c>
      <c r="C1533" s="1" t="s">
        <v>29</v>
      </c>
      <c r="D1533" s="1" t="s">
        <v>13</v>
      </c>
      <c r="E1533" s="5">
        <v>42818</v>
      </c>
      <c r="F1533" s="3" t="s">
        <v>41</v>
      </c>
      <c r="G1533" s="1" t="s">
        <v>1108</v>
      </c>
      <c r="H1533" s="1">
        <v>30</v>
      </c>
      <c r="I1533" s="1">
        <v>28</v>
      </c>
      <c r="J1533" s="2">
        <v>6.6699999999999995E-2</v>
      </c>
      <c r="K1533">
        <f t="shared" si="69"/>
        <v>1.8675999999999999</v>
      </c>
      <c r="L1533">
        <f t="shared" si="70"/>
        <v>26.132400000000001</v>
      </c>
      <c r="M1533" t="str">
        <f t="shared" si="71"/>
        <v>Mar-2017</v>
      </c>
    </row>
    <row r="1534" spans="1:13" x14ac:dyDescent="0.3">
      <c r="A1534" t="s">
        <v>2105</v>
      </c>
      <c r="B1534" s="1" t="s">
        <v>107</v>
      </c>
      <c r="C1534" s="1" t="s">
        <v>108</v>
      </c>
      <c r="D1534" s="1" t="s">
        <v>19</v>
      </c>
      <c r="E1534" s="5">
        <v>41805</v>
      </c>
      <c r="F1534" s="3" t="s">
        <v>55</v>
      </c>
      <c r="G1534" s="1" t="s">
        <v>817</v>
      </c>
      <c r="H1534" s="1">
        <v>800</v>
      </c>
      <c r="I1534" s="1">
        <v>464</v>
      </c>
      <c r="J1534" s="2">
        <v>0.42</v>
      </c>
      <c r="K1534">
        <f t="shared" si="69"/>
        <v>194.88</v>
      </c>
      <c r="L1534">
        <f t="shared" si="70"/>
        <v>269.12</v>
      </c>
      <c r="M1534" t="str">
        <f t="shared" si="71"/>
        <v>Jun-2014</v>
      </c>
    </row>
    <row r="1535" spans="1:13" x14ac:dyDescent="0.3">
      <c r="A1535" t="s">
        <v>2106</v>
      </c>
      <c r="B1535" s="1" t="s">
        <v>107</v>
      </c>
      <c r="C1535" s="1" t="s">
        <v>108</v>
      </c>
      <c r="D1535" s="1" t="s">
        <v>19</v>
      </c>
      <c r="E1535" s="5">
        <v>41963</v>
      </c>
      <c r="F1535" s="3" t="s">
        <v>55</v>
      </c>
      <c r="G1535" s="1" t="s">
        <v>354</v>
      </c>
      <c r="H1535" s="1">
        <v>800</v>
      </c>
      <c r="I1535" s="1">
        <v>584</v>
      </c>
      <c r="J1535" s="2">
        <v>0.27</v>
      </c>
      <c r="K1535">
        <f t="shared" si="69"/>
        <v>157.68</v>
      </c>
      <c r="L1535">
        <f t="shared" si="70"/>
        <v>426.32</v>
      </c>
      <c r="M1535" t="str">
        <f t="shared" si="71"/>
        <v>Nov-2014</v>
      </c>
    </row>
    <row r="1536" spans="1:13" x14ac:dyDescent="0.3">
      <c r="A1536" t="s">
        <v>2107</v>
      </c>
      <c r="B1536" s="1" t="s">
        <v>150</v>
      </c>
      <c r="C1536" s="1" t="s">
        <v>151</v>
      </c>
      <c r="D1536" s="1" t="s">
        <v>13</v>
      </c>
      <c r="E1536" s="5">
        <v>42022</v>
      </c>
      <c r="F1536" s="3" t="s">
        <v>25</v>
      </c>
      <c r="G1536" s="1" t="s">
        <v>2108</v>
      </c>
      <c r="H1536" s="1">
        <v>700</v>
      </c>
      <c r="I1536" s="1">
        <v>686</v>
      </c>
      <c r="J1536" s="2">
        <v>0.02</v>
      </c>
      <c r="K1536">
        <f t="shared" si="69"/>
        <v>13.72</v>
      </c>
      <c r="L1536">
        <f t="shared" si="70"/>
        <v>672.28</v>
      </c>
      <c r="M1536" t="str">
        <f t="shared" si="71"/>
        <v>Jan-2015</v>
      </c>
    </row>
    <row r="1537" spans="1:13" x14ac:dyDescent="0.3">
      <c r="A1537" t="s">
        <v>2109</v>
      </c>
      <c r="B1537" s="1" t="s">
        <v>33</v>
      </c>
      <c r="C1537" s="1" t="s">
        <v>34</v>
      </c>
      <c r="D1537" s="1" t="s">
        <v>35</v>
      </c>
      <c r="E1537" s="5">
        <v>42269</v>
      </c>
      <c r="F1537" s="3" t="s">
        <v>115</v>
      </c>
      <c r="G1537" s="1" t="s">
        <v>1143</v>
      </c>
      <c r="H1537" s="1">
        <v>250</v>
      </c>
      <c r="I1537" s="1">
        <v>213</v>
      </c>
      <c r="J1537" s="2">
        <v>0.14799999999999999</v>
      </c>
      <c r="K1537">
        <f t="shared" si="69"/>
        <v>31.523999999999997</v>
      </c>
      <c r="L1537">
        <f t="shared" si="70"/>
        <v>181.476</v>
      </c>
      <c r="M1537" t="str">
        <f t="shared" si="71"/>
        <v>Sep-2015</v>
      </c>
    </row>
    <row r="1538" spans="1:13" x14ac:dyDescent="0.3">
      <c r="A1538" t="s">
        <v>2110</v>
      </c>
      <c r="B1538" s="1" t="s">
        <v>131</v>
      </c>
      <c r="C1538" s="1" t="s">
        <v>108</v>
      </c>
      <c r="D1538" s="1" t="s">
        <v>19</v>
      </c>
      <c r="E1538" s="5">
        <v>42698</v>
      </c>
      <c r="F1538" s="3" t="s">
        <v>46</v>
      </c>
      <c r="G1538" s="1" t="s">
        <v>212</v>
      </c>
      <c r="H1538" s="1">
        <v>500</v>
      </c>
      <c r="I1538" s="1">
        <v>470</v>
      </c>
      <c r="J1538" s="2">
        <v>0.06</v>
      </c>
      <c r="K1538">
        <f t="shared" si="69"/>
        <v>28.2</v>
      </c>
      <c r="L1538">
        <f t="shared" si="70"/>
        <v>441.8</v>
      </c>
      <c r="M1538" t="str">
        <f t="shared" si="71"/>
        <v>Nov-2016</v>
      </c>
    </row>
    <row r="1539" spans="1:13" x14ac:dyDescent="0.3">
      <c r="A1539" t="s">
        <v>2111</v>
      </c>
      <c r="B1539" s="1" t="s">
        <v>99</v>
      </c>
      <c r="C1539" s="1" t="s">
        <v>100</v>
      </c>
      <c r="D1539" s="1" t="s">
        <v>13</v>
      </c>
      <c r="E1539" s="5">
        <v>41911</v>
      </c>
      <c r="F1539" s="3" t="s">
        <v>55</v>
      </c>
      <c r="G1539" s="1" t="s">
        <v>911</v>
      </c>
      <c r="H1539" s="1">
        <v>800</v>
      </c>
      <c r="I1539" s="1">
        <v>664</v>
      </c>
      <c r="J1539" s="2">
        <v>0.17</v>
      </c>
      <c r="K1539">
        <f t="shared" si="69"/>
        <v>112.88000000000001</v>
      </c>
      <c r="L1539">
        <f t="shared" si="70"/>
        <v>551.12</v>
      </c>
      <c r="M1539" t="str">
        <f t="shared" si="71"/>
        <v>Sep-2014</v>
      </c>
    </row>
    <row r="1540" spans="1:13" x14ac:dyDescent="0.3">
      <c r="A1540" t="s">
        <v>2112</v>
      </c>
      <c r="B1540" s="1" t="s">
        <v>270</v>
      </c>
      <c r="C1540" s="1" t="s">
        <v>271</v>
      </c>
      <c r="D1540" s="1" t="s">
        <v>35</v>
      </c>
      <c r="E1540" s="5">
        <v>42853</v>
      </c>
      <c r="F1540" s="3" t="s">
        <v>72</v>
      </c>
      <c r="G1540" s="1" t="s">
        <v>713</v>
      </c>
      <c r="H1540" s="1">
        <v>500</v>
      </c>
      <c r="I1540" s="1">
        <v>495</v>
      </c>
      <c r="J1540" s="2">
        <v>0.01</v>
      </c>
      <c r="K1540">
        <f t="shared" ref="K1540:K1603" si="72">I1540*J1540</f>
        <v>4.95</v>
      </c>
      <c r="L1540">
        <f t="shared" ref="L1540:L1603" si="73">I1540-K1540</f>
        <v>490.05</v>
      </c>
      <c r="M1540" t="str">
        <f t="shared" ref="M1540:M1603" si="74">TEXT(E1540, "mmm-yyyy")</f>
        <v>Apr-2017</v>
      </c>
    </row>
    <row r="1541" spans="1:13" x14ac:dyDescent="0.3">
      <c r="A1541" t="s">
        <v>2113</v>
      </c>
      <c r="B1541" s="1" t="s">
        <v>39</v>
      </c>
      <c r="C1541" s="1" t="s">
        <v>40</v>
      </c>
      <c r="D1541" s="1" t="s">
        <v>35</v>
      </c>
      <c r="E1541" s="5">
        <v>41819</v>
      </c>
      <c r="F1541" s="3" t="s">
        <v>14</v>
      </c>
      <c r="G1541" s="1" t="s">
        <v>1881</v>
      </c>
      <c r="H1541" s="1">
        <v>80</v>
      </c>
      <c r="I1541" s="1">
        <v>72</v>
      </c>
      <c r="J1541" s="2">
        <v>0.1</v>
      </c>
      <c r="K1541">
        <f t="shared" si="72"/>
        <v>7.2</v>
      </c>
      <c r="L1541">
        <f t="shared" si="73"/>
        <v>64.8</v>
      </c>
      <c r="M1541" t="str">
        <f t="shared" si="74"/>
        <v>Jun-2014</v>
      </c>
    </row>
    <row r="1542" spans="1:13" x14ac:dyDescent="0.3">
      <c r="A1542" t="s">
        <v>2114</v>
      </c>
      <c r="B1542" s="1" t="s">
        <v>134</v>
      </c>
      <c r="C1542" s="1" t="s">
        <v>92</v>
      </c>
      <c r="D1542" s="1" t="s">
        <v>35</v>
      </c>
      <c r="E1542" s="5">
        <v>43279</v>
      </c>
      <c r="F1542" s="3" t="s">
        <v>104</v>
      </c>
      <c r="G1542" s="1" t="s">
        <v>1062</v>
      </c>
      <c r="H1542" s="1">
        <v>70</v>
      </c>
      <c r="I1542" s="1">
        <v>65</v>
      </c>
      <c r="J1542" s="2">
        <v>7.1400000000000005E-2</v>
      </c>
      <c r="K1542">
        <f t="shared" si="72"/>
        <v>4.641</v>
      </c>
      <c r="L1542">
        <f t="shared" si="73"/>
        <v>60.359000000000002</v>
      </c>
      <c r="M1542" t="str">
        <f t="shared" si="74"/>
        <v>Jun-2018</v>
      </c>
    </row>
    <row r="1543" spans="1:13" x14ac:dyDescent="0.3">
      <c r="A1543" t="s">
        <v>2115</v>
      </c>
      <c r="B1543" s="1" t="s">
        <v>77</v>
      </c>
      <c r="C1543" s="1" t="s">
        <v>78</v>
      </c>
      <c r="D1543" s="1" t="s">
        <v>35</v>
      </c>
      <c r="E1543" s="5">
        <v>43245</v>
      </c>
      <c r="F1543" s="3" t="s">
        <v>115</v>
      </c>
      <c r="G1543" s="1" t="s">
        <v>1789</v>
      </c>
      <c r="H1543" s="1">
        <v>250</v>
      </c>
      <c r="I1543" s="1">
        <v>163</v>
      </c>
      <c r="J1543" s="2">
        <v>0.34799999999999998</v>
      </c>
      <c r="K1543">
        <f t="shared" si="72"/>
        <v>56.723999999999997</v>
      </c>
      <c r="L1543">
        <f t="shared" si="73"/>
        <v>106.27600000000001</v>
      </c>
      <c r="M1543" t="str">
        <f t="shared" si="74"/>
        <v>May-2018</v>
      </c>
    </row>
    <row r="1544" spans="1:13" x14ac:dyDescent="0.3">
      <c r="A1544" t="s">
        <v>2116</v>
      </c>
      <c r="B1544" s="1" t="s">
        <v>99</v>
      </c>
      <c r="C1544" s="1" t="s">
        <v>100</v>
      </c>
      <c r="D1544" s="1" t="s">
        <v>13</v>
      </c>
      <c r="E1544" s="5">
        <v>42633</v>
      </c>
      <c r="F1544" s="3" t="s">
        <v>72</v>
      </c>
      <c r="G1544" s="1" t="s">
        <v>1825</v>
      </c>
      <c r="H1544" s="1">
        <v>500</v>
      </c>
      <c r="I1544" s="1">
        <v>500</v>
      </c>
      <c r="J1544" s="2">
        <v>0</v>
      </c>
      <c r="K1544">
        <f t="shared" si="72"/>
        <v>0</v>
      </c>
      <c r="L1544">
        <f t="shared" si="73"/>
        <v>500</v>
      </c>
      <c r="M1544" t="str">
        <f t="shared" si="74"/>
        <v>Sep-2016</v>
      </c>
    </row>
    <row r="1545" spans="1:13" x14ac:dyDescent="0.3">
      <c r="A1545" t="s">
        <v>2117</v>
      </c>
      <c r="B1545" s="1" t="s">
        <v>124</v>
      </c>
      <c r="C1545" s="1" t="s">
        <v>40</v>
      </c>
      <c r="D1545" s="1" t="s">
        <v>35</v>
      </c>
      <c r="E1545" s="5">
        <v>43422</v>
      </c>
      <c r="F1545" s="3" t="s">
        <v>25</v>
      </c>
      <c r="G1545" s="1" t="s">
        <v>863</v>
      </c>
      <c r="H1545" s="1">
        <v>700</v>
      </c>
      <c r="I1545" s="1">
        <v>448</v>
      </c>
      <c r="J1545" s="2">
        <v>0.36</v>
      </c>
      <c r="K1545">
        <f t="shared" si="72"/>
        <v>161.28</v>
      </c>
      <c r="L1545">
        <f t="shared" si="73"/>
        <v>286.72000000000003</v>
      </c>
      <c r="M1545" t="str">
        <f t="shared" si="74"/>
        <v>Nov-2018</v>
      </c>
    </row>
    <row r="1546" spans="1:13" x14ac:dyDescent="0.3">
      <c r="A1546" t="s">
        <v>2118</v>
      </c>
      <c r="B1546" s="1" t="s">
        <v>81</v>
      </c>
      <c r="C1546" s="1" t="s">
        <v>82</v>
      </c>
      <c r="D1546" s="1" t="s">
        <v>13</v>
      </c>
      <c r="E1546" s="5">
        <v>42786</v>
      </c>
      <c r="F1546" s="3" t="s">
        <v>55</v>
      </c>
      <c r="G1546" s="1" t="s">
        <v>1232</v>
      </c>
      <c r="H1546" s="1">
        <v>800</v>
      </c>
      <c r="I1546" s="1">
        <v>496</v>
      </c>
      <c r="J1546" s="2">
        <v>0.38</v>
      </c>
      <c r="K1546">
        <f t="shared" si="72"/>
        <v>188.48</v>
      </c>
      <c r="L1546">
        <f t="shared" si="73"/>
        <v>307.52</v>
      </c>
      <c r="M1546" t="str">
        <f t="shared" si="74"/>
        <v>Feb-2017</v>
      </c>
    </row>
    <row r="1547" spans="1:13" x14ac:dyDescent="0.3">
      <c r="A1547" t="s">
        <v>2119</v>
      </c>
      <c r="B1547" s="1" t="s">
        <v>111</v>
      </c>
      <c r="C1547" s="1" t="s">
        <v>82</v>
      </c>
      <c r="D1547" s="1" t="s">
        <v>13</v>
      </c>
      <c r="E1547" s="5">
        <v>42852</v>
      </c>
      <c r="F1547" s="3" t="s">
        <v>41</v>
      </c>
      <c r="G1547" s="1" t="s">
        <v>1424</v>
      </c>
      <c r="H1547" s="1">
        <v>30</v>
      </c>
      <c r="I1547" s="1">
        <v>30</v>
      </c>
      <c r="J1547" s="2">
        <v>0</v>
      </c>
      <c r="K1547">
        <f t="shared" si="72"/>
        <v>0</v>
      </c>
      <c r="L1547">
        <f t="shared" si="73"/>
        <v>30</v>
      </c>
      <c r="M1547" t="str">
        <f t="shared" si="74"/>
        <v>Apr-2017</v>
      </c>
    </row>
    <row r="1548" spans="1:13" x14ac:dyDescent="0.3">
      <c r="A1548" t="s">
        <v>2120</v>
      </c>
      <c r="B1548" s="1" t="s">
        <v>289</v>
      </c>
      <c r="C1548" s="1" t="s">
        <v>108</v>
      </c>
      <c r="D1548" s="1" t="s">
        <v>19</v>
      </c>
      <c r="E1548" s="5">
        <v>41836</v>
      </c>
      <c r="F1548" s="3" t="s">
        <v>115</v>
      </c>
      <c r="G1548" s="1" t="s">
        <v>903</v>
      </c>
      <c r="H1548" s="1">
        <v>250</v>
      </c>
      <c r="I1548" s="1">
        <v>245</v>
      </c>
      <c r="J1548" s="2">
        <v>0.02</v>
      </c>
      <c r="K1548">
        <f t="shared" si="72"/>
        <v>4.9000000000000004</v>
      </c>
      <c r="L1548">
        <f t="shared" si="73"/>
        <v>240.1</v>
      </c>
      <c r="M1548" t="str">
        <f t="shared" si="74"/>
        <v>Jul-2014</v>
      </c>
    </row>
    <row r="1549" spans="1:13" x14ac:dyDescent="0.3">
      <c r="A1549" t="s">
        <v>2121</v>
      </c>
      <c r="B1549" s="1" t="s">
        <v>17</v>
      </c>
      <c r="C1549" s="1" t="s">
        <v>18</v>
      </c>
      <c r="D1549" s="1" t="s">
        <v>19</v>
      </c>
      <c r="E1549" s="5">
        <v>42325</v>
      </c>
      <c r="F1549" s="3" t="s">
        <v>55</v>
      </c>
      <c r="G1549" s="1" t="s">
        <v>776</v>
      </c>
      <c r="H1549" s="1">
        <v>800</v>
      </c>
      <c r="I1549" s="1">
        <v>576</v>
      </c>
      <c r="J1549" s="2">
        <v>0.28000000000000003</v>
      </c>
      <c r="K1549">
        <f t="shared" si="72"/>
        <v>161.28000000000003</v>
      </c>
      <c r="L1549">
        <f t="shared" si="73"/>
        <v>414.71999999999997</v>
      </c>
      <c r="M1549" t="str">
        <f t="shared" si="74"/>
        <v>Nov-2015</v>
      </c>
    </row>
    <row r="1550" spans="1:13" x14ac:dyDescent="0.3">
      <c r="A1550" t="s">
        <v>2122</v>
      </c>
      <c r="B1550" s="1" t="s">
        <v>434</v>
      </c>
      <c r="C1550" s="1" t="s">
        <v>435</v>
      </c>
      <c r="D1550" s="1" t="s">
        <v>24</v>
      </c>
      <c r="E1550" s="5">
        <v>42085</v>
      </c>
      <c r="F1550" s="3" t="s">
        <v>122</v>
      </c>
      <c r="G1550" s="1" t="s">
        <v>828</v>
      </c>
      <c r="H1550" s="1">
        <v>50</v>
      </c>
      <c r="I1550" s="1">
        <v>47</v>
      </c>
      <c r="J1550" s="2">
        <v>0.06</v>
      </c>
      <c r="K1550">
        <f t="shared" si="72"/>
        <v>2.82</v>
      </c>
      <c r="L1550">
        <f t="shared" si="73"/>
        <v>44.18</v>
      </c>
      <c r="M1550" t="str">
        <f t="shared" si="74"/>
        <v>Mar-2015</v>
      </c>
    </row>
    <row r="1551" spans="1:13" x14ac:dyDescent="0.3">
      <c r="A1551" t="s">
        <v>2123</v>
      </c>
      <c r="B1551" s="1" t="s">
        <v>434</v>
      </c>
      <c r="C1551" s="1" t="s">
        <v>435</v>
      </c>
      <c r="D1551" s="1" t="s">
        <v>24</v>
      </c>
      <c r="E1551" s="5">
        <v>42123</v>
      </c>
      <c r="F1551" s="3" t="s">
        <v>104</v>
      </c>
      <c r="G1551" s="1" t="s">
        <v>550</v>
      </c>
      <c r="H1551" s="1">
        <v>70</v>
      </c>
      <c r="I1551" s="1">
        <v>66</v>
      </c>
      <c r="J1551" s="2">
        <v>5.7099999999999998E-2</v>
      </c>
      <c r="K1551">
        <f t="shared" si="72"/>
        <v>3.7685999999999997</v>
      </c>
      <c r="L1551">
        <f t="shared" si="73"/>
        <v>62.231400000000001</v>
      </c>
      <c r="M1551" t="str">
        <f t="shared" si="74"/>
        <v>Apr-2015</v>
      </c>
    </row>
    <row r="1552" spans="1:13" x14ac:dyDescent="0.3">
      <c r="A1552" t="s">
        <v>2124</v>
      </c>
      <c r="B1552" s="1" t="s">
        <v>53</v>
      </c>
      <c r="C1552" s="1" t="s">
        <v>54</v>
      </c>
      <c r="D1552" s="1" t="s">
        <v>13</v>
      </c>
      <c r="E1552" s="5">
        <v>41864</v>
      </c>
      <c r="F1552" s="3" t="s">
        <v>46</v>
      </c>
      <c r="G1552" s="1" t="s">
        <v>822</v>
      </c>
      <c r="H1552" s="1">
        <v>500</v>
      </c>
      <c r="I1552" s="1">
        <v>485</v>
      </c>
      <c r="J1552" s="2">
        <v>0.03</v>
      </c>
      <c r="K1552">
        <f t="shared" si="72"/>
        <v>14.549999999999999</v>
      </c>
      <c r="L1552">
        <f t="shared" si="73"/>
        <v>470.45</v>
      </c>
      <c r="M1552" t="str">
        <f t="shared" si="74"/>
        <v>Aug-2014</v>
      </c>
    </row>
    <row r="1553" spans="1:13" x14ac:dyDescent="0.3">
      <c r="A1553" t="s">
        <v>2125</v>
      </c>
      <c r="B1553" s="1" t="s">
        <v>118</v>
      </c>
      <c r="C1553" s="1" t="s">
        <v>119</v>
      </c>
      <c r="D1553" s="1" t="s">
        <v>35</v>
      </c>
      <c r="E1553" s="5">
        <v>41927</v>
      </c>
      <c r="F1553" s="3" t="s">
        <v>46</v>
      </c>
      <c r="G1553" s="1" t="s">
        <v>540</v>
      </c>
      <c r="H1553" s="1">
        <v>500</v>
      </c>
      <c r="I1553" s="1">
        <v>495</v>
      </c>
      <c r="J1553" s="2">
        <v>0.01</v>
      </c>
      <c r="K1553">
        <f t="shared" si="72"/>
        <v>4.95</v>
      </c>
      <c r="L1553">
        <f t="shared" si="73"/>
        <v>490.05</v>
      </c>
      <c r="M1553" t="str">
        <f t="shared" si="74"/>
        <v>Oct-2014</v>
      </c>
    </row>
    <row r="1554" spans="1:13" x14ac:dyDescent="0.3">
      <c r="A1554" t="s">
        <v>2126</v>
      </c>
      <c r="B1554" s="1" t="s">
        <v>400</v>
      </c>
      <c r="C1554" s="1" t="s">
        <v>401</v>
      </c>
      <c r="D1554" s="1" t="s">
        <v>13</v>
      </c>
      <c r="E1554" s="5">
        <v>43304</v>
      </c>
      <c r="F1554" s="3" t="s">
        <v>122</v>
      </c>
      <c r="G1554" s="1" t="s">
        <v>618</v>
      </c>
      <c r="H1554" s="1">
        <v>50</v>
      </c>
      <c r="I1554" s="1">
        <v>49</v>
      </c>
      <c r="J1554" s="2">
        <v>0.02</v>
      </c>
      <c r="K1554">
        <f t="shared" si="72"/>
        <v>0.98</v>
      </c>
      <c r="L1554">
        <f t="shared" si="73"/>
        <v>48.02</v>
      </c>
      <c r="M1554" t="str">
        <f t="shared" si="74"/>
        <v>Jul-2018</v>
      </c>
    </row>
    <row r="1555" spans="1:13" x14ac:dyDescent="0.3">
      <c r="A1555" t="s">
        <v>2127</v>
      </c>
      <c r="B1555" s="1" t="s">
        <v>81</v>
      </c>
      <c r="C1555" s="1" t="s">
        <v>82</v>
      </c>
      <c r="D1555" s="1" t="s">
        <v>13</v>
      </c>
      <c r="E1555" s="5">
        <v>41866</v>
      </c>
      <c r="F1555" s="3" t="s">
        <v>115</v>
      </c>
      <c r="G1555" s="1" t="s">
        <v>195</v>
      </c>
      <c r="H1555" s="1">
        <v>250</v>
      </c>
      <c r="I1555" s="1">
        <v>223</v>
      </c>
      <c r="J1555" s="2">
        <v>0.108</v>
      </c>
      <c r="K1555">
        <f t="shared" si="72"/>
        <v>24.084</v>
      </c>
      <c r="L1555">
        <f t="shared" si="73"/>
        <v>198.916</v>
      </c>
      <c r="M1555" t="str">
        <f t="shared" si="74"/>
        <v>Aug-2014</v>
      </c>
    </row>
    <row r="1556" spans="1:13" x14ac:dyDescent="0.3">
      <c r="A1556" t="s">
        <v>2128</v>
      </c>
      <c r="B1556" s="1" t="s">
        <v>49</v>
      </c>
      <c r="C1556" s="1" t="s">
        <v>50</v>
      </c>
      <c r="D1556" s="1" t="s">
        <v>24</v>
      </c>
      <c r="E1556" s="5">
        <v>42965</v>
      </c>
      <c r="F1556" s="3" t="s">
        <v>36</v>
      </c>
      <c r="G1556" s="1" t="s">
        <v>51</v>
      </c>
      <c r="H1556" s="1">
        <v>50</v>
      </c>
      <c r="I1556" s="1">
        <v>43</v>
      </c>
      <c r="J1556" s="2">
        <v>0.14000000000000001</v>
      </c>
      <c r="K1556">
        <f t="shared" si="72"/>
        <v>6.0200000000000005</v>
      </c>
      <c r="L1556">
        <f t="shared" si="73"/>
        <v>36.979999999999997</v>
      </c>
      <c r="M1556" t="str">
        <f t="shared" si="74"/>
        <v>Aug-2017</v>
      </c>
    </row>
    <row r="1557" spans="1:13" x14ac:dyDescent="0.3">
      <c r="A1557" t="s">
        <v>2129</v>
      </c>
      <c r="B1557" s="1" t="s">
        <v>205</v>
      </c>
      <c r="C1557" s="1" t="s">
        <v>206</v>
      </c>
      <c r="D1557" s="1" t="s">
        <v>24</v>
      </c>
      <c r="E1557" s="5">
        <v>41871</v>
      </c>
      <c r="F1557" s="3" t="s">
        <v>41</v>
      </c>
      <c r="G1557" s="1" t="s">
        <v>1872</v>
      </c>
      <c r="H1557" s="1">
        <v>30</v>
      </c>
      <c r="I1557" s="1">
        <v>30</v>
      </c>
      <c r="J1557" s="2">
        <v>0</v>
      </c>
      <c r="K1557">
        <f t="shared" si="72"/>
        <v>0</v>
      </c>
      <c r="L1557">
        <f t="shared" si="73"/>
        <v>30</v>
      </c>
      <c r="M1557" t="str">
        <f t="shared" si="74"/>
        <v>Aug-2014</v>
      </c>
    </row>
    <row r="1558" spans="1:13" x14ac:dyDescent="0.3">
      <c r="A1558" t="s">
        <v>2130</v>
      </c>
      <c r="B1558" s="1" t="s">
        <v>44</v>
      </c>
      <c r="C1558" s="1" t="s">
        <v>45</v>
      </c>
      <c r="D1558" s="1" t="s">
        <v>24</v>
      </c>
      <c r="E1558" s="5">
        <v>42027</v>
      </c>
      <c r="F1558" s="3" t="s">
        <v>25</v>
      </c>
      <c r="G1558" s="1" t="s">
        <v>1035</v>
      </c>
      <c r="H1558" s="1">
        <v>700</v>
      </c>
      <c r="I1558" s="1">
        <v>686</v>
      </c>
      <c r="J1558" s="2">
        <v>0.02</v>
      </c>
      <c r="K1558">
        <f t="shared" si="72"/>
        <v>13.72</v>
      </c>
      <c r="L1558">
        <f t="shared" si="73"/>
        <v>672.28</v>
      </c>
      <c r="M1558" t="str">
        <f t="shared" si="74"/>
        <v>Jan-2015</v>
      </c>
    </row>
    <row r="1559" spans="1:13" x14ac:dyDescent="0.3">
      <c r="A1559" t="s">
        <v>2131</v>
      </c>
      <c r="B1559" s="1" t="s">
        <v>255</v>
      </c>
      <c r="C1559" s="1" t="s">
        <v>256</v>
      </c>
      <c r="D1559" s="1" t="s">
        <v>13</v>
      </c>
      <c r="E1559" s="5">
        <v>42330</v>
      </c>
      <c r="F1559" s="3" t="s">
        <v>41</v>
      </c>
      <c r="G1559" s="1" t="s">
        <v>1097</v>
      </c>
      <c r="H1559" s="1">
        <v>30</v>
      </c>
      <c r="I1559" s="1">
        <v>24</v>
      </c>
      <c r="J1559" s="2">
        <v>0.2</v>
      </c>
      <c r="K1559">
        <f t="shared" si="72"/>
        <v>4.8000000000000007</v>
      </c>
      <c r="L1559">
        <f t="shared" si="73"/>
        <v>19.2</v>
      </c>
      <c r="M1559" t="str">
        <f t="shared" si="74"/>
        <v>Nov-2015</v>
      </c>
    </row>
    <row r="1560" spans="1:13" x14ac:dyDescent="0.3">
      <c r="A1560" t="s">
        <v>2132</v>
      </c>
      <c r="B1560" s="1" t="s">
        <v>17</v>
      </c>
      <c r="C1560" s="1" t="s">
        <v>18</v>
      </c>
      <c r="D1560" s="1" t="s">
        <v>19</v>
      </c>
      <c r="E1560" s="5">
        <v>43181</v>
      </c>
      <c r="F1560" s="3" t="s">
        <v>115</v>
      </c>
      <c r="G1560" s="1" t="s">
        <v>543</v>
      </c>
      <c r="H1560" s="1">
        <v>250</v>
      </c>
      <c r="I1560" s="1">
        <v>243</v>
      </c>
      <c r="J1560" s="2">
        <v>2.8000000000000001E-2</v>
      </c>
      <c r="K1560">
        <f t="shared" si="72"/>
        <v>6.8040000000000003</v>
      </c>
      <c r="L1560">
        <f t="shared" si="73"/>
        <v>236.196</v>
      </c>
      <c r="M1560" t="str">
        <f t="shared" si="74"/>
        <v>Mar-2018</v>
      </c>
    </row>
    <row r="1561" spans="1:13" x14ac:dyDescent="0.3">
      <c r="A1561" t="s">
        <v>2133</v>
      </c>
      <c r="B1561" s="1" t="s">
        <v>255</v>
      </c>
      <c r="C1561" s="1" t="s">
        <v>256</v>
      </c>
      <c r="D1561" s="1" t="s">
        <v>13</v>
      </c>
      <c r="E1561" s="5">
        <v>43310</v>
      </c>
      <c r="F1561" s="3" t="s">
        <v>30</v>
      </c>
      <c r="G1561" s="1" t="s">
        <v>805</v>
      </c>
      <c r="H1561" s="1">
        <v>150</v>
      </c>
      <c r="I1561" s="1">
        <v>140</v>
      </c>
      <c r="J1561" s="2">
        <v>6.6699999999999995E-2</v>
      </c>
      <c r="K1561">
        <f t="shared" si="72"/>
        <v>9.3379999999999992</v>
      </c>
      <c r="L1561">
        <f t="shared" si="73"/>
        <v>130.66200000000001</v>
      </c>
      <c r="M1561" t="str">
        <f t="shared" si="74"/>
        <v>Jul-2018</v>
      </c>
    </row>
    <row r="1562" spans="1:13" x14ac:dyDescent="0.3">
      <c r="A1562" t="s">
        <v>2134</v>
      </c>
      <c r="B1562" s="1" t="s">
        <v>227</v>
      </c>
      <c r="C1562" s="1" t="s">
        <v>228</v>
      </c>
      <c r="D1562" s="1" t="s">
        <v>24</v>
      </c>
      <c r="E1562" s="5">
        <v>42294</v>
      </c>
      <c r="F1562" s="3" t="s">
        <v>30</v>
      </c>
      <c r="G1562" s="1" t="s">
        <v>229</v>
      </c>
      <c r="H1562" s="1">
        <v>150</v>
      </c>
      <c r="I1562" s="1">
        <v>125</v>
      </c>
      <c r="J1562" s="2">
        <v>0.16669999999999999</v>
      </c>
      <c r="K1562">
        <f t="shared" si="72"/>
        <v>20.837499999999999</v>
      </c>
      <c r="L1562">
        <f t="shared" si="73"/>
        <v>104.16249999999999</v>
      </c>
      <c r="M1562" t="str">
        <f t="shared" si="74"/>
        <v>Oct-2015</v>
      </c>
    </row>
    <row r="1563" spans="1:13" x14ac:dyDescent="0.3">
      <c r="A1563" t="s">
        <v>2135</v>
      </c>
      <c r="B1563" s="1" t="s">
        <v>264</v>
      </c>
      <c r="C1563" s="1" t="s">
        <v>265</v>
      </c>
      <c r="D1563" s="1" t="s">
        <v>13</v>
      </c>
      <c r="E1563" s="5">
        <v>42488</v>
      </c>
      <c r="F1563" s="3" t="s">
        <v>61</v>
      </c>
      <c r="G1563" s="1" t="s">
        <v>266</v>
      </c>
      <c r="H1563" s="1">
        <v>1000</v>
      </c>
      <c r="I1563" s="1">
        <v>950</v>
      </c>
      <c r="J1563" s="2">
        <v>0.05</v>
      </c>
      <c r="K1563">
        <f t="shared" si="72"/>
        <v>47.5</v>
      </c>
      <c r="L1563">
        <f t="shared" si="73"/>
        <v>902.5</v>
      </c>
      <c r="M1563" t="str">
        <f t="shared" si="74"/>
        <v>Apr-2016</v>
      </c>
    </row>
    <row r="1564" spans="1:13" x14ac:dyDescent="0.3">
      <c r="A1564" t="s">
        <v>2136</v>
      </c>
      <c r="B1564" s="1" t="s">
        <v>154</v>
      </c>
      <c r="C1564" s="1" t="s">
        <v>108</v>
      </c>
      <c r="D1564" s="1" t="s">
        <v>19</v>
      </c>
      <c r="E1564" s="5">
        <v>42996</v>
      </c>
      <c r="F1564" s="3" t="s">
        <v>30</v>
      </c>
      <c r="G1564" s="1" t="s">
        <v>155</v>
      </c>
      <c r="H1564" s="1">
        <v>150</v>
      </c>
      <c r="I1564" s="1">
        <v>141</v>
      </c>
      <c r="J1564" s="2">
        <v>0.06</v>
      </c>
      <c r="K1564">
        <f t="shared" si="72"/>
        <v>8.4599999999999991</v>
      </c>
      <c r="L1564">
        <f t="shared" si="73"/>
        <v>132.54</v>
      </c>
      <c r="M1564" t="str">
        <f t="shared" si="74"/>
        <v>Sep-2017</v>
      </c>
    </row>
    <row r="1565" spans="1:13" x14ac:dyDescent="0.3">
      <c r="A1565" t="s">
        <v>2137</v>
      </c>
      <c r="B1565" s="1" t="s">
        <v>95</v>
      </c>
      <c r="C1565" s="1" t="s">
        <v>96</v>
      </c>
      <c r="D1565" s="1" t="s">
        <v>13</v>
      </c>
      <c r="E1565" s="5">
        <v>42689</v>
      </c>
      <c r="F1565" s="3" t="s">
        <v>30</v>
      </c>
      <c r="G1565" s="1" t="s">
        <v>2138</v>
      </c>
      <c r="H1565" s="1">
        <v>150</v>
      </c>
      <c r="I1565" s="1">
        <v>114</v>
      </c>
      <c r="J1565" s="2">
        <v>0.24</v>
      </c>
      <c r="K1565">
        <f t="shared" si="72"/>
        <v>27.36</v>
      </c>
      <c r="L1565">
        <f t="shared" si="73"/>
        <v>86.64</v>
      </c>
      <c r="M1565" t="str">
        <f t="shared" si="74"/>
        <v>Nov-2016</v>
      </c>
    </row>
    <row r="1566" spans="1:13" x14ac:dyDescent="0.3">
      <c r="A1566" t="s">
        <v>2139</v>
      </c>
      <c r="B1566" s="1" t="s">
        <v>91</v>
      </c>
      <c r="C1566" s="1" t="s">
        <v>92</v>
      </c>
      <c r="D1566" s="1" t="s">
        <v>35</v>
      </c>
      <c r="E1566" s="5">
        <v>43241</v>
      </c>
      <c r="F1566" s="3" t="s">
        <v>115</v>
      </c>
      <c r="G1566" s="1" t="s">
        <v>1513</v>
      </c>
      <c r="H1566" s="1">
        <v>250</v>
      </c>
      <c r="I1566" s="1">
        <v>230</v>
      </c>
      <c r="J1566" s="2">
        <v>0.08</v>
      </c>
      <c r="K1566">
        <f t="shared" si="72"/>
        <v>18.400000000000002</v>
      </c>
      <c r="L1566">
        <f t="shared" si="73"/>
        <v>211.6</v>
      </c>
      <c r="M1566" t="str">
        <f t="shared" si="74"/>
        <v>May-2018</v>
      </c>
    </row>
    <row r="1567" spans="1:13" x14ac:dyDescent="0.3">
      <c r="A1567" t="s">
        <v>2140</v>
      </c>
      <c r="B1567" s="1" t="s">
        <v>107</v>
      </c>
      <c r="C1567" s="1" t="s">
        <v>108</v>
      </c>
      <c r="D1567" s="1" t="s">
        <v>19</v>
      </c>
      <c r="E1567" s="5">
        <v>41880</v>
      </c>
      <c r="F1567" s="3" t="s">
        <v>122</v>
      </c>
      <c r="G1567" s="1" t="s">
        <v>817</v>
      </c>
      <c r="H1567" s="1">
        <v>50</v>
      </c>
      <c r="I1567" s="1">
        <v>41</v>
      </c>
      <c r="J1567" s="2">
        <v>0.18</v>
      </c>
      <c r="K1567">
        <f t="shared" si="72"/>
        <v>7.38</v>
      </c>
      <c r="L1567">
        <f t="shared" si="73"/>
        <v>33.619999999999997</v>
      </c>
      <c r="M1567" t="str">
        <f t="shared" si="74"/>
        <v>Aug-2014</v>
      </c>
    </row>
    <row r="1568" spans="1:13" x14ac:dyDescent="0.3">
      <c r="A1568" t="s">
        <v>2141</v>
      </c>
      <c r="B1568" s="1" t="s">
        <v>154</v>
      </c>
      <c r="C1568" s="1" t="s">
        <v>108</v>
      </c>
      <c r="D1568" s="1" t="s">
        <v>19</v>
      </c>
      <c r="E1568" s="5">
        <v>42426</v>
      </c>
      <c r="F1568" s="3" t="s">
        <v>55</v>
      </c>
      <c r="G1568" s="1" t="s">
        <v>352</v>
      </c>
      <c r="H1568" s="1">
        <v>800</v>
      </c>
      <c r="I1568" s="1">
        <v>792</v>
      </c>
      <c r="J1568" s="2">
        <v>0.01</v>
      </c>
      <c r="K1568">
        <f t="shared" si="72"/>
        <v>7.92</v>
      </c>
      <c r="L1568">
        <f t="shared" si="73"/>
        <v>784.08</v>
      </c>
      <c r="M1568" t="str">
        <f t="shared" si="74"/>
        <v>Feb-2016</v>
      </c>
    </row>
    <row r="1569" spans="1:13" x14ac:dyDescent="0.3">
      <c r="A1569" t="s">
        <v>2142</v>
      </c>
      <c r="B1569" s="1" t="s">
        <v>227</v>
      </c>
      <c r="C1569" s="1" t="s">
        <v>228</v>
      </c>
      <c r="D1569" s="1" t="s">
        <v>24</v>
      </c>
      <c r="E1569" s="5">
        <v>43327</v>
      </c>
      <c r="F1569" s="3" t="s">
        <v>14</v>
      </c>
      <c r="G1569" s="1" t="s">
        <v>278</v>
      </c>
      <c r="H1569" s="1">
        <v>80</v>
      </c>
      <c r="I1569" s="1">
        <v>64</v>
      </c>
      <c r="J1569" s="2">
        <v>0.2</v>
      </c>
      <c r="K1569">
        <f t="shared" si="72"/>
        <v>12.8</v>
      </c>
      <c r="L1569">
        <f t="shared" si="73"/>
        <v>51.2</v>
      </c>
      <c r="M1569" t="str">
        <f t="shared" si="74"/>
        <v>Aug-2018</v>
      </c>
    </row>
    <row r="1570" spans="1:13" x14ac:dyDescent="0.3">
      <c r="A1570" t="s">
        <v>2143</v>
      </c>
      <c r="B1570" s="1" t="s">
        <v>182</v>
      </c>
      <c r="C1570" s="1" t="s">
        <v>108</v>
      </c>
      <c r="D1570" s="1" t="s">
        <v>19</v>
      </c>
      <c r="E1570" s="5">
        <v>42726</v>
      </c>
      <c r="F1570" s="3" t="s">
        <v>14</v>
      </c>
      <c r="G1570" s="1" t="s">
        <v>1432</v>
      </c>
      <c r="H1570" s="1">
        <v>80</v>
      </c>
      <c r="I1570" s="1">
        <v>62</v>
      </c>
      <c r="J1570" s="2">
        <v>0.22500000000000001</v>
      </c>
      <c r="K1570">
        <f t="shared" si="72"/>
        <v>13.950000000000001</v>
      </c>
      <c r="L1570">
        <f t="shared" si="73"/>
        <v>48.05</v>
      </c>
      <c r="M1570" t="str">
        <f t="shared" si="74"/>
        <v>Dec-2016</v>
      </c>
    </row>
    <row r="1571" spans="1:13" x14ac:dyDescent="0.3">
      <c r="A1571" t="s">
        <v>2144</v>
      </c>
      <c r="B1571" s="1" t="s">
        <v>22</v>
      </c>
      <c r="C1571" s="1" t="s">
        <v>23</v>
      </c>
      <c r="D1571" s="1" t="s">
        <v>24</v>
      </c>
      <c r="E1571" s="5">
        <v>42291</v>
      </c>
      <c r="F1571" s="3" t="s">
        <v>72</v>
      </c>
      <c r="G1571" s="1" t="s">
        <v>624</v>
      </c>
      <c r="H1571" s="1">
        <v>500</v>
      </c>
      <c r="I1571" s="1">
        <v>495</v>
      </c>
      <c r="J1571" s="2">
        <v>0.01</v>
      </c>
      <c r="K1571">
        <f t="shared" si="72"/>
        <v>4.95</v>
      </c>
      <c r="L1571">
        <f t="shared" si="73"/>
        <v>490.05</v>
      </c>
      <c r="M1571" t="str">
        <f t="shared" si="74"/>
        <v>Oct-2015</v>
      </c>
    </row>
    <row r="1572" spans="1:13" x14ac:dyDescent="0.3">
      <c r="A1572" t="s">
        <v>2145</v>
      </c>
      <c r="B1572" s="1" t="s">
        <v>28</v>
      </c>
      <c r="C1572" s="1" t="s">
        <v>29</v>
      </c>
      <c r="D1572" s="1" t="s">
        <v>13</v>
      </c>
      <c r="E1572" s="5">
        <v>42609</v>
      </c>
      <c r="F1572" s="3" t="s">
        <v>72</v>
      </c>
      <c r="G1572" s="1" t="s">
        <v>469</v>
      </c>
      <c r="H1572" s="1">
        <v>500</v>
      </c>
      <c r="I1572" s="1">
        <v>500</v>
      </c>
      <c r="J1572" s="2">
        <v>0</v>
      </c>
      <c r="K1572">
        <f t="shared" si="72"/>
        <v>0</v>
      </c>
      <c r="L1572">
        <f t="shared" si="73"/>
        <v>500</v>
      </c>
      <c r="M1572" t="str">
        <f t="shared" si="74"/>
        <v>Aug-2016</v>
      </c>
    </row>
    <row r="1573" spans="1:13" x14ac:dyDescent="0.3">
      <c r="A1573" t="s">
        <v>2146</v>
      </c>
      <c r="B1573" s="1" t="s">
        <v>118</v>
      </c>
      <c r="C1573" s="1" t="s">
        <v>119</v>
      </c>
      <c r="D1573" s="1" t="s">
        <v>35</v>
      </c>
      <c r="E1573" s="5">
        <v>42060</v>
      </c>
      <c r="F1573" s="3" t="s">
        <v>46</v>
      </c>
      <c r="G1573" s="1" t="s">
        <v>540</v>
      </c>
      <c r="H1573" s="1">
        <v>500</v>
      </c>
      <c r="I1573" s="1">
        <v>495</v>
      </c>
      <c r="J1573" s="2">
        <v>0.01</v>
      </c>
      <c r="K1573">
        <f t="shared" si="72"/>
        <v>4.95</v>
      </c>
      <c r="L1573">
        <f t="shared" si="73"/>
        <v>490.05</v>
      </c>
      <c r="M1573" t="str">
        <f t="shared" si="74"/>
        <v>Feb-2015</v>
      </c>
    </row>
    <row r="1574" spans="1:13" x14ac:dyDescent="0.3">
      <c r="A1574" t="s">
        <v>2147</v>
      </c>
      <c r="B1574" s="1" t="s">
        <v>170</v>
      </c>
      <c r="C1574" s="1" t="s">
        <v>171</v>
      </c>
      <c r="D1574" s="1" t="s">
        <v>13</v>
      </c>
      <c r="E1574" s="5">
        <v>42820</v>
      </c>
      <c r="F1574" s="3" t="s">
        <v>115</v>
      </c>
      <c r="G1574" s="1" t="s">
        <v>518</v>
      </c>
      <c r="H1574" s="1">
        <v>250</v>
      </c>
      <c r="I1574" s="1">
        <v>248</v>
      </c>
      <c r="J1574" s="2">
        <v>8.0000000000000002E-3</v>
      </c>
      <c r="K1574">
        <f t="shared" si="72"/>
        <v>1.984</v>
      </c>
      <c r="L1574">
        <f t="shared" si="73"/>
        <v>246.01599999999999</v>
      </c>
      <c r="M1574" t="str">
        <f t="shared" si="74"/>
        <v>Mar-2017</v>
      </c>
    </row>
    <row r="1575" spans="1:13" x14ac:dyDescent="0.3">
      <c r="A1575" t="s">
        <v>2148</v>
      </c>
      <c r="B1575" s="1" t="s">
        <v>103</v>
      </c>
      <c r="C1575" s="1" t="s">
        <v>71</v>
      </c>
      <c r="D1575" s="1" t="s">
        <v>35</v>
      </c>
      <c r="E1575" s="5">
        <v>42277</v>
      </c>
      <c r="F1575" s="3" t="s">
        <v>55</v>
      </c>
      <c r="G1575" s="1" t="s">
        <v>1531</v>
      </c>
      <c r="H1575" s="1">
        <v>800</v>
      </c>
      <c r="I1575" s="1">
        <v>712</v>
      </c>
      <c r="J1575" s="2">
        <v>0.11</v>
      </c>
      <c r="K1575">
        <f t="shared" si="72"/>
        <v>78.320000000000007</v>
      </c>
      <c r="L1575">
        <f t="shared" si="73"/>
        <v>633.67999999999995</v>
      </c>
      <c r="M1575" t="str">
        <f t="shared" si="74"/>
        <v>Sep-2015</v>
      </c>
    </row>
    <row r="1576" spans="1:13" x14ac:dyDescent="0.3">
      <c r="A1576" t="s">
        <v>2149</v>
      </c>
      <c r="B1576" s="1" t="s">
        <v>64</v>
      </c>
      <c r="C1576" s="1" t="s">
        <v>65</v>
      </c>
      <c r="D1576" s="1" t="s">
        <v>35</v>
      </c>
      <c r="E1576" s="5">
        <v>41867</v>
      </c>
      <c r="F1576" s="3" t="s">
        <v>36</v>
      </c>
      <c r="G1576" s="1" t="s">
        <v>1057</v>
      </c>
      <c r="H1576" s="1">
        <v>50</v>
      </c>
      <c r="I1576" s="1">
        <v>50</v>
      </c>
      <c r="J1576" s="2">
        <v>0</v>
      </c>
      <c r="K1576">
        <f t="shared" si="72"/>
        <v>0</v>
      </c>
      <c r="L1576">
        <f t="shared" si="73"/>
        <v>50</v>
      </c>
      <c r="M1576" t="str">
        <f t="shared" si="74"/>
        <v>Aug-2014</v>
      </c>
    </row>
    <row r="1577" spans="1:13" x14ac:dyDescent="0.3">
      <c r="A1577" t="s">
        <v>2150</v>
      </c>
      <c r="B1577" s="1" t="s">
        <v>127</v>
      </c>
      <c r="C1577" s="1" t="s">
        <v>128</v>
      </c>
      <c r="D1577" s="1" t="s">
        <v>13</v>
      </c>
      <c r="E1577" s="5">
        <v>42146</v>
      </c>
      <c r="F1577" s="3" t="s">
        <v>46</v>
      </c>
      <c r="G1577" s="1" t="s">
        <v>526</v>
      </c>
      <c r="H1577" s="1">
        <v>500</v>
      </c>
      <c r="I1577" s="1">
        <v>485</v>
      </c>
      <c r="J1577" s="2">
        <v>0.03</v>
      </c>
      <c r="K1577">
        <f t="shared" si="72"/>
        <v>14.549999999999999</v>
      </c>
      <c r="L1577">
        <f t="shared" si="73"/>
        <v>470.45</v>
      </c>
      <c r="M1577" t="str">
        <f t="shared" si="74"/>
        <v>May-2015</v>
      </c>
    </row>
    <row r="1578" spans="1:13" x14ac:dyDescent="0.3">
      <c r="A1578" t="s">
        <v>2151</v>
      </c>
      <c r="B1578" s="1" t="s">
        <v>150</v>
      </c>
      <c r="C1578" s="1" t="s">
        <v>151</v>
      </c>
      <c r="D1578" s="1" t="s">
        <v>13</v>
      </c>
      <c r="E1578" s="5">
        <v>42640</v>
      </c>
      <c r="F1578" s="3" t="s">
        <v>72</v>
      </c>
      <c r="G1578" s="1" t="s">
        <v>2108</v>
      </c>
      <c r="H1578" s="1">
        <v>500</v>
      </c>
      <c r="I1578" s="1">
        <v>500</v>
      </c>
      <c r="J1578" s="2">
        <v>0</v>
      </c>
      <c r="K1578">
        <f t="shared" si="72"/>
        <v>0</v>
      </c>
      <c r="L1578">
        <f t="shared" si="73"/>
        <v>500</v>
      </c>
      <c r="M1578" t="str">
        <f t="shared" si="74"/>
        <v>Sep-2016</v>
      </c>
    </row>
    <row r="1579" spans="1:13" x14ac:dyDescent="0.3">
      <c r="A1579" t="s">
        <v>2152</v>
      </c>
      <c r="B1579" s="1" t="s">
        <v>270</v>
      </c>
      <c r="C1579" s="1" t="s">
        <v>271</v>
      </c>
      <c r="D1579" s="1" t="s">
        <v>35</v>
      </c>
      <c r="E1579" s="5">
        <v>42545</v>
      </c>
      <c r="F1579" s="3" t="s">
        <v>104</v>
      </c>
      <c r="G1579" s="1" t="s">
        <v>809</v>
      </c>
      <c r="H1579" s="1">
        <v>70</v>
      </c>
      <c r="I1579" s="1">
        <v>69</v>
      </c>
      <c r="J1579" s="2">
        <v>1.43E-2</v>
      </c>
      <c r="K1579">
        <f t="shared" si="72"/>
        <v>0.98670000000000002</v>
      </c>
      <c r="L1579">
        <f t="shared" si="73"/>
        <v>68.013300000000001</v>
      </c>
      <c r="M1579" t="str">
        <f t="shared" si="74"/>
        <v>Jun-2016</v>
      </c>
    </row>
    <row r="1580" spans="1:13" x14ac:dyDescent="0.3">
      <c r="A1580" t="s">
        <v>2153</v>
      </c>
      <c r="B1580" s="1" t="s">
        <v>11</v>
      </c>
      <c r="C1580" s="1" t="s">
        <v>12</v>
      </c>
      <c r="D1580" s="1" t="s">
        <v>13</v>
      </c>
      <c r="E1580" s="5">
        <v>42750</v>
      </c>
      <c r="F1580" s="3" t="s">
        <v>14</v>
      </c>
      <c r="G1580" s="1" t="s">
        <v>348</v>
      </c>
      <c r="H1580" s="1">
        <v>80</v>
      </c>
      <c r="I1580" s="1">
        <v>77</v>
      </c>
      <c r="J1580" s="2">
        <v>3.7499999999999999E-2</v>
      </c>
      <c r="K1580">
        <f t="shared" si="72"/>
        <v>2.8874999999999997</v>
      </c>
      <c r="L1580">
        <f t="shared" si="73"/>
        <v>74.112499999999997</v>
      </c>
      <c r="M1580" t="str">
        <f t="shared" si="74"/>
        <v>Jan-2017</v>
      </c>
    </row>
    <row r="1581" spans="1:13" x14ac:dyDescent="0.3">
      <c r="A1581" t="s">
        <v>2154</v>
      </c>
      <c r="B1581" s="1" t="s">
        <v>434</v>
      </c>
      <c r="C1581" s="1" t="s">
        <v>435</v>
      </c>
      <c r="D1581" s="1" t="s">
        <v>24</v>
      </c>
      <c r="E1581" s="5">
        <v>43205</v>
      </c>
      <c r="F1581" s="3" t="s">
        <v>14</v>
      </c>
      <c r="G1581" s="1" t="s">
        <v>764</v>
      </c>
      <c r="H1581" s="1">
        <v>80</v>
      </c>
      <c r="I1581" s="1">
        <v>76</v>
      </c>
      <c r="J1581" s="2">
        <v>0.05</v>
      </c>
      <c r="K1581">
        <f t="shared" si="72"/>
        <v>3.8000000000000003</v>
      </c>
      <c r="L1581">
        <f t="shared" si="73"/>
        <v>72.2</v>
      </c>
      <c r="M1581" t="str">
        <f t="shared" si="74"/>
        <v>Apr-2018</v>
      </c>
    </row>
    <row r="1582" spans="1:13" x14ac:dyDescent="0.3">
      <c r="A1582" t="s">
        <v>2155</v>
      </c>
      <c r="B1582" s="1" t="s">
        <v>187</v>
      </c>
      <c r="C1582" s="1" t="s">
        <v>188</v>
      </c>
      <c r="D1582" s="1" t="s">
        <v>13</v>
      </c>
      <c r="E1582" s="5">
        <v>41772</v>
      </c>
      <c r="F1582" s="3" t="s">
        <v>104</v>
      </c>
      <c r="G1582" s="1" t="s">
        <v>741</v>
      </c>
      <c r="H1582" s="1">
        <v>70</v>
      </c>
      <c r="I1582" s="1">
        <v>65</v>
      </c>
      <c r="J1582" s="2">
        <v>7.1400000000000005E-2</v>
      </c>
      <c r="K1582">
        <f t="shared" si="72"/>
        <v>4.641</v>
      </c>
      <c r="L1582">
        <f t="shared" si="73"/>
        <v>60.359000000000002</v>
      </c>
      <c r="M1582" t="str">
        <f t="shared" si="74"/>
        <v>May-2014</v>
      </c>
    </row>
    <row r="1583" spans="1:13" x14ac:dyDescent="0.3">
      <c r="A1583" t="s">
        <v>2156</v>
      </c>
      <c r="B1583" s="1" t="s">
        <v>44</v>
      </c>
      <c r="C1583" s="1" t="s">
        <v>45</v>
      </c>
      <c r="D1583" s="1" t="s">
        <v>24</v>
      </c>
      <c r="E1583" s="5">
        <v>42632</v>
      </c>
      <c r="F1583" s="3" t="s">
        <v>36</v>
      </c>
      <c r="G1583" s="1" t="s">
        <v>1102</v>
      </c>
      <c r="H1583" s="1">
        <v>50</v>
      </c>
      <c r="I1583" s="1">
        <v>37</v>
      </c>
      <c r="J1583" s="2">
        <v>0.26</v>
      </c>
      <c r="K1583">
        <f t="shared" si="72"/>
        <v>9.620000000000001</v>
      </c>
      <c r="L1583">
        <f t="shared" si="73"/>
        <v>27.38</v>
      </c>
      <c r="M1583" t="str">
        <f t="shared" si="74"/>
        <v>Sep-2016</v>
      </c>
    </row>
    <row r="1584" spans="1:13" x14ac:dyDescent="0.3">
      <c r="A1584" t="s">
        <v>2157</v>
      </c>
      <c r="B1584" s="1" t="s">
        <v>224</v>
      </c>
      <c r="C1584" s="1" t="s">
        <v>50</v>
      </c>
      <c r="D1584" s="1" t="s">
        <v>24</v>
      </c>
      <c r="E1584" s="5">
        <v>43267</v>
      </c>
      <c r="F1584" s="3" t="s">
        <v>72</v>
      </c>
      <c r="G1584" s="1" t="s">
        <v>413</v>
      </c>
      <c r="H1584" s="1">
        <v>500</v>
      </c>
      <c r="I1584" s="1">
        <v>500</v>
      </c>
      <c r="J1584" s="2">
        <v>0</v>
      </c>
      <c r="K1584">
        <f t="shared" si="72"/>
        <v>0</v>
      </c>
      <c r="L1584">
        <f t="shared" si="73"/>
        <v>500</v>
      </c>
      <c r="M1584" t="str">
        <f t="shared" si="74"/>
        <v>Jun-2018</v>
      </c>
    </row>
    <row r="1585" spans="1:13" x14ac:dyDescent="0.3">
      <c r="A1585" t="s">
        <v>2158</v>
      </c>
      <c r="B1585" s="1" t="s">
        <v>77</v>
      </c>
      <c r="C1585" s="1" t="s">
        <v>78</v>
      </c>
      <c r="D1585" s="1" t="s">
        <v>35</v>
      </c>
      <c r="E1585" s="5">
        <v>42946</v>
      </c>
      <c r="F1585" s="3" t="s">
        <v>36</v>
      </c>
      <c r="G1585" s="1" t="s">
        <v>1093</v>
      </c>
      <c r="H1585" s="1">
        <v>50</v>
      </c>
      <c r="I1585" s="1">
        <v>50</v>
      </c>
      <c r="J1585" s="2">
        <v>0</v>
      </c>
      <c r="K1585">
        <f t="shared" si="72"/>
        <v>0</v>
      </c>
      <c r="L1585">
        <f t="shared" si="73"/>
        <v>50</v>
      </c>
      <c r="M1585" t="str">
        <f t="shared" si="74"/>
        <v>Jul-2017</v>
      </c>
    </row>
    <row r="1586" spans="1:13" x14ac:dyDescent="0.3">
      <c r="A1586" t="s">
        <v>2159</v>
      </c>
      <c r="B1586" s="1" t="s">
        <v>154</v>
      </c>
      <c r="C1586" s="1" t="s">
        <v>108</v>
      </c>
      <c r="D1586" s="1" t="s">
        <v>19</v>
      </c>
      <c r="E1586" s="5">
        <v>42689</v>
      </c>
      <c r="F1586" s="3" t="s">
        <v>14</v>
      </c>
      <c r="G1586" s="1" t="s">
        <v>352</v>
      </c>
      <c r="H1586" s="1">
        <v>80</v>
      </c>
      <c r="I1586" s="1">
        <v>73</v>
      </c>
      <c r="J1586" s="2">
        <v>8.7499999999999994E-2</v>
      </c>
      <c r="K1586">
        <f t="shared" si="72"/>
        <v>6.3874999999999993</v>
      </c>
      <c r="L1586">
        <f t="shared" si="73"/>
        <v>66.612499999999997</v>
      </c>
      <c r="M1586" t="str">
        <f t="shared" si="74"/>
        <v>Nov-2016</v>
      </c>
    </row>
    <row r="1587" spans="1:13" x14ac:dyDescent="0.3">
      <c r="A1587" t="s">
        <v>2160</v>
      </c>
      <c r="B1587" s="1" t="s">
        <v>434</v>
      </c>
      <c r="C1587" s="1" t="s">
        <v>435</v>
      </c>
      <c r="D1587" s="1" t="s">
        <v>24</v>
      </c>
      <c r="E1587" s="5">
        <v>42695</v>
      </c>
      <c r="F1587" s="3" t="s">
        <v>25</v>
      </c>
      <c r="G1587" s="1" t="s">
        <v>462</v>
      </c>
      <c r="H1587" s="1">
        <v>700</v>
      </c>
      <c r="I1587" s="1">
        <v>637</v>
      </c>
      <c r="J1587" s="2">
        <v>0.09</v>
      </c>
      <c r="K1587">
        <f t="shared" si="72"/>
        <v>57.33</v>
      </c>
      <c r="L1587">
        <f t="shared" si="73"/>
        <v>579.66999999999996</v>
      </c>
      <c r="M1587" t="str">
        <f t="shared" si="74"/>
        <v>Nov-2016</v>
      </c>
    </row>
    <row r="1588" spans="1:13" x14ac:dyDescent="0.3">
      <c r="A1588" t="s">
        <v>2161</v>
      </c>
      <c r="B1588" s="1" t="s">
        <v>289</v>
      </c>
      <c r="C1588" s="1" t="s">
        <v>108</v>
      </c>
      <c r="D1588" s="1" t="s">
        <v>19</v>
      </c>
      <c r="E1588" s="5">
        <v>42814</v>
      </c>
      <c r="F1588" s="3" t="s">
        <v>115</v>
      </c>
      <c r="G1588" s="1" t="s">
        <v>1129</v>
      </c>
      <c r="H1588" s="1">
        <v>250</v>
      </c>
      <c r="I1588" s="1">
        <v>248</v>
      </c>
      <c r="J1588" s="2">
        <v>8.0000000000000002E-3</v>
      </c>
      <c r="K1588">
        <f t="shared" si="72"/>
        <v>1.984</v>
      </c>
      <c r="L1588">
        <f t="shared" si="73"/>
        <v>246.01599999999999</v>
      </c>
      <c r="M1588" t="str">
        <f t="shared" si="74"/>
        <v>Mar-2017</v>
      </c>
    </row>
    <row r="1589" spans="1:13" x14ac:dyDescent="0.3">
      <c r="A1589" t="s">
        <v>2162</v>
      </c>
      <c r="B1589" s="1" t="s">
        <v>49</v>
      </c>
      <c r="C1589" s="1" t="s">
        <v>50</v>
      </c>
      <c r="D1589" s="1" t="s">
        <v>24</v>
      </c>
      <c r="E1589" s="5">
        <v>42536</v>
      </c>
      <c r="F1589" s="3" t="s">
        <v>46</v>
      </c>
      <c r="G1589" s="1" t="s">
        <v>51</v>
      </c>
      <c r="H1589" s="1">
        <v>500</v>
      </c>
      <c r="I1589" s="1">
        <v>475</v>
      </c>
      <c r="J1589" s="2">
        <v>0.05</v>
      </c>
      <c r="K1589">
        <f t="shared" si="72"/>
        <v>23.75</v>
      </c>
      <c r="L1589">
        <f t="shared" si="73"/>
        <v>451.25</v>
      </c>
      <c r="M1589" t="str">
        <f t="shared" si="74"/>
        <v>Jun-2016</v>
      </c>
    </row>
    <row r="1590" spans="1:13" x14ac:dyDescent="0.3">
      <c r="A1590" t="s">
        <v>2163</v>
      </c>
      <c r="B1590" s="1" t="s">
        <v>49</v>
      </c>
      <c r="C1590" s="1" t="s">
        <v>50</v>
      </c>
      <c r="D1590" s="1" t="s">
        <v>24</v>
      </c>
      <c r="E1590" s="5">
        <v>41931</v>
      </c>
      <c r="F1590" s="3" t="s">
        <v>122</v>
      </c>
      <c r="G1590" s="1" t="s">
        <v>378</v>
      </c>
      <c r="H1590" s="1">
        <v>50</v>
      </c>
      <c r="I1590" s="1">
        <v>40</v>
      </c>
      <c r="J1590" s="2">
        <v>0.2</v>
      </c>
      <c r="K1590">
        <f t="shared" si="72"/>
        <v>8</v>
      </c>
      <c r="L1590">
        <f t="shared" si="73"/>
        <v>32</v>
      </c>
      <c r="M1590" t="str">
        <f t="shared" si="74"/>
        <v>Oct-2014</v>
      </c>
    </row>
    <row r="1591" spans="1:13" x14ac:dyDescent="0.3">
      <c r="A1591" t="s">
        <v>2164</v>
      </c>
      <c r="B1591" s="1" t="s">
        <v>39</v>
      </c>
      <c r="C1591" s="1" t="s">
        <v>40</v>
      </c>
      <c r="D1591" s="1" t="s">
        <v>35</v>
      </c>
      <c r="E1591" s="5">
        <v>42168</v>
      </c>
      <c r="F1591" s="3" t="s">
        <v>55</v>
      </c>
      <c r="G1591" s="1" t="s">
        <v>42</v>
      </c>
      <c r="H1591" s="1">
        <v>800</v>
      </c>
      <c r="I1591" s="1">
        <v>504</v>
      </c>
      <c r="J1591" s="2">
        <v>0.37</v>
      </c>
      <c r="K1591">
        <f t="shared" si="72"/>
        <v>186.48</v>
      </c>
      <c r="L1591">
        <f t="shared" si="73"/>
        <v>317.52</v>
      </c>
      <c r="M1591" t="str">
        <f t="shared" si="74"/>
        <v>Jun-2015</v>
      </c>
    </row>
    <row r="1592" spans="1:13" x14ac:dyDescent="0.3">
      <c r="A1592" t="s">
        <v>2165</v>
      </c>
      <c r="B1592" s="1" t="s">
        <v>170</v>
      </c>
      <c r="C1592" s="1" t="s">
        <v>171</v>
      </c>
      <c r="D1592" s="1" t="s">
        <v>13</v>
      </c>
      <c r="E1592" s="5">
        <v>42704</v>
      </c>
      <c r="F1592" s="3" t="s">
        <v>55</v>
      </c>
      <c r="G1592" s="1" t="s">
        <v>518</v>
      </c>
      <c r="H1592" s="1">
        <v>800</v>
      </c>
      <c r="I1592" s="1">
        <v>664</v>
      </c>
      <c r="J1592" s="2">
        <v>0.17</v>
      </c>
      <c r="K1592">
        <f t="shared" si="72"/>
        <v>112.88000000000001</v>
      </c>
      <c r="L1592">
        <f t="shared" si="73"/>
        <v>551.12</v>
      </c>
      <c r="M1592" t="str">
        <f t="shared" si="74"/>
        <v>Nov-2016</v>
      </c>
    </row>
    <row r="1593" spans="1:13" x14ac:dyDescent="0.3">
      <c r="A1593" t="s">
        <v>2166</v>
      </c>
      <c r="B1593" s="1" t="s">
        <v>324</v>
      </c>
      <c r="C1593" s="1" t="s">
        <v>325</v>
      </c>
      <c r="D1593" s="1" t="s">
        <v>13</v>
      </c>
      <c r="E1593" s="5">
        <v>43148</v>
      </c>
      <c r="F1593" s="3" t="s">
        <v>46</v>
      </c>
      <c r="G1593" s="1" t="s">
        <v>1247</v>
      </c>
      <c r="H1593" s="1">
        <v>500</v>
      </c>
      <c r="I1593" s="1">
        <v>500</v>
      </c>
      <c r="J1593" s="2">
        <v>0</v>
      </c>
      <c r="K1593">
        <f t="shared" si="72"/>
        <v>0</v>
      </c>
      <c r="L1593">
        <f t="shared" si="73"/>
        <v>500</v>
      </c>
      <c r="M1593" t="str">
        <f t="shared" si="74"/>
        <v>Feb-2018</v>
      </c>
    </row>
    <row r="1594" spans="1:13" x14ac:dyDescent="0.3">
      <c r="A1594" t="s">
        <v>2167</v>
      </c>
      <c r="B1594" s="1" t="s">
        <v>91</v>
      </c>
      <c r="C1594" s="1" t="s">
        <v>92</v>
      </c>
      <c r="D1594" s="1" t="s">
        <v>35</v>
      </c>
      <c r="E1594" s="5">
        <v>43129</v>
      </c>
      <c r="F1594" s="3" t="s">
        <v>115</v>
      </c>
      <c r="G1594" s="1" t="s">
        <v>344</v>
      </c>
      <c r="H1594" s="1">
        <v>250</v>
      </c>
      <c r="I1594" s="1">
        <v>250</v>
      </c>
      <c r="J1594" s="2">
        <v>0</v>
      </c>
      <c r="K1594">
        <f t="shared" si="72"/>
        <v>0</v>
      </c>
      <c r="L1594">
        <f t="shared" si="73"/>
        <v>250</v>
      </c>
      <c r="M1594" t="str">
        <f t="shared" si="74"/>
        <v>Jan-2018</v>
      </c>
    </row>
    <row r="1595" spans="1:13" x14ac:dyDescent="0.3">
      <c r="A1595" t="s">
        <v>2168</v>
      </c>
      <c r="B1595" s="1" t="s">
        <v>118</v>
      </c>
      <c r="C1595" s="1" t="s">
        <v>119</v>
      </c>
      <c r="D1595" s="1" t="s">
        <v>35</v>
      </c>
      <c r="E1595" s="5">
        <v>42630</v>
      </c>
      <c r="F1595" s="3" t="s">
        <v>41</v>
      </c>
      <c r="G1595" s="1" t="s">
        <v>1681</v>
      </c>
      <c r="H1595" s="1">
        <v>30</v>
      </c>
      <c r="I1595" s="1">
        <v>30</v>
      </c>
      <c r="J1595" s="2">
        <v>0</v>
      </c>
      <c r="K1595">
        <f t="shared" si="72"/>
        <v>0</v>
      </c>
      <c r="L1595">
        <f t="shared" si="73"/>
        <v>30</v>
      </c>
      <c r="M1595" t="str">
        <f t="shared" si="74"/>
        <v>Sep-2016</v>
      </c>
    </row>
    <row r="1596" spans="1:13" x14ac:dyDescent="0.3">
      <c r="A1596" t="s">
        <v>2169</v>
      </c>
      <c r="B1596" s="1" t="s">
        <v>2170</v>
      </c>
      <c r="C1596" s="1" t="s">
        <v>18</v>
      </c>
      <c r="D1596" s="1" t="s">
        <v>19</v>
      </c>
      <c r="E1596" s="5">
        <v>42172</v>
      </c>
      <c r="F1596" s="3" t="s">
        <v>55</v>
      </c>
      <c r="G1596" s="1" t="s">
        <v>2171</v>
      </c>
      <c r="H1596" s="1">
        <v>800</v>
      </c>
      <c r="I1596" s="1">
        <v>632</v>
      </c>
      <c r="J1596" s="2">
        <v>0.21</v>
      </c>
      <c r="K1596">
        <f t="shared" si="72"/>
        <v>132.72</v>
      </c>
      <c r="L1596">
        <f t="shared" si="73"/>
        <v>499.28</v>
      </c>
      <c r="M1596" t="str">
        <f t="shared" si="74"/>
        <v>Jun-2015</v>
      </c>
    </row>
    <row r="1597" spans="1:13" x14ac:dyDescent="0.3">
      <c r="A1597" t="s">
        <v>2172</v>
      </c>
      <c r="B1597" s="1" t="s">
        <v>39</v>
      </c>
      <c r="C1597" s="1" t="s">
        <v>40</v>
      </c>
      <c r="D1597" s="1" t="s">
        <v>35</v>
      </c>
      <c r="E1597" s="5">
        <v>42947</v>
      </c>
      <c r="F1597" s="3" t="s">
        <v>122</v>
      </c>
      <c r="G1597" s="1" t="s">
        <v>164</v>
      </c>
      <c r="H1597" s="1">
        <v>50</v>
      </c>
      <c r="I1597" s="1">
        <v>50</v>
      </c>
      <c r="J1597" s="2">
        <v>0</v>
      </c>
      <c r="K1597">
        <f t="shared" si="72"/>
        <v>0</v>
      </c>
      <c r="L1597">
        <f t="shared" si="73"/>
        <v>50</v>
      </c>
      <c r="M1597" t="str">
        <f t="shared" si="74"/>
        <v>Jul-2017</v>
      </c>
    </row>
    <row r="1598" spans="1:13" x14ac:dyDescent="0.3">
      <c r="A1598" t="s">
        <v>2173</v>
      </c>
      <c r="B1598" s="1" t="s">
        <v>154</v>
      </c>
      <c r="C1598" s="1" t="s">
        <v>108</v>
      </c>
      <c r="D1598" s="1" t="s">
        <v>19</v>
      </c>
      <c r="E1598" s="5">
        <v>42598</v>
      </c>
      <c r="F1598" s="3" t="s">
        <v>72</v>
      </c>
      <c r="G1598" s="1" t="s">
        <v>155</v>
      </c>
      <c r="H1598" s="1">
        <v>500</v>
      </c>
      <c r="I1598" s="1">
        <v>500</v>
      </c>
      <c r="J1598" s="2">
        <v>0</v>
      </c>
      <c r="K1598">
        <f t="shared" si="72"/>
        <v>0</v>
      </c>
      <c r="L1598">
        <f t="shared" si="73"/>
        <v>500</v>
      </c>
      <c r="M1598" t="str">
        <f t="shared" si="74"/>
        <v>Aug-2016</v>
      </c>
    </row>
    <row r="1599" spans="1:13" x14ac:dyDescent="0.3">
      <c r="A1599" t="s">
        <v>2174</v>
      </c>
      <c r="B1599" s="1" t="s">
        <v>289</v>
      </c>
      <c r="C1599" s="1" t="s">
        <v>108</v>
      </c>
      <c r="D1599" s="1" t="s">
        <v>19</v>
      </c>
      <c r="E1599" s="5">
        <v>43361</v>
      </c>
      <c r="F1599" s="3" t="s">
        <v>72</v>
      </c>
      <c r="G1599" s="1" t="s">
        <v>346</v>
      </c>
      <c r="H1599" s="1">
        <v>500</v>
      </c>
      <c r="I1599" s="1">
        <v>495</v>
      </c>
      <c r="J1599" s="2">
        <v>0.01</v>
      </c>
      <c r="K1599">
        <f t="shared" si="72"/>
        <v>4.95</v>
      </c>
      <c r="L1599">
        <f t="shared" si="73"/>
        <v>490.05</v>
      </c>
      <c r="M1599" t="str">
        <f t="shared" si="74"/>
        <v>Sep-2018</v>
      </c>
    </row>
    <row r="1600" spans="1:13" x14ac:dyDescent="0.3">
      <c r="A1600" t="s">
        <v>2175</v>
      </c>
      <c r="B1600" s="1" t="s">
        <v>22</v>
      </c>
      <c r="C1600" s="1" t="s">
        <v>23</v>
      </c>
      <c r="D1600" s="1" t="s">
        <v>24</v>
      </c>
      <c r="E1600" s="5">
        <v>41930</v>
      </c>
      <c r="F1600" s="3" t="s">
        <v>46</v>
      </c>
      <c r="G1600" s="1" t="s">
        <v>310</v>
      </c>
      <c r="H1600" s="1">
        <v>500</v>
      </c>
      <c r="I1600" s="1">
        <v>485</v>
      </c>
      <c r="J1600" s="2">
        <v>0.03</v>
      </c>
      <c r="K1600">
        <f t="shared" si="72"/>
        <v>14.549999999999999</v>
      </c>
      <c r="L1600">
        <f t="shared" si="73"/>
        <v>470.45</v>
      </c>
      <c r="M1600" t="str">
        <f t="shared" si="74"/>
        <v>Oct-2014</v>
      </c>
    </row>
    <row r="1601" spans="1:13" x14ac:dyDescent="0.3">
      <c r="A1601" t="s">
        <v>2176</v>
      </c>
      <c r="B1601" s="1" t="s">
        <v>255</v>
      </c>
      <c r="C1601" s="1" t="s">
        <v>256</v>
      </c>
      <c r="D1601" s="1" t="s">
        <v>13</v>
      </c>
      <c r="E1601" s="5">
        <v>42137</v>
      </c>
      <c r="F1601" s="3" t="s">
        <v>41</v>
      </c>
      <c r="G1601" s="1" t="s">
        <v>522</v>
      </c>
      <c r="H1601" s="1">
        <v>30</v>
      </c>
      <c r="I1601" s="1">
        <v>23</v>
      </c>
      <c r="J1601" s="2">
        <v>0.23330000000000001</v>
      </c>
      <c r="K1601">
        <f t="shared" si="72"/>
        <v>5.3658999999999999</v>
      </c>
      <c r="L1601">
        <f t="shared" si="73"/>
        <v>17.6341</v>
      </c>
      <c r="M1601" t="str">
        <f t="shared" si="74"/>
        <v>May-2015</v>
      </c>
    </row>
    <row r="1602" spans="1:13" x14ac:dyDescent="0.3">
      <c r="A1602" t="s">
        <v>2177</v>
      </c>
      <c r="B1602" s="1" t="s">
        <v>434</v>
      </c>
      <c r="C1602" s="1" t="s">
        <v>435</v>
      </c>
      <c r="D1602" s="1" t="s">
        <v>24</v>
      </c>
      <c r="E1602" s="5">
        <v>42485</v>
      </c>
      <c r="F1602" s="3" t="s">
        <v>122</v>
      </c>
      <c r="G1602" s="1" t="s">
        <v>550</v>
      </c>
      <c r="H1602" s="1">
        <v>50</v>
      </c>
      <c r="I1602" s="1">
        <v>50</v>
      </c>
      <c r="J1602" s="2">
        <v>0</v>
      </c>
      <c r="K1602">
        <f t="shared" si="72"/>
        <v>0</v>
      </c>
      <c r="L1602">
        <f t="shared" si="73"/>
        <v>50</v>
      </c>
      <c r="M1602" t="str">
        <f t="shared" si="74"/>
        <v>Apr-2016</v>
      </c>
    </row>
    <row r="1603" spans="1:13" x14ac:dyDescent="0.3">
      <c r="A1603" t="s">
        <v>2178</v>
      </c>
      <c r="B1603" s="1" t="s">
        <v>53</v>
      </c>
      <c r="C1603" s="1" t="s">
        <v>54</v>
      </c>
      <c r="D1603" s="1" t="s">
        <v>13</v>
      </c>
      <c r="E1603" s="5">
        <v>42879</v>
      </c>
      <c r="F1603" s="3" t="s">
        <v>122</v>
      </c>
      <c r="G1603" s="1" t="s">
        <v>56</v>
      </c>
      <c r="H1603" s="1">
        <v>50</v>
      </c>
      <c r="I1603" s="1">
        <v>48</v>
      </c>
      <c r="J1603" s="2">
        <v>0.04</v>
      </c>
      <c r="K1603">
        <f t="shared" si="72"/>
        <v>1.92</v>
      </c>
      <c r="L1603">
        <f t="shared" si="73"/>
        <v>46.08</v>
      </c>
      <c r="M1603" t="str">
        <f t="shared" si="74"/>
        <v>May-2017</v>
      </c>
    </row>
    <row r="1604" spans="1:13" x14ac:dyDescent="0.3">
      <c r="A1604" t="s">
        <v>2179</v>
      </c>
      <c r="B1604" s="1" t="s">
        <v>170</v>
      </c>
      <c r="C1604" s="1" t="s">
        <v>171</v>
      </c>
      <c r="D1604" s="1" t="s">
        <v>13</v>
      </c>
      <c r="E1604" s="5">
        <v>43272</v>
      </c>
      <c r="F1604" s="3" t="s">
        <v>115</v>
      </c>
      <c r="G1604" s="1" t="s">
        <v>172</v>
      </c>
      <c r="H1604" s="1">
        <v>250</v>
      </c>
      <c r="I1604" s="1">
        <v>160</v>
      </c>
      <c r="J1604" s="2">
        <v>0.36</v>
      </c>
      <c r="K1604">
        <f t="shared" ref="K1604:K1667" si="75">I1604*J1604</f>
        <v>57.599999999999994</v>
      </c>
      <c r="L1604">
        <f t="shared" ref="L1604:L1667" si="76">I1604-K1604</f>
        <v>102.4</v>
      </c>
      <c r="M1604" t="str">
        <f t="shared" ref="M1604:M1667" si="77">TEXT(E1604, "mmm-yyyy")</f>
        <v>Jun-2018</v>
      </c>
    </row>
    <row r="1605" spans="1:13" x14ac:dyDescent="0.3">
      <c r="A1605" t="s">
        <v>2180</v>
      </c>
      <c r="B1605" s="1" t="s">
        <v>150</v>
      </c>
      <c r="C1605" s="1" t="s">
        <v>151</v>
      </c>
      <c r="D1605" s="1" t="s">
        <v>13</v>
      </c>
      <c r="E1605" s="5">
        <v>42873</v>
      </c>
      <c r="F1605" s="3" t="s">
        <v>30</v>
      </c>
      <c r="G1605" s="1" t="s">
        <v>771</v>
      </c>
      <c r="H1605" s="1">
        <v>150</v>
      </c>
      <c r="I1605" s="1">
        <v>140</v>
      </c>
      <c r="J1605" s="2">
        <v>6.6699999999999995E-2</v>
      </c>
      <c r="K1605">
        <f t="shared" si="75"/>
        <v>9.3379999999999992</v>
      </c>
      <c r="L1605">
        <f t="shared" si="76"/>
        <v>130.66200000000001</v>
      </c>
      <c r="M1605" t="str">
        <f t="shared" si="77"/>
        <v>May-2017</v>
      </c>
    </row>
    <row r="1606" spans="1:13" x14ac:dyDescent="0.3">
      <c r="A1606" t="s">
        <v>2181</v>
      </c>
      <c r="B1606" s="1" t="s">
        <v>111</v>
      </c>
      <c r="C1606" s="1" t="s">
        <v>82</v>
      </c>
      <c r="D1606" s="1" t="s">
        <v>13</v>
      </c>
      <c r="E1606" s="5">
        <v>41722</v>
      </c>
      <c r="F1606" s="3" t="s">
        <v>122</v>
      </c>
      <c r="G1606" s="1" t="s">
        <v>826</v>
      </c>
      <c r="H1606" s="1">
        <v>50</v>
      </c>
      <c r="I1606" s="1">
        <v>42</v>
      </c>
      <c r="J1606" s="2">
        <v>0.16</v>
      </c>
      <c r="K1606">
        <f t="shared" si="75"/>
        <v>6.72</v>
      </c>
      <c r="L1606">
        <f t="shared" si="76"/>
        <v>35.28</v>
      </c>
      <c r="M1606" t="str">
        <f t="shared" si="77"/>
        <v>Mar-2014</v>
      </c>
    </row>
    <row r="1607" spans="1:13" x14ac:dyDescent="0.3">
      <c r="A1607" t="s">
        <v>2182</v>
      </c>
      <c r="B1607" s="1" t="s">
        <v>2170</v>
      </c>
      <c r="C1607" s="1" t="s">
        <v>18</v>
      </c>
      <c r="D1607" s="1" t="s">
        <v>19</v>
      </c>
      <c r="E1607" s="5">
        <v>43359</v>
      </c>
      <c r="F1607" s="3" t="s">
        <v>41</v>
      </c>
      <c r="G1607" s="1" t="s">
        <v>2183</v>
      </c>
      <c r="H1607" s="1">
        <v>30</v>
      </c>
      <c r="I1607" s="1">
        <v>29</v>
      </c>
      <c r="J1607" s="2">
        <v>3.3300000000000003E-2</v>
      </c>
      <c r="K1607">
        <f t="shared" si="75"/>
        <v>0.96570000000000011</v>
      </c>
      <c r="L1607">
        <f t="shared" si="76"/>
        <v>28.034299999999998</v>
      </c>
      <c r="M1607" t="str">
        <f t="shared" si="77"/>
        <v>Sep-2018</v>
      </c>
    </row>
    <row r="1608" spans="1:13" x14ac:dyDescent="0.3">
      <c r="A1608" t="s">
        <v>2184</v>
      </c>
      <c r="B1608" s="1" t="s">
        <v>118</v>
      </c>
      <c r="C1608" s="1" t="s">
        <v>119</v>
      </c>
      <c r="D1608" s="1" t="s">
        <v>35</v>
      </c>
      <c r="E1608" s="5">
        <v>42393</v>
      </c>
      <c r="F1608" s="3" t="s">
        <v>61</v>
      </c>
      <c r="G1608" s="1" t="s">
        <v>583</v>
      </c>
      <c r="H1608" s="1">
        <v>1000</v>
      </c>
      <c r="I1608" s="1">
        <v>580</v>
      </c>
      <c r="J1608" s="2">
        <v>0.42</v>
      </c>
      <c r="K1608">
        <f t="shared" si="75"/>
        <v>243.6</v>
      </c>
      <c r="L1608">
        <f t="shared" si="76"/>
        <v>336.4</v>
      </c>
      <c r="M1608" t="str">
        <f t="shared" si="77"/>
        <v>Jan-2016</v>
      </c>
    </row>
    <row r="1609" spans="1:13" x14ac:dyDescent="0.3">
      <c r="A1609" t="s">
        <v>2185</v>
      </c>
      <c r="B1609" s="1" t="s">
        <v>134</v>
      </c>
      <c r="C1609" s="1" t="s">
        <v>92</v>
      </c>
      <c r="D1609" s="1" t="s">
        <v>35</v>
      </c>
      <c r="E1609" s="5">
        <v>42428</v>
      </c>
      <c r="F1609" s="3" t="s">
        <v>61</v>
      </c>
      <c r="G1609" s="1" t="s">
        <v>135</v>
      </c>
      <c r="H1609" s="1">
        <v>1000</v>
      </c>
      <c r="I1609" s="1">
        <v>880</v>
      </c>
      <c r="J1609" s="2">
        <v>0.12</v>
      </c>
      <c r="K1609">
        <f t="shared" si="75"/>
        <v>105.6</v>
      </c>
      <c r="L1609">
        <f t="shared" si="76"/>
        <v>774.4</v>
      </c>
      <c r="M1609" t="str">
        <f t="shared" si="77"/>
        <v>Feb-2016</v>
      </c>
    </row>
    <row r="1610" spans="1:13" x14ac:dyDescent="0.3">
      <c r="A1610" t="s">
        <v>2186</v>
      </c>
      <c r="B1610" s="1" t="s">
        <v>187</v>
      </c>
      <c r="C1610" s="1" t="s">
        <v>188</v>
      </c>
      <c r="D1610" s="1" t="s">
        <v>13</v>
      </c>
      <c r="E1610" s="5">
        <v>41964</v>
      </c>
      <c r="F1610" s="3" t="s">
        <v>104</v>
      </c>
      <c r="G1610" s="1" t="s">
        <v>683</v>
      </c>
      <c r="H1610" s="1">
        <v>70</v>
      </c>
      <c r="I1610" s="1">
        <v>52</v>
      </c>
      <c r="J1610" s="2">
        <v>0.2571</v>
      </c>
      <c r="K1610">
        <f t="shared" si="75"/>
        <v>13.369199999999999</v>
      </c>
      <c r="L1610">
        <f t="shared" si="76"/>
        <v>38.630800000000001</v>
      </c>
      <c r="M1610" t="str">
        <f t="shared" si="77"/>
        <v>Nov-2014</v>
      </c>
    </row>
    <row r="1611" spans="1:13" x14ac:dyDescent="0.3">
      <c r="A1611" t="s">
        <v>2187</v>
      </c>
      <c r="B1611" s="1" t="s">
        <v>400</v>
      </c>
      <c r="C1611" s="1" t="s">
        <v>401</v>
      </c>
      <c r="D1611" s="1" t="s">
        <v>13</v>
      </c>
      <c r="E1611" s="5">
        <v>42123</v>
      </c>
      <c r="F1611" s="3" t="s">
        <v>122</v>
      </c>
      <c r="G1611" s="1" t="s">
        <v>2188</v>
      </c>
      <c r="H1611" s="1">
        <v>50</v>
      </c>
      <c r="I1611" s="1">
        <v>37</v>
      </c>
      <c r="J1611" s="2">
        <v>0.26</v>
      </c>
      <c r="K1611">
        <f t="shared" si="75"/>
        <v>9.620000000000001</v>
      </c>
      <c r="L1611">
        <f t="shared" si="76"/>
        <v>27.38</v>
      </c>
      <c r="M1611" t="str">
        <f t="shared" si="77"/>
        <v>Apr-2015</v>
      </c>
    </row>
    <row r="1612" spans="1:13" x14ac:dyDescent="0.3">
      <c r="A1612" t="s">
        <v>2189</v>
      </c>
      <c r="B1612" s="1" t="s">
        <v>224</v>
      </c>
      <c r="C1612" s="1" t="s">
        <v>50</v>
      </c>
      <c r="D1612" s="1" t="s">
        <v>24</v>
      </c>
      <c r="E1612" s="5">
        <v>41696</v>
      </c>
      <c r="F1612" s="3" t="s">
        <v>36</v>
      </c>
      <c r="G1612" s="1" t="s">
        <v>1239</v>
      </c>
      <c r="H1612" s="1">
        <v>50</v>
      </c>
      <c r="I1612" s="1">
        <v>50</v>
      </c>
      <c r="J1612" s="2">
        <v>0</v>
      </c>
      <c r="K1612">
        <f t="shared" si="75"/>
        <v>0</v>
      </c>
      <c r="L1612">
        <f t="shared" si="76"/>
        <v>50</v>
      </c>
      <c r="M1612" t="str">
        <f t="shared" si="77"/>
        <v>Feb-2014</v>
      </c>
    </row>
    <row r="1613" spans="1:13" x14ac:dyDescent="0.3">
      <c r="A1613" t="s">
        <v>2190</v>
      </c>
      <c r="B1613" s="1" t="s">
        <v>2191</v>
      </c>
      <c r="C1613" s="1" t="s">
        <v>108</v>
      </c>
      <c r="D1613" s="1" t="s">
        <v>19</v>
      </c>
      <c r="E1613" s="5">
        <v>42667</v>
      </c>
      <c r="F1613" s="3" t="s">
        <v>104</v>
      </c>
      <c r="G1613" s="1" t="s">
        <v>2192</v>
      </c>
      <c r="H1613" s="1">
        <v>70</v>
      </c>
      <c r="I1613" s="1">
        <v>67</v>
      </c>
      <c r="J1613" s="2">
        <v>4.2900000000000001E-2</v>
      </c>
      <c r="K1613">
        <f t="shared" si="75"/>
        <v>2.8742999999999999</v>
      </c>
      <c r="L1613">
        <f t="shared" si="76"/>
        <v>64.125699999999995</v>
      </c>
      <c r="M1613" t="str">
        <f t="shared" si="77"/>
        <v>Oct-2016</v>
      </c>
    </row>
    <row r="1614" spans="1:13" x14ac:dyDescent="0.3">
      <c r="A1614" t="s">
        <v>2193</v>
      </c>
      <c r="B1614" s="1" t="s">
        <v>289</v>
      </c>
      <c r="C1614" s="1" t="s">
        <v>108</v>
      </c>
      <c r="D1614" s="1" t="s">
        <v>19</v>
      </c>
      <c r="E1614" s="5">
        <v>43370</v>
      </c>
      <c r="F1614" s="3" t="s">
        <v>36</v>
      </c>
      <c r="G1614" s="1" t="s">
        <v>1129</v>
      </c>
      <c r="H1614" s="1">
        <v>50</v>
      </c>
      <c r="I1614" s="1">
        <v>50</v>
      </c>
      <c r="J1614" s="2">
        <v>0</v>
      </c>
      <c r="K1614">
        <f t="shared" si="75"/>
        <v>0</v>
      </c>
      <c r="L1614">
        <f t="shared" si="76"/>
        <v>50</v>
      </c>
      <c r="M1614" t="str">
        <f t="shared" si="77"/>
        <v>Sep-2018</v>
      </c>
    </row>
    <row r="1615" spans="1:13" x14ac:dyDescent="0.3">
      <c r="A1615" t="s">
        <v>2194</v>
      </c>
      <c r="B1615" s="1" t="s">
        <v>91</v>
      </c>
      <c r="C1615" s="1" t="s">
        <v>92</v>
      </c>
      <c r="D1615" s="1" t="s">
        <v>35</v>
      </c>
      <c r="E1615" s="5">
        <v>42613</v>
      </c>
      <c r="F1615" s="3" t="s">
        <v>104</v>
      </c>
      <c r="G1615" s="1" t="s">
        <v>1513</v>
      </c>
      <c r="H1615" s="1">
        <v>70</v>
      </c>
      <c r="I1615" s="1">
        <v>66</v>
      </c>
      <c r="J1615" s="2">
        <v>5.7099999999999998E-2</v>
      </c>
      <c r="K1615">
        <f t="shared" si="75"/>
        <v>3.7685999999999997</v>
      </c>
      <c r="L1615">
        <f t="shared" si="76"/>
        <v>62.231400000000001</v>
      </c>
      <c r="M1615" t="str">
        <f t="shared" si="77"/>
        <v>Aug-2016</v>
      </c>
    </row>
    <row r="1616" spans="1:13" x14ac:dyDescent="0.3">
      <c r="A1616" t="s">
        <v>2195</v>
      </c>
      <c r="B1616" s="1" t="s">
        <v>400</v>
      </c>
      <c r="C1616" s="1" t="s">
        <v>401</v>
      </c>
      <c r="D1616" s="1" t="s">
        <v>13</v>
      </c>
      <c r="E1616" s="5">
        <v>43115</v>
      </c>
      <c r="F1616" s="3" t="s">
        <v>122</v>
      </c>
      <c r="G1616" s="1" t="s">
        <v>1281</v>
      </c>
      <c r="H1616" s="1">
        <v>50</v>
      </c>
      <c r="I1616" s="1">
        <v>42</v>
      </c>
      <c r="J1616" s="2">
        <v>0.16</v>
      </c>
      <c r="K1616">
        <f t="shared" si="75"/>
        <v>6.72</v>
      </c>
      <c r="L1616">
        <f t="shared" si="76"/>
        <v>35.28</v>
      </c>
      <c r="M1616" t="str">
        <f t="shared" si="77"/>
        <v>Jan-2018</v>
      </c>
    </row>
    <row r="1617" spans="1:13" x14ac:dyDescent="0.3">
      <c r="A1617" t="s">
        <v>2196</v>
      </c>
      <c r="B1617" s="1" t="s">
        <v>434</v>
      </c>
      <c r="C1617" s="1" t="s">
        <v>435</v>
      </c>
      <c r="D1617" s="1" t="s">
        <v>24</v>
      </c>
      <c r="E1617" s="5">
        <v>43239</v>
      </c>
      <c r="F1617" s="3" t="s">
        <v>14</v>
      </c>
      <c r="G1617" s="1" t="s">
        <v>764</v>
      </c>
      <c r="H1617" s="1">
        <v>80</v>
      </c>
      <c r="I1617" s="1">
        <v>78</v>
      </c>
      <c r="J1617" s="2">
        <v>2.5000000000000001E-2</v>
      </c>
      <c r="K1617">
        <f t="shared" si="75"/>
        <v>1.9500000000000002</v>
      </c>
      <c r="L1617">
        <f t="shared" si="76"/>
        <v>76.05</v>
      </c>
      <c r="M1617" t="str">
        <f t="shared" si="77"/>
        <v>May-2018</v>
      </c>
    </row>
    <row r="1618" spans="1:13" x14ac:dyDescent="0.3">
      <c r="A1618" t="s">
        <v>2197</v>
      </c>
      <c r="B1618" s="1" t="s">
        <v>324</v>
      </c>
      <c r="C1618" s="1" t="s">
        <v>325</v>
      </c>
      <c r="D1618" s="1" t="s">
        <v>13</v>
      </c>
      <c r="E1618" s="5">
        <v>42268</v>
      </c>
      <c r="F1618" s="3" t="s">
        <v>61</v>
      </c>
      <c r="G1618" s="1" t="s">
        <v>1192</v>
      </c>
      <c r="H1618" s="1">
        <v>1000</v>
      </c>
      <c r="I1618" s="1">
        <v>690</v>
      </c>
      <c r="J1618" s="2">
        <v>0.31</v>
      </c>
      <c r="K1618">
        <f t="shared" si="75"/>
        <v>213.9</v>
      </c>
      <c r="L1618">
        <f t="shared" si="76"/>
        <v>476.1</v>
      </c>
      <c r="M1618" t="str">
        <f t="shared" si="77"/>
        <v>Sep-2015</v>
      </c>
    </row>
    <row r="1619" spans="1:13" x14ac:dyDescent="0.3">
      <c r="A1619" t="s">
        <v>2198</v>
      </c>
      <c r="B1619" s="1" t="s">
        <v>91</v>
      </c>
      <c r="C1619" s="1" t="s">
        <v>92</v>
      </c>
      <c r="D1619" s="1" t="s">
        <v>35</v>
      </c>
      <c r="E1619" s="5">
        <v>42022</v>
      </c>
      <c r="F1619" s="3" t="s">
        <v>30</v>
      </c>
      <c r="G1619" s="1" t="s">
        <v>1155</v>
      </c>
      <c r="H1619" s="1">
        <v>150</v>
      </c>
      <c r="I1619" s="1">
        <v>138</v>
      </c>
      <c r="J1619" s="2">
        <v>0.08</v>
      </c>
      <c r="K1619">
        <f t="shared" si="75"/>
        <v>11.040000000000001</v>
      </c>
      <c r="L1619">
        <f t="shared" si="76"/>
        <v>126.96</v>
      </c>
      <c r="M1619" t="str">
        <f t="shared" si="77"/>
        <v>Jan-2015</v>
      </c>
    </row>
    <row r="1620" spans="1:13" x14ac:dyDescent="0.3">
      <c r="A1620" t="s">
        <v>2199</v>
      </c>
      <c r="B1620" s="1" t="s">
        <v>131</v>
      </c>
      <c r="C1620" s="1" t="s">
        <v>108</v>
      </c>
      <c r="D1620" s="1" t="s">
        <v>19</v>
      </c>
      <c r="E1620" s="5">
        <v>42507</v>
      </c>
      <c r="F1620" s="3" t="s">
        <v>104</v>
      </c>
      <c r="G1620" s="1" t="s">
        <v>132</v>
      </c>
      <c r="H1620" s="1">
        <v>70</v>
      </c>
      <c r="I1620" s="1">
        <v>68</v>
      </c>
      <c r="J1620" s="2">
        <v>2.86E-2</v>
      </c>
      <c r="K1620">
        <f t="shared" si="75"/>
        <v>1.9448000000000001</v>
      </c>
      <c r="L1620">
        <f t="shared" si="76"/>
        <v>66.055199999999999</v>
      </c>
      <c r="M1620" t="str">
        <f t="shared" si="77"/>
        <v>May-2016</v>
      </c>
    </row>
    <row r="1621" spans="1:13" x14ac:dyDescent="0.3">
      <c r="A1621" t="s">
        <v>2200</v>
      </c>
      <c r="B1621" s="1" t="s">
        <v>2191</v>
      </c>
      <c r="C1621" s="1" t="s">
        <v>108</v>
      </c>
      <c r="D1621" s="1" t="s">
        <v>19</v>
      </c>
      <c r="E1621" s="5">
        <v>42050</v>
      </c>
      <c r="F1621" s="3" t="s">
        <v>72</v>
      </c>
      <c r="G1621" s="1" t="s">
        <v>2201</v>
      </c>
      <c r="H1621" s="1">
        <v>500</v>
      </c>
      <c r="I1621" s="1">
        <v>490</v>
      </c>
      <c r="J1621" s="2">
        <v>0.02</v>
      </c>
      <c r="K1621">
        <f t="shared" si="75"/>
        <v>9.8000000000000007</v>
      </c>
      <c r="L1621">
        <f t="shared" si="76"/>
        <v>480.2</v>
      </c>
      <c r="M1621" t="str">
        <f t="shared" si="77"/>
        <v>Feb-2015</v>
      </c>
    </row>
    <row r="1622" spans="1:13" x14ac:dyDescent="0.3">
      <c r="A1622" t="s">
        <v>2202</v>
      </c>
      <c r="B1622" s="1" t="s">
        <v>170</v>
      </c>
      <c r="C1622" s="1" t="s">
        <v>171</v>
      </c>
      <c r="D1622" s="1" t="s">
        <v>13</v>
      </c>
      <c r="E1622" s="5">
        <v>42757</v>
      </c>
      <c r="F1622" s="3" t="s">
        <v>41</v>
      </c>
      <c r="G1622" s="1" t="s">
        <v>941</v>
      </c>
      <c r="H1622" s="1">
        <v>30</v>
      </c>
      <c r="I1622" s="1">
        <v>25</v>
      </c>
      <c r="J1622" s="2">
        <v>0.16669999999999999</v>
      </c>
      <c r="K1622">
        <f t="shared" si="75"/>
        <v>4.1674999999999995</v>
      </c>
      <c r="L1622">
        <f t="shared" si="76"/>
        <v>20.8325</v>
      </c>
      <c r="M1622" t="str">
        <f t="shared" si="77"/>
        <v>Jan-2017</v>
      </c>
    </row>
    <row r="1623" spans="1:13" x14ac:dyDescent="0.3">
      <c r="A1623" t="s">
        <v>2203</v>
      </c>
      <c r="B1623" s="1" t="s">
        <v>170</v>
      </c>
      <c r="C1623" s="1" t="s">
        <v>171</v>
      </c>
      <c r="D1623" s="1" t="s">
        <v>13</v>
      </c>
      <c r="E1623" s="5">
        <v>42513</v>
      </c>
      <c r="F1623" s="3" t="s">
        <v>55</v>
      </c>
      <c r="G1623" s="1" t="s">
        <v>172</v>
      </c>
      <c r="H1623" s="1">
        <v>800</v>
      </c>
      <c r="I1623" s="1">
        <v>576</v>
      </c>
      <c r="J1623" s="2">
        <v>0.28000000000000003</v>
      </c>
      <c r="K1623">
        <f t="shared" si="75"/>
        <v>161.28000000000003</v>
      </c>
      <c r="L1623">
        <f t="shared" si="76"/>
        <v>414.71999999999997</v>
      </c>
      <c r="M1623" t="str">
        <f t="shared" si="77"/>
        <v>May-2016</v>
      </c>
    </row>
    <row r="1624" spans="1:13" x14ac:dyDescent="0.3">
      <c r="A1624" t="s">
        <v>2204</v>
      </c>
      <c r="B1624" s="1" t="s">
        <v>270</v>
      </c>
      <c r="C1624" s="1" t="s">
        <v>271</v>
      </c>
      <c r="D1624" s="1" t="s">
        <v>35</v>
      </c>
      <c r="E1624" s="5">
        <v>42094</v>
      </c>
      <c r="F1624" s="3" t="s">
        <v>36</v>
      </c>
      <c r="G1624" s="1" t="s">
        <v>809</v>
      </c>
      <c r="H1624" s="1">
        <v>50</v>
      </c>
      <c r="I1624" s="1">
        <v>48</v>
      </c>
      <c r="J1624" s="2">
        <v>0.04</v>
      </c>
      <c r="K1624">
        <f t="shared" si="75"/>
        <v>1.92</v>
      </c>
      <c r="L1624">
        <f t="shared" si="76"/>
        <v>46.08</v>
      </c>
      <c r="M1624" t="str">
        <f t="shared" si="77"/>
        <v>Mar-2015</v>
      </c>
    </row>
    <row r="1625" spans="1:13" x14ac:dyDescent="0.3">
      <c r="A1625" t="s">
        <v>2205</v>
      </c>
      <c r="B1625" s="1" t="s">
        <v>255</v>
      </c>
      <c r="C1625" s="1" t="s">
        <v>256</v>
      </c>
      <c r="D1625" s="1" t="s">
        <v>13</v>
      </c>
      <c r="E1625" s="5">
        <v>42424</v>
      </c>
      <c r="F1625" s="3" t="s">
        <v>115</v>
      </c>
      <c r="G1625" s="1" t="s">
        <v>1345</v>
      </c>
      <c r="H1625" s="1">
        <v>250</v>
      </c>
      <c r="I1625" s="1">
        <v>233</v>
      </c>
      <c r="J1625" s="2">
        <v>6.8000000000000005E-2</v>
      </c>
      <c r="K1625">
        <f t="shared" si="75"/>
        <v>15.844000000000001</v>
      </c>
      <c r="L1625">
        <f t="shared" si="76"/>
        <v>217.15600000000001</v>
      </c>
      <c r="M1625" t="str">
        <f t="shared" si="77"/>
        <v>Feb-2016</v>
      </c>
    </row>
    <row r="1626" spans="1:13" x14ac:dyDescent="0.3">
      <c r="A1626" t="s">
        <v>2206</v>
      </c>
      <c r="B1626" s="1" t="s">
        <v>103</v>
      </c>
      <c r="C1626" s="1" t="s">
        <v>71</v>
      </c>
      <c r="D1626" s="1" t="s">
        <v>35</v>
      </c>
      <c r="E1626" s="5">
        <v>43155</v>
      </c>
      <c r="F1626" s="3" t="s">
        <v>115</v>
      </c>
      <c r="G1626" s="1" t="s">
        <v>603</v>
      </c>
      <c r="H1626" s="1">
        <v>250</v>
      </c>
      <c r="I1626" s="1">
        <v>230</v>
      </c>
      <c r="J1626" s="2">
        <v>0.08</v>
      </c>
      <c r="K1626">
        <f t="shared" si="75"/>
        <v>18.400000000000002</v>
      </c>
      <c r="L1626">
        <f t="shared" si="76"/>
        <v>211.6</v>
      </c>
      <c r="M1626" t="str">
        <f t="shared" si="77"/>
        <v>Feb-2018</v>
      </c>
    </row>
    <row r="1627" spans="1:13" x14ac:dyDescent="0.3">
      <c r="A1627" t="s">
        <v>2207</v>
      </c>
      <c r="B1627" s="1" t="s">
        <v>11</v>
      </c>
      <c r="C1627" s="1" t="s">
        <v>12</v>
      </c>
      <c r="D1627" s="1" t="s">
        <v>13</v>
      </c>
      <c r="E1627" s="5">
        <v>41987</v>
      </c>
      <c r="F1627" s="3" t="s">
        <v>25</v>
      </c>
      <c r="G1627" s="1" t="s">
        <v>276</v>
      </c>
      <c r="H1627" s="1">
        <v>700</v>
      </c>
      <c r="I1627" s="1">
        <v>679</v>
      </c>
      <c r="J1627" s="2">
        <v>0.03</v>
      </c>
      <c r="K1627">
        <f t="shared" si="75"/>
        <v>20.37</v>
      </c>
      <c r="L1627">
        <f t="shared" si="76"/>
        <v>658.63</v>
      </c>
      <c r="M1627" t="str">
        <f t="shared" si="77"/>
        <v>Dec-2014</v>
      </c>
    </row>
    <row r="1628" spans="1:13" x14ac:dyDescent="0.3">
      <c r="A1628" t="s">
        <v>2208</v>
      </c>
      <c r="B1628" s="1" t="s">
        <v>174</v>
      </c>
      <c r="C1628" s="1" t="s">
        <v>175</v>
      </c>
      <c r="D1628" s="1" t="s">
        <v>13</v>
      </c>
      <c r="E1628" s="5">
        <v>42668</v>
      </c>
      <c r="F1628" s="3" t="s">
        <v>36</v>
      </c>
      <c r="G1628" s="1" t="s">
        <v>1456</v>
      </c>
      <c r="H1628" s="1">
        <v>50</v>
      </c>
      <c r="I1628" s="1">
        <v>44</v>
      </c>
      <c r="J1628" s="2">
        <v>0.12</v>
      </c>
      <c r="K1628">
        <f t="shared" si="75"/>
        <v>5.2799999999999994</v>
      </c>
      <c r="L1628">
        <f t="shared" si="76"/>
        <v>38.72</v>
      </c>
      <c r="M1628" t="str">
        <f t="shared" si="77"/>
        <v>Oct-2016</v>
      </c>
    </row>
    <row r="1629" spans="1:13" x14ac:dyDescent="0.3">
      <c r="A1629" t="s">
        <v>2209</v>
      </c>
      <c r="B1629" s="1" t="s">
        <v>111</v>
      </c>
      <c r="C1629" s="1" t="s">
        <v>82</v>
      </c>
      <c r="D1629" s="1" t="s">
        <v>13</v>
      </c>
      <c r="E1629" s="5">
        <v>43116</v>
      </c>
      <c r="F1629" s="3" t="s">
        <v>41</v>
      </c>
      <c r="G1629" s="1" t="s">
        <v>456</v>
      </c>
      <c r="H1629" s="1">
        <v>30</v>
      </c>
      <c r="I1629" s="1">
        <v>29</v>
      </c>
      <c r="J1629" s="2">
        <v>3.3300000000000003E-2</v>
      </c>
      <c r="K1629">
        <f t="shared" si="75"/>
        <v>0.96570000000000011</v>
      </c>
      <c r="L1629">
        <f t="shared" si="76"/>
        <v>28.034299999999998</v>
      </c>
      <c r="M1629" t="str">
        <f t="shared" si="77"/>
        <v>Jan-2018</v>
      </c>
    </row>
    <row r="1630" spans="1:13" x14ac:dyDescent="0.3">
      <c r="A1630" t="s">
        <v>2210</v>
      </c>
      <c r="B1630" s="1" t="s">
        <v>81</v>
      </c>
      <c r="C1630" s="1" t="s">
        <v>82</v>
      </c>
      <c r="D1630" s="1" t="s">
        <v>13</v>
      </c>
      <c r="E1630" s="5">
        <v>42207</v>
      </c>
      <c r="F1630" s="3" t="s">
        <v>25</v>
      </c>
      <c r="G1630" s="1" t="s">
        <v>1493</v>
      </c>
      <c r="H1630" s="1">
        <v>700</v>
      </c>
      <c r="I1630" s="1">
        <v>462</v>
      </c>
      <c r="J1630" s="2">
        <v>0.34</v>
      </c>
      <c r="K1630">
        <f t="shared" si="75"/>
        <v>157.08000000000001</v>
      </c>
      <c r="L1630">
        <f t="shared" si="76"/>
        <v>304.91999999999996</v>
      </c>
      <c r="M1630" t="str">
        <f t="shared" si="77"/>
        <v>Jul-2015</v>
      </c>
    </row>
    <row r="1631" spans="1:13" x14ac:dyDescent="0.3">
      <c r="A1631" t="s">
        <v>2211</v>
      </c>
      <c r="B1631" s="1" t="s">
        <v>70</v>
      </c>
      <c r="C1631" s="1" t="s">
        <v>71</v>
      </c>
      <c r="D1631" s="1" t="s">
        <v>35</v>
      </c>
      <c r="E1631" s="5">
        <v>42115</v>
      </c>
      <c r="F1631" s="3" t="s">
        <v>61</v>
      </c>
      <c r="G1631" s="1" t="s">
        <v>962</v>
      </c>
      <c r="H1631" s="1">
        <v>1000</v>
      </c>
      <c r="I1631" s="1">
        <v>860</v>
      </c>
      <c r="J1631" s="2">
        <v>0.14000000000000001</v>
      </c>
      <c r="K1631">
        <f t="shared" si="75"/>
        <v>120.4</v>
      </c>
      <c r="L1631">
        <f t="shared" si="76"/>
        <v>739.6</v>
      </c>
      <c r="M1631" t="str">
        <f t="shared" si="77"/>
        <v>Apr-2015</v>
      </c>
    </row>
    <row r="1632" spans="1:13" x14ac:dyDescent="0.3">
      <c r="A1632" t="s">
        <v>2212</v>
      </c>
      <c r="B1632" s="1" t="s">
        <v>22</v>
      </c>
      <c r="C1632" s="1" t="s">
        <v>23</v>
      </c>
      <c r="D1632" s="1" t="s">
        <v>24</v>
      </c>
      <c r="E1632" s="5">
        <v>42726</v>
      </c>
      <c r="F1632" s="3" t="s">
        <v>122</v>
      </c>
      <c r="G1632" s="1" t="s">
        <v>26</v>
      </c>
      <c r="H1632" s="1">
        <v>50</v>
      </c>
      <c r="I1632" s="1">
        <v>37</v>
      </c>
      <c r="J1632" s="2">
        <v>0.26</v>
      </c>
      <c r="K1632">
        <f t="shared" si="75"/>
        <v>9.620000000000001</v>
      </c>
      <c r="L1632">
        <f t="shared" si="76"/>
        <v>27.38</v>
      </c>
      <c r="M1632" t="str">
        <f t="shared" si="77"/>
        <v>Dec-2016</v>
      </c>
    </row>
    <row r="1633" spans="1:13" x14ac:dyDescent="0.3">
      <c r="A1633" t="s">
        <v>2213</v>
      </c>
      <c r="B1633" s="1" t="s">
        <v>170</v>
      </c>
      <c r="C1633" s="1" t="s">
        <v>171</v>
      </c>
      <c r="D1633" s="1" t="s">
        <v>13</v>
      </c>
      <c r="E1633" s="5">
        <v>43300</v>
      </c>
      <c r="F1633" s="3" t="s">
        <v>115</v>
      </c>
      <c r="G1633" s="1" t="s">
        <v>1864</v>
      </c>
      <c r="H1633" s="1">
        <v>250</v>
      </c>
      <c r="I1633" s="1">
        <v>173</v>
      </c>
      <c r="J1633" s="2">
        <v>0.308</v>
      </c>
      <c r="K1633">
        <f t="shared" si="75"/>
        <v>53.283999999999999</v>
      </c>
      <c r="L1633">
        <f t="shared" si="76"/>
        <v>119.71600000000001</v>
      </c>
      <c r="M1633" t="str">
        <f t="shared" si="77"/>
        <v>Jul-2018</v>
      </c>
    </row>
    <row r="1634" spans="1:13" x14ac:dyDescent="0.3">
      <c r="A1634" t="s">
        <v>2214</v>
      </c>
      <c r="B1634" s="1" t="s">
        <v>400</v>
      </c>
      <c r="C1634" s="1" t="s">
        <v>401</v>
      </c>
      <c r="D1634" s="1" t="s">
        <v>13</v>
      </c>
      <c r="E1634" s="5">
        <v>42875</v>
      </c>
      <c r="F1634" s="3" t="s">
        <v>25</v>
      </c>
      <c r="G1634" s="1" t="s">
        <v>1281</v>
      </c>
      <c r="H1634" s="1">
        <v>700</v>
      </c>
      <c r="I1634" s="1">
        <v>637</v>
      </c>
      <c r="J1634" s="2">
        <v>0.09</v>
      </c>
      <c r="K1634">
        <f t="shared" si="75"/>
        <v>57.33</v>
      </c>
      <c r="L1634">
        <f t="shared" si="76"/>
        <v>579.66999999999996</v>
      </c>
      <c r="M1634" t="str">
        <f t="shared" si="77"/>
        <v>May-2017</v>
      </c>
    </row>
    <row r="1635" spans="1:13" x14ac:dyDescent="0.3">
      <c r="A1635" t="s">
        <v>2215</v>
      </c>
      <c r="B1635" s="1" t="s">
        <v>2191</v>
      </c>
      <c r="C1635" s="1" t="s">
        <v>108</v>
      </c>
      <c r="D1635" s="1" t="s">
        <v>19</v>
      </c>
      <c r="E1635" s="5">
        <v>42847</v>
      </c>
      <c r="F1635" s="3" t="s">
        <v>104</v>
      </c>
      <c r="G1635" s="1" t="s">
        <v>2192</v>
      </c>
      <c r="H1635" s="1">
        <v>70</v>
      </c>
      <c r="I1635" s="1">
        <v>48</v>
      </c>
      <c r="J1635" s="2">
        <v>0.31430000000000002</v>
      </c>
      <c r="K1635">
        <f t="shared" si="75"/>
        <v>15.086400000000001</v>
      </c>
      <c r="L1635">
        <f t="shared" si="76"/>
        <v>32.913600000000002</v>
      </c>
      <c r="M1635" t="str">
        <f t="shared" si="77"/>
        <v>Apr-2017</v>
      </c>
    </row>
    <row r="1636" spans="1:13" x14ac:dyDescent="0.3">
      <c r="A1636" t="s">
        <v>2216</v>
      </c>
      <c r="B1636" s="1" t="s">
        <v>17</v>
      </c>
      <c r="C1636" s="1" t="s">
        <v>18</v>
      </c>
      <c r="D1636" s="1" t="s">
        <v>19</v>
      </c>
      <c r="E1636" s="5">
        <v>41869</v>
      </c>
      <c r="F1636" s="3" t="s">
        <v>104</v>
      </c>
      <c r="G1636" s="1" t="s">
        <v>543</v>
      </c>
      <c r="H1636" s="1">
        <v>70</v>
      </c>
      <c r="I1636" s="1">
        <v>43</v>
      </c>
      <c r="J1636" s="2">
        <v>0.38569999999999999</v>
      </c>
      <c r="K1636">
        <f t="shared" si="75"/>
        <v>16.585100000000001</v>
      </c>
      <c r="L1636">
        <f t="shared" si="76"/>
        <v>26.414899999999999</v>
      </c>
      <c r="M1636" t="str">
        <f t="shared" si="77"/>
        <v>Aug-2014</v>
      </c>
    </row>
    <row r="1637" spans="1:13" x14ac:dyDescent="0.3">
      <c r="A1637" t="s">
        <v>2217</v>
      </c>
      <c r="B1637" s="1" t="s">
        <v>39</v>
      </c>
      <c r="C1637" s="1" t="s">
        <v>40</v>
      </c>
      <c r="D1637" s="1" t="s">
        <v>35</v>
      </c>
      <c r="E1637" s="5">
        <v>41747</v>
      </c>
      <c r="F1637" s="3" t="s">
        <v>41</v>
      </c>
      <c r="G1637" s="1" t="s">
        <v>1304</v>
      </c>
      <c r="H1637" s="1">
        <v>30</v>
      </c>
      <c r="I1637" s="1">
        <v>21</v>
      </c>
      <c r="J1637" s="2">
        <v>0.3</v>
      </c>
      <c r="K1637">
        <f t="shared" si="75"/>
        <v>6.3</v>
      </c>
      <c r="L1637">
        <f t="shared" si="76"/>
        <v>14.7</v>
      </c>
      <c r="M1637" t="str">
        <f t="shared" si="77"/>
        <v>Apr-2014</v>
      </c>
    </row>
    <row r="1638" spans="1:13" x14ac:dyDescent="0.3">
      <c r="A1638" t="s">
        <v>2218</v>
      </c>
      <c r="B1638" s="1" t="s">
        <v>174</v>
      </c>
      <c r="C1638" s="1" t="s">
        <v>175</v>
      </c>
      <c r="D1638" s="1" t="s">
        <v>13</v>
      </c>
      <c r="E1638" s="5">
        <v>43456</v>
      </c>
      <c r="F1638" s="3" t="s">
        <v>30</v>
      </c>
      <c r="G1638" s="1" t="s">
        <v>219</v>
      </c>
      <c r="H1638" s="1">
        <v>150</v>
      </c>
      <c r="I1638" s="1">
        <v>107</v>
      </c>
      <c r="J1638" s="2">
        <v>0.28670000000000001</v>
      </c>
      <c r="K1638">
        <f t="shared" si="75"/>
        <v>30.6769</v>
      </c>
      <c r="L1638">
        <f t="shared" si="76"/>
        <v>76.323099999999997</v>
      </c>
      <c r="M1638" t="str">
        <f t="shared" si="77"/>
        <v>Dec-2018</v>
      </c>
    </row>
    <row r="1639" spans="1:13" x14ac:dyDescent="0.3">
      <c r="A1639" t="s">
        <v>2219</v>
      </c>
      <c r="B1639" s="1" t="s">
        <v>205</v>
      </c>
      <c r="C1639" s="1" t="s">
        <v>206</v>
      </c>
      <c r="D1639" s="1" t="s">
        <v>24</v>
      </c>
      <c r="E1639" s="5">
        <v>43387</v>
      </c>
      <c r="F1639" s="3" t="s">
        <v>36</v>
      </c>
      <c r="G1639" s="1" t="s">
        <v>635</v>
      </c>
      <c r="H1639" s="1">
        <v>50</v>
      </c>
      <c r="I1639" s="1">
        <v>48</v>
      </c>
      <c r="J1639" s="2">
        <v>0.04</v>
      </c>
      <c r="K1639">
        <f t="shared" si="75"/>
        <v>1.92</v>
      </c>
      <c r="L1639">
        <f t="shared" si="76"/>
        <v>46.08</v>
      </c>
      <c r="M1639" t="str">
        <f t="shared" si="77"/>
        <v>Oct-2018</v>
      </c>
    </row>
    <row r="1640" spans="1:13" x14ac:dyDescent="0.3">
      <c r="A1640" t="s">
        <v>2220</v>
      </c>
      <c r="B1640" s="1" t="s">
        <v>2170</v>
      </c>
      <c r="C1640" s="1" t="s">
        <v>18</v>
      </c>
      <c r="D1640" s="1" t="s">
        <v>19</v>
      </c>
      <c r="E1640" s="5">
        <v>43233</v>
      </c>
      <c r="F1640" s="3" t="s">
        <v>122</v>
      </c>
      <c r="G1640" s="1" t="s">
        <v>2221</v>
      </c>
      <c r="H1640" s="1">
        <v>50</v>
      </c>
      <c r="I1640" s="1">
        <v>45</v>
      </c>
      <c r="J1640" s="2">
        <v>0.1</v>
      </c>
      <c r="K1640">
        <f t="shared" si="75"/>
        <v>4.5</v>
      </c>
      <c r="L1640">
        <f t="shared" si="76"/>
        <v>40.5</v>
      </c>
      <c r="M1640" t="str">
        <f t="shared" si="77"/>
        <v>May-2018</v>
      </c>
    </row>
    <row r="1641" spans="1:13" x14ac:dyDescent="0.3">
      <c r="A1641" t="s">
        <v>2222</v>
      </c>
      <c r="B1641" s="1" t="s">
        <v>33</v>
      </c>
      <c r="C1641" s="1" t="s">
        <v>34</v>
      </c>
      <c r="D1641" s="1" t="s">
        <v>35</v>
      </c>
      <c r="E1641" s="5">
        <v>43419</v>
      </c>
      <c r="F1641" s="3" t="s">
        <v>104</v>
      </c>
      <c r="G1641" s="1" t="s">
        <v>160</v>
      </c>
      <c r="H1641" s="1">
        <v>70</v>
      </c>
      <c r="I1641" s="1">
        <v>68</v>
      </c>
      <c r="J1641" s="2">
        <v>2.86E-2</v>
      </c>
      <c r="K1641">
        <f t="shared" si="75"/>
        <v>1.9448000000000001</v>
      </c>
      <c r="L1641">
        <f t="shared" si="76"/>
        <v>66.055199999999999</v>
      </c>
      <c r="M1641" t="str">
        <f t="shared" si="77"/>
        <v>Nov-2018</v>
      </c>
    </row>
    <row r="1642" spans="1:13" x14ac:dyDescent="0.3">
      <c r="A1642" t="s">
        <v>2223</v>
      </c>
      <c r="B1642" s="1" t="s">
        <v>131</v>
      </c>
      <c r="C1642" s="1" t="s">
        <v>108</v>
      </c>
      <c r="D1642" s="1" t="s">
        <v>19</v>
      </c>
      <c r="E1642" s="5">
        <v>42216</v>
      </c>
      <c r="F1642" s="3" t="s">
        <v>36</v>
      </c>
      <c r="G1642" s="1" t="s">
        <v>132</v>
      </c>
      <c r="H1642" s="1">
        <v>50</v>
      </c>
      <c r="I1642" s="1">
        <v>45</v>
      </c>
      <c r="J1642" s="2">
        <v>0.1</v>
      </c>
      <c r="K1642">
        <f t="shared" si="75"/>
        <v>4.5</v>
      </c>
      <c r="L1642">
        <f t="shared" si="76"/>
        <v>40.5</v>
      </c>
      <c r="M1642" t="str">
        <f t="shared" si="77"/>
        <v>Jul-2015</v>
      </c>
    </row>
    <row r="1643" spans="1:13" x14ac:dyDescent="0.3">
      <c r="A1643" t="s">
        <v>2224</v>
      </c>
      <c r="B1643" s="1" t="s">
        <v>2191</v>
      </c>
      <c r="C1643" s="1" t="s">
        <v>108</v>
      </c>
      <c r="D1643" s="1" t="s">
        <v>19</v>
      </c>
      <c r="E1643" s="5">
        <v>43248</v>
      </c>
      <c r="F1643" s="3" t="s">
        <v>36</v>
      </c>
      <c r="G1643" s="1" t="s">
        <v>2192</v>
      </c>
      <c r="H1643" s="1">
        <v>50</v>
      </c>
      <c r="I1643" s="1">
        <v>48</v>
      </c>
      <c r="J1643" s="2">
        <v>0.04</v>
      </c>
      <c r="K1643">
        <f t="shared" si="75"/>
        <v>1.92</v>
      </c>
      <c r="L1643">
        <f t="shared" si="76"/>
        <v>46.08</v>
      </c>
      <c r="M1643" t="str">
        <f t="shared" si="77"/>
        <v>May-2018</v>
      </c>
    </row>
    <row r="1644" spans="1:13" x14ac:dyDescent="0.3">
      <c r="A1644" t="s">
        <v>2225</v>
      </c>
      <c r="B1644" s="1" t="s">
        <v>324</v>
      </c>
      <c r="C1644" s="1" t="s">
        <v>325</v>
      </c>
      <c r="D1644" s="1" t="s">
        <v>13</v>
      </c>
      <c r="E1644" s="5">
        <v>41937</v>
      </c>
      <c r="F1644" s="3" t="s">
        <v>55</v>
      </c>
      <c r="G1644" s="1" t="s">
        <v>1192</v>
      </c>
      <c r="H1644" s="1">
        <v>800</v>
      </c>
      <c r="I1644" s="1">
        <v>704</v>
      </c>
      <c r="J1644" s="2">
        <v>0.12</v>
      </c>
      <c r="K1644">
        <f t="shared" si="75"/>
        <v>84.47999999999999</v>
      </c>
      <c r="L1644">
        <f t="shared" si="76"/>
        <v>619.52</v>
      </c>
      <c r="M1644" t="str">
        <f t="shared" si="77"/>
        <v>Oct-2014</v>
      </c>
    </row>
    <row r="1645" spans="1:13" x14ac:dyDescent="0.3">
      <c r="A1645" t="s">
        <v>2226</v>
      </c>
      <c r="B1645" s="1" t="s">
        <v>205</v>
      </c>
      <c r="C1645" s="1" t="s">
        <v>206</v>
      </c>
      <c r="D1645" s="1" t="s">
        <v>24</v>
      </c>
      <c r="E1645" s="5">
        <v>42505</v>
      </c>
      <c r="F1645" s="3" t="s">
        <v>14</v>
      </c>
      <c r="G1645" s="1" t="s">
        <v>1478</v>
      </c>
      <c r="H1645" s="1">
        <v>80</v>
      </c>
      <c r="I1645" s="1">
        <v>80</v>
      </c>
      <c r="J1645" s="2">
        <v>0</v>
      </c>
      <c r="K1645">
        <f t="shared" si="75"/>
        <v>0</v>
      </c>
      <c r="L1645">
        <f t="shared" si="76"/>
        <v>80</v>
      </c>
      <c r="M1645" t="str">
        <f t="shared" si="77"/>
        <v>May-2016</v>
      </c>
    </row>
    <row r="1646" spans="1:13" x14ac:dyDescent="0.3">
      <c r="A1646" t="s">
        <v>2227</v>
      </c>
      <c r="B1646" s="1" t="s">
        <v>187</v>
      </c>
      <c r="C1646" s="1" t="s">
        <v>188</v>
      </c>
      <c r="D1646" s="1" t="s">
        <v>13</v>
      </c>
      <c r="E1646" s="5">
        <v>43063</v>
      </c>
      <c r="F1646" s="3" t="s">
        <v>41</v>
      </c>
      <c r="G1646" s="1" t="s">
        <v>683</v>
      </c>
      <c r="H1646" s="1">
        <v>30</v>
      </c>
      <c r="I1646" s="1">
        <v>30</v>
      </c>
      <c r="J1646" s="2">
        <v>0</v>
      </c>
      <c r="K1646">
        <f t="shared" si="75"/>
        <v>0</v>
      </c>
      <c r="L1646">
        <f t="shared" si="76"/>
        <v>30</v>
      </c>
      <c r="M1646" t="str">
        <f t="shared" si="77"/>
        <v>Nov-2017</v>
      </c>
    </row>
    <row r="1647" spans="1:13" x14ac:dyDescent="0.3">
      <c r="A1647" t="s">
        <v>2228</v>
      </c>
      <c r="B1647" s="1" t="s">
        <v>150</v>
      </c>
      <c r="C1647" s="1" t="s">
        <v>151</v>
      </c>
      <c r="D1647" s="1" t="s">
        <v>13</v>
      </c>
      <c r="E1647" s="5">
        <v>43451</v>
      </c>
      <c r="F1647" s="3" t="s">
        <v>115</v>
      </c>
      <c r="G1647" s="1" t="s">
        <v>824</v>
      </c>
      <c r="H1647" s="1">
        <v>250</v>
      </c>
      <c r="I1647" s="1">
        <v>160</v>
      </c>
      <c r="J1647" s="2">
        <v>0.36</v>
      </c>
      <c r="K1647">
        <f t="shared" si="75"/>
        <v>57.599999999999994</v>
      </c>
      <c r="L1647">
        <f t="shared" si="76"/>
        <v>102.4</v>
      </c>
      <c r="M1647" t="str">
        <f t="shared" si="77"/>
        <v>Dec-2018</v>
      </c>
    </row>
    <row r="1648" spans="1:13" x14ac:dyDescent="0.3">
      <c r="A1648" t="s">
        <v>2229</v>
      </c>
      <c r="B1648" s="1" t="s">
        <v>187</v>
      </c>
      <c r="C1648" s="1" t="s">
        <v>188</v>
      </c>
      <c r="D1648" s="1" t="s">
        <v>13</v>
      </c>
      <c r="E1648" s="5">
        <v>41729</v>
      </c>
      <c r="F1648" s="3" t="s">
        <v>122</v>
      </c>
      <c r="G1648" s="1" t="s">
        <v>189</v>
      </c>
      <c r="H1648" s="1">
        <v>50</v>
      </c>
      <c r="I1648" s="1">
        <v>43</v>
      </c>
      <c r="J1648" s="2">
        <v>0.14000000000000001</v>
      </c>
      <c r="K1648">
        <f t="shared" si="75"/>
        <v>6.0200000000000005</v>
      </c>
      <c r="L1648">
        <f t="shared" si="76"/>
        <v>36.979999999999997</v>
      </c>
      <c r="M1648" t="str">
        <f t="shared" si="77"/>
        <v>Mar-2014</v>
      </c>
    </row>
    <row r="1649" spans="1:13" x14ac:dyDescent="0.3">
      <c r="A1649" t="s">
        <v>2230</v>
      </c>
      <c r="B1649" s="1" t="s">
        <v>187</v>
      </c>
      <c r="C1649" s="1" t="s">
        <v>188</v>
      </c>
      <c r="D1649" s="1" t="s">
        <v>13</v>
      </c>
      <c r="E1649" s="5">
        <v>42264</v>
      </c>
      <c r="F1649" s="3" t="s">
        <v>72</v>
      </c>
      <c r="G1649" s="1" t="s">
        <v>189</v>
      </c>
      <c r="H1649" s="1">
        <v>500</v>
      </c>
      <c r="I1649" s="1">
        <v>495</v>
      </c>
      <c r="J1649" s="2">
        <v>0.01</v>
      </c>
      <c r="K1649">
        <f t="shared" si="75"/>
        <v>4.95</v>
      </c>
      <c r="L1649">
        <f t="shared" si="76"/>
        <v>490.05</v>
      </c>
      <c r="M1649" t="str">
        <f t="shared" si="77"/>
        <v>Sep-2015</v>
      </c>
    </row>
    <row r="1650" spans="1:13" x14ac:dyDescent="0.3">
      <c r="A1650" t="s">
        <v>2231</v>
      </c>
      <c r="B1650" s="1" t="s">
        <v>241</v>
      </c>
      <c r="C1650" s="1" t="s">
        <v>242</v>
      </c>
      <c r="D1650" s="1" t="s">
        <v>13</v>
      </c>
      <c r="E1650" s="5">
        <v>42236</v>
      </c>
      <c r="F1650" s="3" t="s">
        <v>41</v>
      </c>
      <c r="G1650" s="1" t="s">
        <v>2232</v>
      </c>
      <c r="H1650" s="1">
        <v>30</v>
      </c>
      <c r="I1650" s="1">
        <v>27</v>
      </c>
      <c r="J1650" s="2">
        <v>0.1</v>
      </c>
      <c r="K1650">
        <f t="shared" si="75"/>
        <v>2.7</v>
      </c>
      <c r="L1650">
        <f t="shared" si="76"/>
        <v>24.3</v>
      </c>
      <c r="M1650" t="str">
        <f t="shared" si="77"/>
        <v>Aug-2015</v>
      </c>
    </row>
    <row r="1651" spans="1:13" x14ac:dyDescent="0.3">
      <c r="A1651" t="s">
        <v>2233</v>
      </c>
      <c r="B1651" s="1" t="s">
        <v>400</v>
      </c>
      <c r="C1651" s="1" t="s">
        <v>401</v>
      </c>
      <c r="D1651" s="1" t="s">
        <v>13</v>
      </c>
      <c r="E1651" s="5">
        <v>42966</v>
      </c>
      <c r="F1651" s="3" t="s">
        <v>14</v>
      </c>
      <c r="G1651" s="1" t="s">
        <v>1739</v>
      </c>
      <c r="H1651" s="1">
        <v>80</v>
      </c>
      <c r="I1651" s="1">
        <v>61</v>
      </c>
      <c r="J1651" s="2">
        <v>0.23749999999999999</v>
      </c>
      <c r="K1651">
        <f t="shared" si="75"/>
        <v>14.487499999999999</v>
      </c>
      <c r="L1651">
        <f t="shared" si="76"/>
        <v>46.512500000000003</v>
      </c>
      <c r="M1651" t="str">
        <f t="shared" si="77"/>
        <v>Aug-2017</v>
      </c>
    </row>
    <row r="1652" spans="1:13" x14ac:dyDescent="0.3">
      <c r="A1652" t="s">
        <v>2234</v>
      </c>
      <c r="B1652" s="1" t="s">
        <v>182</v>
      </c>
      <c r="C1652" s="1" t="s">
        <v>108</v>
      </c>
      <c r="D1652" s="1" t="s">
        <v>19</v>
      </c>
      <c r="E1652" s="5">
        <v>42854</v>
      </c>
      <c r="F1652" s="3" t="s">
        <v>61</v>
      </c>
      <c r="G1652" s="1" t="s">
        <v>2235</v>
      </c>
      <c r="H1652" s="1">
        <v>1000</v>
      </c>
      <c r="I1652" s="1">
        <v>990</v>
      </c>
      <c r="J1652" s="2">
        <v>0.01</v>
      </c>
      <c r="K1652">
        <f t="shared" si="75"/>
        <v>9.9</v>
      </c>
      <c r="L1652">
        <f t="shared" si="76"/>
        <v>980.1</v>
      </c>
      <c r="M1652" t="str">
        <f t="shared" si="77"/>
        <v>Apr-2017</v>
      </c>
    </row>
    <row r="1653" spans="1:13" x14ac:dyDescent="0.3">
      <c r="A1653" t="s">
        <v>2236</v>
      </c>
      <c r="B1653" s="1" t="s">
        <v>157</v>
      </c>
      <c r="C1653" s="1" t="s">
        <v>108</v>
      </c>
      <c r="D1653" s="1" t="s">
        <v>19</v>
      </c>
      <c r="E1653" s="5">
        <v>42535</v>
      </c>
      <c r="F1653" s="3" t="s">
        <v>36</v>
      </c>
      <c r="G1653" s="1" t="s">
        <v>1286</v>
      </c>
      <c r="H1653" s="1">
        <v>50</v>
      </c>
      <c r="I1653" s="1">
        <v>45</v>
      </c>
      <c r="J1653" s="2">
        <v>0.1</v>
      </c>
      <c r="K1653">
        <f t="shared" si="75"/>
        <v>4.5</v>
      </c>
      <c r="L1653">
        <f t="shared" si="76"/>
        <v>40.5</v>
      </c>
      <c r="M1653" t="str">
        <f t="shared" si="77"/>
        <v>Jun-2016</v>
      </c>
    </row>
    <row r="1654" spans="1:13" x14ac:dyDescent="0.3">
      <c r="A1654" t="s">
        <v>2237</v>
      </c>
      <c r="B1654" s="1" t="s">
        <v>2170</v>
      </c>
      <c r="C1654" s="1" t="s">
        <v>18</v>
      </c>
      <c r="D1654" s="1" t="s">
        <v>19</v>
      </c>
      <c r="E1654" s="5">
        <v>42079</v>
      </c>
      <c r="F1654" s="3" t="s">
        <v>115</v>
      </c>
      <c r="G1654" s="1" t="s">
        <v>2238</v>
      </c>
      <c r="H1654" s="1">
        <v>250</v>
      </c>
      <c r="I1654" s="1">
        <v>243</v>
      </c>
      <c r="J1654" s="2">
        <v>2.8000000000000001E-2</v>
      </c>
      <c r="K1654">
        <f t="shared" si="75"/>
        <v>6.8040000000000003</v>
      </c>
      <c r="L1654">
        <f t="shared" si="76"/>
        <v>236.196</v>
      </c>
      <c r="M1654" t="str">
        <f t="shared" si="77"/>
        <v>Mar-2015</v>
      </c>
    </row>
    <row r="1655" spans="1:13" x14ac:dyDescent="0.3">
      <c r="A1655" t="s">
        <v>2239</v>
      </c>
      <c r="B1655" s="1" t="s">
        <v>146</v>
      </c>
      <c r="C1655" s="1" t="s">
        <v>147</v>
      </c>
      <c r="D1655" s="1" t="s">
        <v>13</v>
      </c>
      <c r="E1655" s="5">
        <v>43063</v>
      </c>
      <c r="F1655" s="3" t="s">
        <v>14</v>
      </c>
      <c r="G1655" s="1" t="s">
        <v>1334</v>
      </c>
      <c r="H1655" s="1">
        <v>80</v>
      </c>
      <c r="I1655" s="1">
        <v>53</v>
      </c>
      <c r="J1655" s="2">
        <v>0.33750000000000002</v>
      </c>
      <c r="K1655">
        <f t="shared" si="75"/>
        <v>17.887500000000003</v>
      </c>
      <c r="L1655">
        <f t="shared" si="76"/>
        <v>35.112499999999997</v>
      </c>
      <c r="M1655" t="str">
        <f t="shared" si="77"/>
        <v>Nov-2017</v>
      </c>
    </row>
    <row r="1656" spans="1:13" x14ac:dyDescent="0.3">
      <c r="A1656" t="s">
        <v>2240</v>
      </c>
      <c r="B1656" s="1" t="s">
        <v>22</v>
      </c>
      <c r="C1656" s="1" t="s">
        <v>23</v>
      </c>
      <c r="D1656" s="1" t="s">
        <v>24</v>
      </c>
      <c r="E1656" s="5">
        <v>42367</v>
      </c>
      <c r="F1656" s="3" t="s">
        <v>61</v>
      </c>
      <c r="G1656" s="1" t="s">
        <v>144</v>
      </c>
      <c r="H1656" s="1">
        <v>1000</v>
      </c>
      <c r="I1656" s="1">
        <v>590</v>
      </c>
      <c r="J1656" s="2">
        <v>0.41</v>
      </c>
      <c r="K1656">
        <f t="shared" si="75"/>
        <v>241.89999999999998</v>
      </c>
      <c r="L1656">
        <f t="shared" si="76"/>
        <v>348.1</v>
      </c>
      <c r="M1656" t="str">
        <f t="shared" si="77"/>
        <v>Dec-2015</v>
      </c>
    </row>
    <row r="1657" spans="1:13" x14ac:dyDescent="0.3">
      <c r="A1657" t="s">
        <v>2241</v>
      </c>
      <c r="B1657" s="1" t="s">
        <v>103</v>
      </c>
      <c r="C1657" s="1" t="s">
        <v>71</v>
      </c>
      <c r="D1657" s="1" t="s">
        <v>35</v>
      </c>
      <c r="E1657" s="5">
        <v>42885</v>
      </c>
      <c r="F1657" s="3" t="s">
        <v>30</v>
      </c>
      <c r="G1657" s="1" t="s">
        <v>497</v>
      </c>
      <c r="H1657" s="1">
        <v>150</v>
      </c>
      <c r="I1657" s="1">
        <v>138</v>
      </c>
      <c r="J1657" s="2">
        <v>0.08</v>
      </c>
      <c r="K1657">
        <f t="shared" si="75"/>
        <v>11.040000000000001</v>
      </c>
      <c r="L1657">
        <f t="shared" si="76"/>
        <v>126.96</v>
      </c>
      <c r="M1657" t="str">
        <f t="shared" si="77"/>
        <v>May-2017</v>
      </c>
    </row>
    <row r="1658" spans="1:13" x14ac:dyDescent="0.3">
      <c r="A1658" t="s">
        <v>2242</v>
      </c>
      <c r="B1658" s="1" t="s">
        <v>2243</v>
      </c>
      <c r="C1658" s="1" t="s">
        <v>108</v>
      </c>
      <c r="D1658" s="1" t="s">
        <v>19</v>
      </c>
      <c r="E1658" s="5">
        <v>43203</v>
      </c>
      <c r="F1658" s="3" t="s">
        <v>25</v>
      </c>
      <c r="G1658" s="1" t="s">
        <v>2244</v>
      </c>
      <c r="H1658" s="1">
        <v>700</v>
      </c>
      <c r="I1658" s="1">
        <v>560</v>
      </c>
      <c r="J1658" s="2">
        <v>0.2</v>
      </c>
      <c r="K1658">
        <f t="shared" si="75"/>
        <v>112</v>
      </c>
      <c r="L1658">
        <f t="shared" si="76"/>
        <v>448</v>
      </c>
      <c r="M1658" t="str">
        <f t="shared" si="77"/>
        <v>Apr-2018</v>
      </c>
    </row>
    <row r="1659" spans="1:13" x14ac:dyDescent="0.3">
      <c r="A1659" t="s">
        <v>2245</v>
      </c>
      <c r="B1659" s="1" t="s">
        <v>2191</v>
      </c>
      <c r="C1659" s="1" t="s">
        <v>108</v>
      </c>
      <c r="D1659" s="1" t="s">
        <v>19</v>
      </c>
      <c r="E1659" s="5">
        <v>42152</v>
      </c>
      <c r="F1659" s="3" t="s">
        <v>55</v>
      </c>
      <c r="G1659" s="1" t="s">
        <v>2201</v>
      </c>
      <c r="H1659" s="1">
        <v>800</v>
      </c>
      <c r="I1659" s="1">
        <v>512</v>
      </c>
      <c r="J1659" s="2">
        <v>0.36</v>
      </c>
      <c r="K1659">
        <f t="shared" si="75"/>
        <v>184.32</v>
      </c>
      <c r="L1659">
        <f t="shared" si="76"/>
        <v>327.68</v>
      </c>
      <c r="M1659" t="str">
        <f t="shared" si="77"/>
        <v>May-2015</v>
      </c>
    </row>
    <row r="1660" spans="1:13" x14ac:dyDescent="0.3">
      <c r="A1660" t="s">
        <v>2246</v>
      </c>
      <c r="B1660" s="1" t="s">
        <v>324</v>
      </c>
      <c r="C1660" s="1" t="s">
        <v>325</v>
      </c>
      <c r="D1660" s="1" t="s">
        <v>13</v>
      </c>
      <c r="E1660" s="5">
        <v>42027</v>
      </c>
      <c r="F1660" s="3" t="s">
        <v>41</v>
      </c>
      <c r="G1660" s="1" t="s">
        <v>1247</v>
      </c>
      <c r="H1660" s="1">
        <v>30</v>
      </c>
      <c r="I1660" s="1">
        <v>29</v>
      </c>
      <c r="J1660" s="2">
        <v>3.3300000000000003E-2</v>
      </c>
      <c r="K1660">
        <f t="shared" si="75"/>
        <v>0.96570000000000011</v>
      </c>
      <c r="L1660">
        <f t="shared" si="76"/>
        <v>28.034299999999998</v>
      </c>
      <c r="M1660" t="str">
        <f t="shared" si="77"/>
        <v>Jan-2015</v>
      </c>
    </row>
    <row r="1661" spans="1:13" x14ac:dyDescent="0.3">
      <c r="A1661" t="s">
        <v>2247</v>
      </c>
      <c r="B1661" s="1" t="s">
        <v>64</v>
      </c>
      <c r="C1661" s="1" t="s">
        <v>65</v>
      </c>
      <c r="D1661" s="1" t="s">
        <v>35</v>
      </c>
      <c r="E1661" s="5">
        <v>41687</v>
      </c>
      <c r="F1661" s="3" t="s">
        <v>30</v>
      </c>
      <c r="G1661" s="1" t="s">
        <v>1536</v>
      </c>
      <c r="H1661" s="1">
        <v>150</v>
      </c>
      <c r="I1661" s="1">
        <v>144</v>
      </c>
      <c r="J1661" s="2">
        <v>0.04</v>
      </c>
      <c r="K1661">
        <f t="shared" si="75"/>
        <v>5.76</v>
      </c>
      <c r="L1661">
        <f t="shared" si="76"/>
        <v>138.24</v>
      </c>
      <c r="M1661" t="str">
        <f t="shared" si="77"/>
        <v>Feb-2014</v>
      </c>
    </row>
    <row r="1662" spans="1:13" x14ac:dyDescent="0.3">
      <c r="A1662" t="s">
        <v>2248</v>
      </c>
      <c r="B1662" s="1" t="s">
        <v>49</v>
      </c>
      <c r="C1662" s="1" t="s">
        <v>50</v>
      </c>
      <c r="D1662" s="1" t="s">
        <v>24</v>
      </c>
      <c r="E1662" s="5">
        <v>43326</v>
      </c>
      <c r="F1662" s="3" t="s">
        <v>104</v>
      </c>
      <c r="G1662" s="1" t="s">
        <v>918</v>
      </c>
      <c r="H1662" s="1">
        <v>70</v>
      </c>
      <c r="I1662" s="1">
        <v>70</v>
      </c>
      <c r="J1662" s="2">
        <v>0</v>
      </c>
      <c r="K1662">
        <f t="shared" si="75"/>
        <v>0</v>
      </c>
      <c r="L1662">
        <f t="shared" si="76"/>
        <v>70</v>
      </c>
      <c r="M1662" t="str">
        <f t="shared" si="77"/>
        <v>Aug-2018</v>
      </c>
    </row>
    <row r="1663" spans="1:13" x14ac:dyDescent="0.3">
      <c r="A1663" t="s">
        <v>2249</v>
      </c>
      <c r="B1663" s="1" t="s">
        <v>255</v>
      </c>
      <c r="C1663" s="1" t="s">
        <v>256</v>
      </c>
      <c r="D1663" s="1" t="s">
        <v>13</v>
      </c>
      <c r="E1663" s="5">
        <v>42945</v>
      </c>
      <c r="F1663" s="3" t="s">
        <v>46</v>
      </c>
      <c r="G1663" s="1" t="s">
        <v>522</v>
      </c>
      <c r="H1663" s="1">
        <v>500</v>
      </c>
      <c r="I1663" s="1">
        <v>470</v>
      </c>
      <c r="J1663" s="2">
        <v>0.06</v>
      </c>
      <c r="K1663">
        <f t="shared" si="75"/>
        <v>28.2</v>
      </c>
      <c r="L1663">
        <f t="shared" si="76"/>
        <v>441.8</v>
      </c>
      <c r="M1663" t="str">
        <f t="shared" si="77"/>
        <v>Jul-2017</v>
      </c>
    </row>
    <row r="1664" spans="1:13" x14ac:dyDescent="0.3">
      <c r="A1664" t="s">
        <v>2250</v>
      </c>
      <c r="B1664" s="1" t="s">
        <v>134</v>
      </c>
      <c r="C1664" s="1" t="s">
        <v>92</v>
      </c>
      <c r="D1664" s="1" t="s">
        <v>35</v>
      </c>
      <c r="E1664" s="5">
        <v>42518</v>
      </c>
      <c r="F1664" s="3" t="s">
        <v>46</v>
      </c>
      <c r="G1664" s="1" t="s">
        <v>1062</v>
      </c>
      <c r="H1664" s="1">
        <v>500</v>
      </c>
      <c r="I1664" s="1">
        <v>480</v>
      </c>
      <c r="J1664" s="2">
        <v>0.04</v>
      </c>
      <c r="K1664">
        <f t="shared" si="75"/>
        <v>19.2</v>
      </c>
      <c r="L1664">
        <f t="shared" si="76"/>
        <v>460.8</v>
      </c>
      <c r="M1664" t="str">
        <f t="shared" si="77"/>
        <v>May-2016</v>
      </c>
    </row>
    <row r="1665" spans="1:13" x14ac:dyDescent="0.3">
      <c r="A1665" t="s">
        <v>2251</v>
      </c>
      <c r="B1665" s="1" t="s">
        <v>221</v>
      </c>
      <c r="C1665" s="1" t="s">
        <v>40</v>
      </c>
      <c r="D1665" s="1" t="s">
        <v>35</v>
      </c>
      <c r="E1665" s="5">
        <v>43343</v>
      </c>
      <c r="F1665" s="3" t="s">
        <v>46</v>
      </c>
      <c r="G1665" s="1" t="s">
        <v>1059</v>
      </c>
      <c r="H1665" s="1">
        <v>500</v>
      </c>
      <c r="I1665" s="1">
        <v>435</v>
      </c>
      <c r="J1665" s="2">
        <v>0.13</v>
      </c>
      <c r="K1665">
        <f t="shared" si="75"/>
        <v>56.550000000000004</v>
      </c>
      <c r="L1665">
        <f t="shared" si="76"/>
        <v>378.45</v>
      </c>
      <c r="M1665" t="str">
        <f t="shared" si="77"/>
        <v>Aug-2018</v>
      </c>
    </row>
    <row r="1666" spans="1:13" x14ac:dyDescent="0.3">
      <c r="A1666" t="s">
        <v>2252</v>
      </c>
      <c r="B1666" s="1" t="s">
        <v>85</v>
      </c>
      <c r="C1666" s="1" t="s">
        <v>86</v>
      </c>
      <c r="D1666" s="1" t="s">
        <v>13</v>
      </c>
      <c r="E1666" s="5">
        <v>43399</v>
      </c>
      <c r="F1666" s="3" t="s">
        <v>41</v>
      </c>
      <c r="G1666" s="1" t="s">
        <v>87</v>
      </c>
      <c r="H1666" s="1">
        <v>30</v>
      </c>
      <c r="I1666" s="1">
        <v>27</v>
      </c>
      <c r="J1666" s="2">
        <v>0.1</v>
      </c>
      <c r="K1666">
        <f t="shared" si="75"/>
        <v>2.7</v>
      </c>
      <c r="L1666">
        <f t="shared" si="76"/>
        <v>24.3</v>
      </c>
      <c r="M1666" t="str">
        <f t="shared" si="77"/>
        <v>Oct-2018</v>
      </c>
    </row>
    <row r="1667" spans="1:13" x14ac:dyDescent="0.3">
      <c r="A1667" t="s">
        <v>2253</v>
      </c>
      <c r="B1667" s="1" t="s">
        <v>270</v>
      </c>
      <c r="C1667" s="1" t="s">
        <v>271</v>
      </c>
      <c r="D1667" s="1" t="s">
        <v>35</v>
      </c>
      <c r="E1667" s="5">
        <v>41867</v>
      </c>
      <c r="F1667" s="3" t="s">
        <v>61</v>
      </c>
      <c r="G1667" s="1" t="s">
        <v>1827</v>
      </c>
      <c r="H1667" s="1">
        <v>1000</v>
      </c>
      <c r="I1667" s="1">
        <v>930</v>
      </c>
      <c r="J1667" s="2">
        <v>7.0000000000000007E-2</v>
      </c>
      <c r="K1667">
        <f t="shared" si="75"/>
        <v>65.100000000000009</v>
      </c>
      <c r="L1667">
        <f t="shared" si="76"/>
        <v>864.9</v>
      </c>
      <c r="M1667" t="str">
        <f t="shared" si="77"/>
        <v>Aug-2014</v>
      </c>
    </row>
    <row r="1668" spans="1:13" x14ac:dyDescent="0.3">
      <c r="A1668" t="s">
        <v>2254</v>
      </c>
      <c r="B1668" s="1" t="s">
        <v>324</v>
      </c>
      <c r="C1668" s="1" t="s">
        <v>325</v>
      </c>
      <c r="D1668" s="1" t="s">
        <v>13</v>
      </c>
      <c r="E1668" s="5">
        <v>42426</v>
      </c>
      <c r="F1668" s="3" t="s">
        <v>104</v>
      </c>
      <c r="G1668" s="1" t="s">
        <v>588</v>
      </c>
      <c r="H1668" s="1">
        <v>70</v>
      </c>
      <c r="I1668" s="1">
        <v>68</v>
      </c>
      <c r="J1668" s="2">
        <v>2.86E-2</v>
      </c>
      <c r="K1668">
        <f t="shared" ref="K1668:K1731" si="78">I1668*J1668</f>
        <v>1.9448000000000001</v>
      </c>
      <c r="L1668">
        <f t="shared" ref="L1668:L1731" si="79">I1668-K1668</f>
        <v>66.055199999999999</v>
      </c>
      <c r="M1668" t="str">
        <f t="shared" ref="M1668:M1731" si="80">TEXT(E1668, "mmm-yyyy")</f>
        <v>Feb-2016</v>
      </c>
    </row>
    <row r="1669" spans="1:13" x14ac:dyDescent="0.3">
      <c r="A1669" t="s">
        <v>2255</v>
      </c>
      <c r="B1669" s="1" t="s">
        <v>264</v>
      </c>
      <c r="C1669" s="1" t="s">
        <v>265</v>
      </c>
      <c r="D1669" s="1" t="s">
        <v>13</v>
      </c>
      <c r="E1669" s="5">
        <v>43366</v>
      </c>
      <c r="F1669" s="3" t="s">
        <v>46</v>
      </c>
      <c r="G1669" s="1" t="s">
        <v>314</v>
      </c>
      <c r="H1669" s="1">
        <v>500</v>
      </c>
      <c r="I1669" s="1">
        <v>460</v>
      </c>
      <c r="J1669" s="2">
        <v>0.08</v>
      </c>
      <c r="K1669">
        <f t="shared" si="78"/>
        <v>36.800000000000004</v>
      </c>
      <c r="L1669">
        <f t="shared" si="79"/>
        <v>423.2</v>
      </c>
      <c r="M1669" t="str">
        <f t="shared" si="80"/>
        <v>Sep-2018</v>
      </c>
    </row>
    <row r="1670" spans="1:13" x14ac:dyDescent="0.3">
      <c r="A1670" t="s">
        <v>2256</v>
      </c>
      <c r="B1670" s="1" t="s">
        <v>95</v>
      </c>
      <c r="C1670" s="1" t="s">
        <v>96</v>
      </c>
      <c r="D1670" s="1" t="s">
        <v>13</v>
      </c>
      <c r="E1670" s="5">
        <v>42202</v>
      </c>
      <c r="F1670" s="3" t="s">
        <v>115</v>
      </c>
      <c r="G1670" s="1" t="s">
        <v>1275</v>
      </c>
      <c r="H1670" s="1">
        <v>250</v>
      </c>
      <c r="I1670" s="1">
        <v>158</v>
      </c>
      <c r="J1670" s="2">
        <v>0.36799999999999999</v>
      </c>
      <c r="K1670">
        <f t="shared" si="78"/>
        <v>58.143999999999998</v>
      </c>
      <c r="L1670">
        <f t="shared" si="79"/>
        <v>99.855999999999995</v>
      </c>
      <c r="M1670" t="str">
        <f t="shared" si="80"/>
        <v>Jul-2015</v>
      </c>
    </row>
    <row r="1671" spans="1:13" x14ac:dyDescent="0.3">
      <c r="A1671" t="s">
        <v>2257</v>
      </c>
      <c r="B1671" s="1" t="s">
        <v>131</v>
      </c>
      <c r="C1671" s="1" t="s">
        <v>108</v>
      </c>
      <c r="D1671" s="1" t="s">
        <v>19</v>
      </c>
      <c r="E1671" s="5">
        <v>41817</v>
      </c>
      <c r="F1671" s="3" t="s">
        <v>25</v>
      </c>
      <c r="G1671" s="1" t="s">
        <v>1550</v>
      </c>
      <c r="H1671" s="1">
        <v>700</v>
      </c>
      <c r="I1671" s="1">
        <v>658</v>
      </c>
      <c r="J1671" s="2">
        <v>0.06</v>
      </c>
      <c r="K1671">
        <f t="shared" si="78"/>
        <v>39.479999999999997</v>
      </c>
      <c r="L1671">
        <f t="shared" si="79"/>
        <v>618.52</v>
      </c>
      <c r="M1671" t="str">
        <f t="shared" si="80"/>
        <v>Jun-2014</v>
      </c>
    </row>
    <row r="1672" spans="1:13" x14ac:dyDescent="0.3">
      <c r="A1672" t="s">
        <v>2258</v>
      </c>
      <c r="B1672" s="1" t="s">
        <v>255</v>
      </c>
      <c r="C1672" s="1" t="s">
        <v>256</v>
      </c>
      <c r="D1672" s="1" t="s">
        <v>13</v>
      </c>
      <c r="E1672" s="5">
        <v>41690</v>
      </c>
      <c r="F1672" s="3" t="s">
        <v>115</v>
      </c>
      <c r="G1672" s="1" t="s">
        <v>257</v>
      </c>
      <c r="H1672" s="1">
        <v>250</v>
      </c>
      <c r="I1672" s="1">
        <v>178</v>
      </c>
      <c r="J1672" s="2">
        <v>0.28799999999999998</v>
      </c>
      <c r="K1672">
        <f t="shared" si="78"/>
        <v>51.263999999999996</v>
      </c>
      <c r="L1672">
        <f t="shared" si="79"/>
        <v>126.736</v>
      </c>
      <c r="M1672" t="str">
        <f t="shared" si="80"/>
        <v>Feb-2014</v>
      </c>
    </row>
    <row r="1673" spans="1:13" x14ac:dyDescent="0.3">
      <c r="A1673" t="s">
        <v>2259</v>
      </c>
      <c r="B1673" s="1" t="s">
        <v>118</v>
      </c>
      <c r="C1673" s="1" t="s">
        <v>119</v>
      </c>
      <c r="D1673" s="1" t="s">
        <v>35</v>
      </c>
      <c r="E1673" s="5">
        <v>42847</v>
      </c>
      <c r="F1673" s="3" t="s">
        <v>115</v>
      </c>
      <c r="G1673" s="1" t="s">
        <v>583</v>
      </c>
      <c r="H1673" s="1">
        <v>250</v>
      </c>
      <c r="I1673" s="1">
        <v>240</v>
      </c>
      <c r="J1673" s="2">
        <v>0.04</v>
      </c>
      <c r="K1673">
        <f t="shared" si="78"/>
        <v>9.6</v>
      </c>
      <c r="L1673">
        <f t="shared" si="79"/>
        <v>230.4</v>
      </c>
      <c r="M1673" t="str">
        <f t="shared" si="80"/>
        <v>Apr-2017</v>
      </c>
    </row>
    <row r="1674" spans="1:13" x14ac:dyDescent="0.3">
      <c r="A1674" t="s">
        <v>2260</v>
      </c>
      <c r="B1674" s="1" t="s">
        <v>227</v>
      </c>
      <c r="C1674" s="1" t="s">
        <v>228</v>
      </c>
      <c r="D1674" s="1" t="s">
        <v>24</v>
      </c>
      <c r="E1674" s="5">
        <v>42389</v>
      </c>
      <c r="F1674" s="3" t="s">
        <v>115</v>
      </c>
      <c r="G1674" s="1" t="s">
        <v>229</v>
      </c>
      <c r="H1674" s="1">
        <v>250</v>
      </c>
      <c r="I1674" s="1">
        <v>243</v>
      </c>
      <c r="J1674" s="2">
        <v>2.8000000000000001E-2</v>
      </c>
      <c r="K1674">
        <f t="shared" si="78"/>
        <v>6.8040000000000003</v>
      </c>
      <c r="L1674">
        <f t="shared" si="79"/>
        <v>236.196</v>
      </c>
      <c r="M1674" t="str">
        <f t="shared" si="80"/>
        <v>Jan-2016</v>
      </c>
    </row>
    <row r="1675" spans="1:13" x14ac:dyDescent="0.3">
      <c r="A1675" t="s">
        <v>2261</v>
      </c>
      <c r="B1675" s="1" t="s">
        <v>70</v>
      </c>
      <c r="C1675" s="1" t="s">
        <v>71</v>
      </c>
      <c r="D1675" s="1" t="s">
        <v>35</v>
      </c>
      <c r="E1675" s="5">
        <v>42078</v>
      </c>
      <c r="F1675" s="3" t="s">
        <v>61</v>
      </c>
      <c r="G1675" s="1" t="s">
        <v>73</v>
      </c>
      <c r="H1675" s="1">
        <v>1000</v>
      </c>
      <c r="I1675" s="1">
        <v>810</v>
      </c>
      <c r="J1675" s="2">
        <v>0.19</v>
      </c>
      <c r="K1675">
        <f t="shared" si="78"/>
        <v>153.9</v>
      </c>
      <c r="L1675">
        <f t="shared" si="79"/>
        <v>656.1</v>
      </c>
      <c r="M1675" t="str">
        <f t="shared" si="80"/>
        <v>Mar-2015</v>
      </c>
    </row>
    <row r="1676" spans="1:13" x14ac:dyDescent="0.3">
      <c r="A1676" t="s">
        <v>2262</v>
      </c>
      <c r="B1676" s="1" t="s">
        <v>103</v>
      </c>
      <c r="C1676" s="1" t="s">
        <v>71</v>
      </c>
      <c r="D1676" s="1" t="s">
        <v>35</v>
      </c>
      <c r="E1676" s="5">
        <v>42120</v>
      </c>
      <c r="F1676" s="3" t="s">
        <v>61</v>
      </c>
      <c r="G1676" s="1" t="s">
        <v>1815</v>
      </c>
      <c r="H1676" s="1">
        <v>1000</v>
      </c>
      <c r="I1676" s="1">
        <v>700</v>
      </c>
      <c r="J1676" s="2">
        <v>0.3</v>
      </c>
      <c r="K1676">
        <f t="shared" si="78"/>
        <v>210</v>
      </c>
      <c r="L1676">
        <f t="shared" si="79"/>
        <v>490</v>
      </c>
      <c r="M1676" t="str">
        <f t="shared" si="80"/>
        <v>Apr-2015</v>
      </c>
    </row>
    <row r="1677" spans="1:13" x14ac:dyDescent="0.3">
      <c r="A1677" t="s">
        <v>2263</v>
      </c>
      <c r="B1677" s="1" t="s">
        <v>174</v>
      </c>
      <c r="C1677" s="1" t="s">
        <v>175</v>
      </c>
      <c r="D1677" s="1" t="s">
        <v>13</v>
      </c>
      <c r="E1677" s="5">
        <v>42725</v>
      </c>
      <c r="F1677" s="3" t="s">
        <v>41</v>
      </c>
      <c r="G1677" s="1" t="s">
        <v>1456</v>
      </c>
      <c r="H1677" s="1">
        <v>30</v>
      </c>
      <c r="I1677" s="1">
        <v>29</v>
      </c>
      <c r="J1677" s="2">
        <v>3.3300000000000003E-2</v>
      </c>
      <c r="K1677">
        <f t="shared" si="78"/>
        <v>0.96570000000000011</v>
      </c>
      <c r="L1677">
        <f t="shared" si="79"/>
        <v>28.034299999999998</v>
      </c>
      <c r="M1677" t="str">
        <f t="shared" si="80"/>
        <v>Dec-2016</v>
      </c>
    </row>
    <row r="1678" spans="1:13" x14ac:dyDescent="0.3">
      <c r="A1678" t="s">
        <v>2264</v>
      </c>
      <c r="B1678" s="1" t="s">
        <v>95</v>
      </c>
      <c r="C1678" s="1" t="s">
        <v>96</v>
      </c>
      <c r="D1678" s="1" t="s">
        <v>13</v>
      </c>
      <c r="E1678" s="5">
        <v>42911</v>
      </c>
      <c r="F1678" s="3" t="s">
        <v>61</v>
      </c>
      <c r="G1678" s="1" t="s">
        <v>97</v>
      </c>
      <c r="H1678" s="1">
        <v>1000</v>
      </c>
      <c r="I1678" s="1">
        <v>910</v>
      </c>
      <c r="J1678" s="2">
        <v>0.09</v>
      </c>
      <c r="K1678">
        <f t="shared" si="78"/>
        <v>81.899999999999991</v>
      </c>
      <c r="L1678">
        <f t="shared" si="79"/>
        <v>828.1</v>
      </c>
      <c r="M1678" t="str">
        <f t="shared" si="80"/>
        <v>Jun-2017</v>
      </c>
    </row>
    <row r="1679" spans="1:13" x14ac:dyDescent="0.3">
      <c r="A1679" t="s">
        <v>2265</v>
      </c>
      <c r="B1679" s="1" t="s">
        <v>49</v>
      </c>
      <c r="C1679" s="1" t="s">
        <v>50</v>
      </c>
      <c r="D1679" s="1" t="s">
        <v>24</v>
      </c>
      <c r="E1679" s="5">
        <v>43129</v>
      </c>
      <c r="F1679" s="3" t="s">
        <v>55</v>
      </c>
      <c r="G1679" s="1" t="s">
        <v>699</v>
      </c>
      <c r="H1679" s="1">
        <v>800</v>
      </c>
      <c r="I1679" s="1">
        <v>448</v>
      </c>
      <c r="J1679" s="2">
        <v>0.44</v>
      </c>
      <c r="K1679">
        <f t="shared" si="78"/>
        <v>197.12</v>
      </c>
      <c r="L1679">
        <f t="shared" si="79"/>
        <v>250.88</v>
      </c>
      <c r="M1679" t="str">
        <f t="shared" si="80"/>
        <v>Jan-2018</v>
      </c>
    </row>
    <row r="1680" spans="1:13" x14ac:dyDescent="0.3">
      <c r="A1680" t="s">
        <v>2266</v>
      </c>
      <c r="B1680" s="1" t="s">
        <v>150</v>
      </c>
      <c r="C1680" s="1" t="s">
        <v>151</v>
      </c>
      <c r="D1680" s="1" t="s">
        <v>13</v>
      </c>
      <c r="E1680" s="5">
        <v>43465</v>
      </c>
      <c r="F1680" s="3" t="s">
        <v>14</v>
      </c>
      <c r="G1680" s="1" t="s">
        <v>409</v>
      </c>
      <c r="H1680" s="1">
        <v>80</v>
      </c>
      <c r="I1680" s="1">
        <v>72</v>
      </c>
      <c r="J1680" s="2">
        <v>0.1</v>
      </c>
      <c r="K1680">
        <f t="shared" si="78"/>
        <v>7.2</v>
      </c>
      <c r="L1680">
        <f t="shared" si="79"/>
        <v>64.8</v>
      </c>
      <c r="M1680" t="str">
        <f t="shared" si="80"/>
        <v>Dec-2018</v>
      </c>
    </row>
    <row r="1681" spans="1:13" x14ac:dyDescent="0.3">
      <c r="A1681" t="s">
        <v>2267</v>
      </c>
      <c r="B1681" s="1" t="s">
        <v>124</v>
      </c>
      <c r="C1681" s="1" t="s">
        <v>40</v>
      </c>
      <c r="D1681" s="1" t="s">
        <v>35</v>
      </c>
      <c r="E1681" s="5">
        <v>43025</v>
      </c>
      <c r="F1681" s="3" t="s">
        <v>41</v>
      </c>
      <c r="G1681" s="1" t="s">
        <v>1017</v>
      </c>
      <c r="H1681" s="1">
        <v>30</v>
      </c>
      <c r="I1681" s="1">
        <v>23</v>
      </c>
      <c r="J1681" s="2">
        <v>0.23330000000000001</v>
      </c>
      <c r="K1681">
        <f t="shared" si="78"/>
        <v>5.3658999999999999</v>
      </c>
      <c r="L1681">
        <f t="shared" si="79"/>
        <v>17.6341</v>
      </c>
      <c r="M1681" t="str">
        <f t="shared" si="80"/>
        <v>Oct-2017</v>
      </c>
    </row>
    <row r="1682" spans="1:13" x14ac:dyDescent="0.3">
      <c r="A1682" t="s">
        <v>2268</v>
      </c>
      <c r="B1682" s="1" t="s">
        <v>224</v>
      </c>
      <c r="C1682" s="1" t="s">
        <v>50</v>
      </c>
      <c r="D1682" s="1" t="s">
        <v>24</v>
      </c>
      <c r="E1682" s="5">
        <v>42510</v>
      </c>
      <c r="F1682" s="3" t="s">
        <v>41</v>
      </c>
      <c r="G1682" s="1" t="s">
        <v>1942</v>
      </c>
      <c r="H1682" s="1">
        <v>30</v>
      </c>
      <c r="I1682" s="1">
        <v>30</v>
      </c>
      <c r="J1682" s="2">
        <v>0</v>
      </c>
      <c r="K1682">
        <f t="shared" si="78"/>
        <v>0</v>
      </c>
      <c r="L1682">
        <f t="shared" si="79"/>
        <v>30</v>
      </c>
      <c r="M1682" t="str">
        <f t="shared" si="80"/>
        <v>May-2016</v>
      </c>
    </row>
    <row r="1683" spans="1:13" x14ac:dyDescent="0.3">
      <c r="A1683" t="s">
        <v>2269</v>
      </c>
      <c r="B1683" s="1" t="s">
        <v>146</v>
      </c>
      <c r="C1683" s="1" t="s">
        <v>147</v>
      </c>
      <c r="D1683" s="1" t="s">
        <v>13</v>
      </c>
      <c r="E1683" s="5">
        <v>43329</v>
      </c>
      <c r="F1683" s="3" t="s">
        <v>41</v>
      </c>
      <c r="G1683" s="1" t="s">
        <v>1033</v>
      </c>
      <c r="H1683" s="1">
        <v>30</v>
      </c>
      <c r="I1683" s="1">
        <v>28</v>
      </c>
      <c r="J1683" s="2">
        <v>6.6699999999999995E-2</v>
      </c>
      <c r="K1683">
        <f t="shared" si="78"/>
        <v>1.8675999999999999</v>
      </c>
      <c r="L1683">
        <f t="shared" si="79"/>
        <v>26.132400000000001</v>
      </c>
      <c r="M1683" t="str">
        <f t="shared" si="80"/>
        <v>Aug-2018</v>
      </c>
    </row>
    <row r="1684" spans="1:13" x14ac:dyDescent="0.3">
      <c r="A1684" t="s">
        <v>2270</v>
      </c>
      <c r="B1684" s="1" t="s">
        <v>70</v>
      </c>
      <c r="C1684" s="1" t="s">
        <v>71</v>
      </c>
      <c r="D1684" s="1" t="s">
        <v>35</v>
      </c>
      <c r="E1684" s="5">
        <v>43342</v>
      </c>
      <c r="F1684" s="3" t="s">
        <v>115</v>
      </c>
      <c r="G1684" s="1" t="s">
        <v>142</v>
      </c>
      <c r="H1684" s="1">
        <v>250</v>
      </c>
      <c r="I1684" s="1">
        <v>220</v>
      </c>
      <c r="J1684" s="2">
        <v>0.12</v>
      </c>
      <c r="K1684">
        <f t="shared" si="78"/>
        <v>26.4</v>
      </c>
      <c r="L1684">
        <f t="shared" si="79"/>
        <v>193.6</v>
      </c>
      <c r="M1684" t="str">
        <f t="shared" si="80"/>
        <v>Aug-2018</v>
      </c>
    </row>
    <row r="1685" spans="1:13" x14ac:dyDescent="0.3">
      <c r="A1685" t="s">
        <v>2271</v>
      </c>
      <c r="B1685" s="1" t="s">
        <v>221</v>
      </c>
      <c r="C1685" s="1" t="s">
        <v>40</v>
      </c>
      <c r="D1685" s="1" t="s">
        <v>35</v>
      </c>
      <c r="E1685" s="5">
        <v>41869</v>
      </c>
      <c r="F1685" s="3" t="s">
        <v>115</v>
      </c>
      <c r="G1685" s="1" t="s">
        <v>1059</v>
      </c>
      <c r="H1685" s="1">
        <v>250</v>
      </c>
      <c r="I1685" s="1">
        <v>250</v>
      </c>
      <c r="J1685" s="2">
        <v>0</v>
      </c>
      <c r="K1685">
        <f t="shared" si="78"/>
        <v>0</v>
      </c>
      <c r="L1685">
        <f t="shared" si="79"/>
        <v>250</v>
      </c>
      <c r="M1685" t="str">
        <f t="shared" si="80"/>
        <v>Aug-2014</v>
      </c>
    </row>
    <row r="1686" spans="1:13" x14ac:dyDescent="0.3">
      <c r="A1686" t="s">
        <v>2272</v>
      </c>
      <c r="B1686" s="1" t="s">
        <v>49</v>
      </c>
      <c r="C1686" s="1" t="s">
        <v>50</v>
      </c>
      <c r="D1686" s="1" t="s">
        <v>24</v>
      </c>
      <c r="E1686" s="5">
        <v>42204</v>
      </c>
      <c r="F1686" s="3" t="s">
        <v>72</v>
      </c>
      <c r="G1686" s="1" t="s">
        <v>699</v>
      </c>
      <c r="H1686" s="1">
        <v>500</v>
      </c>
      <c r="I1686" s="1">
        <v>490</v>
      </c>
      <c r="J1686" s="2">
        <v>0.02</v>
      </c>
      <c r="K1686">
        <f t="shared" si="78"/>
        <v>9.8000000000000007</v>
      </c>
      <c r="L1686">
        <f t="shared" si="79"/>
        <v>480.2</v>
      </c>
      <c r="M1686" t="str">
        <f t="shared" si="80"/>
        <v>Jul-2015</v>
      </c>
    </row>
    <row r="1687" spans="1:13" x14ac:dyDescent="0.3">
      <c r="A1687" t="s">
        <v>2273</v>
      </c>
      <c r="B1687" s="1" t="s">
        <v>154</v>
      </c>
      <c r="C1687" s="1" t="s">
        <v>108</v>
      </c>
      <c r="D1687" s="1" t="s">
        <v>19</v>
      </c>
      <c r="E1687" s="5">
        <v>42366</v>
      </c>
      <c r="F1687" s="3" t="s">
        <v>25</v>
      </c>
      <c r="G1687" s="1" t="s">
        <v>155</v>
      </c>
      <c r="H1687" s="1">
        <v>700</v>
      </c>
      <c r="I1687" s="1">
        <v>637</v>
      </c>
      <c r="J1687" s="2">
        <v>0.09</v>
      </c>
      <c r="K1687">
        <f t="shared" si="78"/>
        <v>57.33</v>
      </c>
      <c r="L1687">
        <f t="shared" si="79"/>
        <v>579.66999999999996</v>
      </c>
      <c r="M1687" t="str">
        <f t="shared" si="80"/>
        <v>Dec-2015</v>
      </c>
    </row>
    <row r="1688" spans="1:13" x14ac:dyDescent="0.3">
      <c r="A1688" t="s">
        <v>2274</v>
      </c>
      <c r="B1688" s="1" t="s">
        <v>221</v>
      </c>
      <c r="C1688" s="1" t="s">
        <v>40</v>
      </c>
      <c r="D1688" s="1" t="s">
        <v>35</v>
      </c>
      <c r="E1688" s="5">
        <v>42668</v>
      </c>
      <c r="F1688" s="3" t="s">
        <v>25</v>
      </c>
      <c r="G1688" s="1" t="s">
        <v>245</v>
      </c>
      <c r="H1688" s="1">
        <v>700</v>
      </c>
      <c r="I1688" s="1">
        <v>679</v>
      </c>
      <c r="J1688" s="2">
        <v>0.03</v>
      </c>
      <c r="K1688">
        <f t="shared" si="78"/>
        <v>20.37</v>
      </c>
      <c r="L1688">
        <f t="shared" si="79"/>
        <v>658.63</v>
      </c>
      <c r="M1688" t="str">
        <f t="shared" si="80"/>
        <v>Oct-2016</v>
      </c>
    </row>
    <row r="1689" spans="1:13" x14ac:dyDescent="0.3">
      <c r="A1689" t="s">
        <v>2275</v>
      </c>
      <c r="B1689" s="1" t="s">
        <v>2191</v>
      </c>
      <c r="C1689" s="1" t="s">
        <v>108</v>
      </c>
      <c r="D1689" s="1" t="s">
        <v>19</v>
      </c>
      <c r="E1689" s="5">
        <v>42385</v>
      </c>
      <c r="F1689" s="3" t="s">
        <v>41</v>
      </c>
      <c r="G1689" s="1" t="s">
        <v>2201</v>
      </c>
      <c r="H1689" s="1">
        <v>30</v>
      </c>
      <c r="I1689" s="1">
        <v>28</v>
      </c>
      <c r="J1689" s="2">
        <v>6.6699999999999995E-2</v>
      </c>
      <c r="K1689">
        <f t="shared" si="78"/>
        <v>1.8675999999999999</v>
      </c>
      <c r="L1689">
        <f t="shared" si="79"/>
        <v>26.132400000000001</v>
      </c>
      <c r="M1689" t="str">
        <f t="shared" si="80"/>
        <v>Jan-2016</v>
      </c>
    </row>
    <row r="1690" spans="1:13" x14ac:dyDescent="0.3">
      <c r="A1690" t="s">
        <v>2276</v>
      </c>
      <c r="B1690" s="1" t="s">
        <v>81</v>
      </c>
      <c r="C1690" s="1" t="s">
        <v>82</v>
      </c>
      <c r="D1690" s="1" t="s">
        <v>13</v>
      </c>
      <c r="E1690" s="5">
        <v>42269</v>
      </c>
      <c r="F1690" s="3" t="s">
        <v>14</v>
      </c>
      <c r="G1690" s="1" t="s">
        <v>83</v>
      </c>
      <c r="H1690" s="1">
        <v>80</v>
      </c>
      <c r="I1690" s="1">
        <v>70</v>
      </c>
      <c r="J1690" s="2">
        <v>0.125</v>
      </c>
      <c r="K1690">
        <f t="shared" si="78"/>
        <v>8.75</v>
      </c>
      <c r="L1690">
        <f t="shared" si="79"/>
        <v>61.25</v>
      </c>
      <c r="M1690" t="str">
        <f t="shared" si="80"/>
        <v>Sep-2015</v>
      </c>
    </row>
    <row r="1691" spans="1:13" x14ac:dyDescent="0.3">
      <c r="A1691" t="s">
        <v>2277</v>
      </c>
      <c r="B1691" s="1" t="s">
        <v>182</v>
      </c>
      <c r="C1691" s="1" t="s">
        <v>108</v>
      </c>
      <c r="D1691" s="1" t="s">
        <v>19</v>
      </c>
      <c r="E1691" s="5">
        <v>43265</v>
      </c>
      <c r="F1691" s="3" t="s">
        <v>41</v>
      </c>
      <c r="G1691" s="1" t="s">
        <v>2235</v>
      </c>
      <c r="H1691" s="1">
        <v>30</v>
      </c>
      <c r="I1691" s="1">
        <v>26</v>
      </c>
      <c r="J1691" s="2">
        <v>0.1333</v>
      </c>
      <c r="K1691">
        <f t="shared" si="78"/>
        <v>3.4658000000000002</v>
      </c>
      <c r="L1691">
        <f t="shared" si="79"/>
        <v>22.534199999999998</v>
      </c>
      <c r="M1691" t="str">
        <f t="shared" si="80"/>
        <v>Jun-2018</v>
      </c>
    </row>
    <row r="1692" spans="1:13" x14ac:dyDescent="0.3">
      <c r="A1692" t="s">
        <v>2278</v>
      </c>
      <c r="B1692" s="1" t="s">
        <v>221</v>
      </c>
      <c r="C1692" s="1" t="s">
        <v>40</v>
      </c>
      <c r="D1692" s="1" t="s">
        <v>35</v>
      </c>
      <c r="E1692" s="5">
        <v>42538</v>
      </c>
      <c r="F1692" s="3" t="s">
        <v>122</v>
      </c>
      <c r="G1692" s="1" t="s">
        <v>1179</v>
      </c>
      <c r="H1692" s="1">
        <v>50</v>
      </c>
      <c r="I1692" s="1">
        <v>47</v>
      </c>
      <c r="J1692" s="2">
        <v>0.06</v>
      </c>
      <c r="K1692">
        <f t="shared" si="78"/>
        <v>2.82</v>
      </c>
      <c r="L1692">
        <f t="shared" si="79"/>
        <v>44.18</v>
      </c>
      <c r="M1692" t="str">
        <f t="shared" si="80"/>
        <v>Jun-2016</v>
      </c>
    </row>
    <row r="1693" spans="1:13" x14ac:dyDescent="0.3">
      <c r="A1693" t="s">
        <v>2279</v>
      </c>
      <c r="B1693" s="1" t="s">
        <v>77</v>
      </c>
      <c r="C1693" s="1" t="s">
        <v>78</v>
      </c>
      <c r="D1693" s="1" t="s">
        <v>35</v>
      </c>
      <c r="E1693" s="5">
        <v>42359</v>
      </c>
      <c r="F1693" s="3" t="s">
        <v>122</v>
      </c>
      <c r="G1693" s="1" t="s">
        <v>1789</v>
      </c>
      <c r="H1693" s="1">
        <v>50</v>
      </c>
      <c r="I1693" s="1">
        <v>45</v>
      </c>
      <c r="J1693" s="2">
        <v>0.1</v>
      </c>
      <c r="K1693">
        <f t="shared" si="78"/>
        <v>4.5</v>
      </c>
      <c r="L1693">
        <f t="shared" si="79"/>
        <v>40.5</v>
      </c>
      <c r="M1693" t="str">
        <f t="shared" si="80"/>
        <v>Dec-2015</v>
      </c>
    </row>
    <row r="1694" spans="1:13" x14ac:dyDescent="0.3">
      <c r="A1694" t="s">
        <v>2280</v>
      </c>
      <c r="B1694" s="1" t="s">
        <v>2191</v>
      </c>
      <c r="C1694" s="1" t="s">
        <v>108</v>
      </c>
      <c r="D1694" s="1" t="s">
        <v>19</v>
      </c>
      <c r="E1694" s="5">
        <v>42549</v>
      </c>
      <c r="F1694" s="3" t="s">
        <v>104</v>
      </c>
      <c r="G1694" s="1" t="s">
        <v>2281</v>
      </c>
      <c r="H1694" s="1">
        <v>70</v>
      </c>
      <c r="I1694" s="1">
        <v>69</v>
      </c>
      <c r="J1694" s="2">
        <v>1.43E-2</v>
      </c>
      <c r="K1694">
        <f t="shared" si="78"/>
        <v>0.98670000000000002</v>
      </c>
      <c r="L1694">
        <f t="shared" si="79"/>
        <v>68.013300000000001</v>
      </c>
      <c r="M1694" t="str">
        <f t="shared" si="80"/>
        <v>Jun-2016</v>
      </c>
    </row>
    <row r="1695" spans="1:13" x14ac:dyDescent="0.3">
      <c r="A1695" t="s">
        <v>2282</v>
      </c>
      <c r="B1695" s="1" t="s">
        <v>11</v>
      </c>
      <c r="C1695" s="1" t="s">
        <v>12</v>
      </c>
      <c r="D1695" s="1" t="s">
        <v>13</v>
      </c>
      <c r="E1695" s="5">
        <v>42853</v>
      </c>
      <c r="F1695" s="3" t="s">
        <v>55</v>
      </c>
      <c r="G1695" s="1" t="s">
        <v>293</v>
      </c>
      <c r="H1695" s="1">
        <v>800</v>
      </c>
      <c r="I1695" s="1">
        <v>640</v>
      </c>
      <c r="J1695" s="2">
        <v>0.2</v>
      </c>
      <c r="K1695">
        <f t="shared" si="78"/>
        <v>128</v>
      </c>
      <c r="L1695">
        <f t="shared" si="79"/>
        <v>512</v>
      </c>
      <c r="M1695" t="str">
        <f t="shared" si="80"/>
        <v>Apr-2017</v>
      </c>
    </row>
    <row r="1696" spans="1:13" x14ac:dyDescent="0.3">
      <c r="A1696" t="s">
        <v>2283</v>
      </c>
      <c r="B1696" s="1" t="s">
        <v>111</v>
      </c>
      <c r="C1696" s="1" t="s">
        <v>82</v>
      </c>
      <c r="D1696" s="1" t="s">
        <v>13</v>
      </c>
      <c r="E1696" s="5">
        <v>41670</v>
      </c>
      <c r="F1696" s="3" t="s">
        <v>55</v>
      </c>
      <c r="G1696" s="1" t="s">
        <v>1688</v>
      </c>
      <c r="H1696" s="1">
        <v>800</v>
      </c>
      <c r="I1696" s="1">
        <v>744</v>
      </c>
      <c r="J1696" s="2">
        <v>7.0000000000000007E-2</v>
      </c>
      <c r="K1696">
        <f t="shared" si="78"/>
        <v>52.080000000000005</v>
      </c>
      <c r="L1696">
        <f t="shared" si="79"/>
        <v>691.92</v>
      </c>
      <c r="M1696" t="str">
        <f t="shared" si="80"/>
        <v>Jan-2014</v>
      </c>
    </row>
    <row r="1697" spans="1:13" x14ac:dyDescent="0.3">
      <c r="A1697" t="s">
        <v>2284</v>
      </c>
      <c r="B1697" s="1" t="s">
        <v>28</v>
      </c>
      <c r="C1697" s="1" t="s">
        <v>29</v>
      </c>
      <c r="D1697" s="1" t="s">
        <v>13</v>
      </c>
      <c r="E1697" s="5">
        <v>42180</v>
      </c>
      <c r="F1697" s="3" t="s">
        <v>14</v>
      </c>
      <c r="G1697" s="1" t="s">
        <v>1743</v>
      </c>
      <c r="H1697" s="1">
        <v>80</v>
      </c>
      <c r="I1697" s="1">
        <v>74</v>
      </c>
      <c r="J1697" s="2">
        <v>7.4999999999999997E-2</v>
      </c>
      <c r="K1697">
        <f t="shared" si="78"/>
        <v>5.55</v>
      </c>
      <c r="L1697">
        <f t="shared" si="79"/>
        <v>68.45</v>
      </c>
      <c r="M1697" t="str">
        <f t="shared" si="80"/>
        <v>Jun-2015</v>
      </c>
    </row>
    <row r="1698" spans="1:13" x14ac:dyDescent="0.3">
      <c r="A1698" t="s">
        <v>2285</v>
      </c>
      <c r="B1698" s="1" t="s">
        <v>174</v>
      </c>
      <c r="C1698" s="1" t="s">
        <v>175</v>
      </c>
      <c r="D1698" s="1" t="s">
        <v>13</v>
      </c>
      <c r="E1698" s="5">
        <v>41868</v>
      </c>
      <c r="F1698" s="3" t="s">
        <v>30</v>
      </c>
      <c r="G1698" s="1" t="s">
        <v>176</v>
      </c>
      <c r="H1698" s="1">
        <v>150</v>
      </c>
      <c r="I1698" s="1">
        <v>128</v>
      </c>
      <c r="J1698" s="2">
        <v>0.1467</v>
      </c>
      <c r="K1698">
        <f t="shared" si="78"/>
        <v>18.7776</v>
      </c>
      <c r="L1698">
        <f t="shared" si="79"/>
        <v>109.22239999999999</v>
      </c>
      <c r="M1698" t="str">
        <f t="shared" si="80"/>
        <v>Aug-2014</v>
      </c>
    </row>
    <row r="1699" spans="1:13" x14ac:dyDescent="0.3">
      <c r="A1699" t="s">
        <v>2286</v>
      </c>
      <c r="B1699" s="1" t="s">
        <v>49</v>
      </c>
      <c r="C1699" s="1" t="s">
        <v>50</v>
      </c>
      <c r="D1699" s="1" t="s">
        <v>24</v>
      </c>
      <c r="E1699" s="5">
        <v>42139</v>
      </c>
      <c r="F1699" s="3" t="s">
        <v>122</v>
      </c>
      <c r="G1699" s="1" t="s">
        <v>2287</v>
      </c>
      <c r="H1699" s="1">
        <v>50</v>
      </c>
      <c r="I1699" s="1">
        <v>45</v>
      </c>
      <c r="J1699" s="2">
        <v>0.1</v>
      </c>
      <c r="K1699">
        <f t="shared" si="78"/>
        <v>4.5</v>
      </c>
      <c r="L1699">
        <f t="shared" si="79"/>
        <v>40.5</v>
      </c>
      <c r="M1699" t="str">
        <f t="shared" si="80"/>
        <v>May-2015</v>
      </c>
    </row>
    <row r="1700" spans="1:13" x14ac:dyDescent="0.3">
      <c r="A1700" t="s">
        <v>2288</v>
      </c>
      <c r="B1700" s="1" t="s">
        <v>114</v>
      </c>
      <c r="C1700" s="1" t="s">
        <v>54</v>
      </c>
      <c r="D1700" s="1" t="s">
        <v>13</v>
      </c>
      <c r="E1700" s="5">
        <v>42873</v>
      </c>
      <c r="F1700" s="3" t="s">
        <v>55</v>
      </c>
      <c r="G1700" s="1" t="s">
        <v>235</v>
      </c>
      <c r="H1700" s="1">
        <v>800</v>
      </c>
      <c r="I1700" s="1">
        <v>664</v>
      </c>
      <c r="J1700" s="2">
        <v>0.17</v>
      </c>
      <c r="K1700">
        <f t="shared" si="78"/>
        <v>112.88000000000001</v>
      </c>
      <c r="L1700">
        <f t="shared" si="79"/>
        <v>551.12</v>
      </c>
      <c r="M1700" t="str">
        <f t="shared" si="80"/>
        <v>May-2017</v>
      </c>
    </row>
    <row r="1701" spans="1:13" x14ac:dyDescent="0.3">
      <c r="A1701" t="s">
        <v>2289</v>
      </c>
      <c r="B1701" s="1" t="s">
        <v>289</v>
      </c>
      <c r="C1701" s="1" t="s">
        <v>108</v>
      </c>
      <c r="D1701" s="1" t="s">
        <v>19</v>
      </c>
      <c r="E1701" s="5">
        <v>43150</v>
      </c>
      <c r="F1701" s="3" t="s">
        <v>115</v>
      </c>
      <c r="G1701" s="1" t="s">
        <v>421</v>
      </c>
      <c r="H1701" s="1">
        <v>250</v>
      </c>
      <c r="I1701" s="1">
        <v>243</v>
      </c>
      <c r="J1701" s="2">
        <v>2.8000000000000001E-2</v>
      </c>
      <c r="K1701">
        <f t="shared" si="78"/>
        <v>6.8040000000000003</v>
      </c>
      <c r="L1701">
        <f t="shared" si="79"/>
        <v>236.196</v>
      </c>
      <c r="M1701" t="str">
        <f t="shared" si="80"/>
        <v>Feb-2018</v>
      </c>
    </row>
    <row r="1702" spans="1:13" x14ac:dyDescent="0.3">
      <c r="A1702" t="s">
        <v>2290</v>
      </c>
      <c r="B1702" s="1" t="s">
        <v>22</v>
      </c>
      <c r="C1702" s="1" t="s">
        <v>23</v>
      </c>
      <c r="D1702" s="1" t="s">
        <v>24</v>
      </c>
      <c r="E1702" s="5">
        <v>42760</v>
      </c>
      <c r="F1702" s="3" t="s">
        <v>104</v>
      </c>
      <c r="G1702" s="1" t="s">
        <v>310</v>
      </c>
      <c r="H1702" s="1">
        <v>70</v>
      </c>
      <c r="I1702" s="1">
        <v>69</v>
      </c>
      <c r="J1702" s="2">
        <v>1.43E-2</v>
      </c>
      <c r="K1702">
        <f t="shared" si="78"/>
        <v>0.98670000000000002</v>
      </c>
      <c r="L1702">
        <f t="shared" si="79"/>
        <v>68.013300000000001</v>
      </c>
      <c r="M1702" t="str">
        <f t="shared" si="80"/>
        <v>Jan-2017</v>
      </c>
    </row>
    <row r="1703" spans="1:13" x14ac:dyDescent="0.3">
      <c r="A1703" t="s">
        <v>2291</v>
      </c>
      <c r="B1703" s="1" t="s">
        <v>118</v>
      </c>
      <c r="C1703" s="1" t="s">
        <v>119</v>
      </c>
      <c r="D1703" s="1" t="s">
        <v>35</v>
      </c>
      <c r="E1703" s="5">
        <v>42362</v>
      </c>
      <c r="F1703" s="3" t="s">
        <v>46</v>
      </c>
      <c r="G1703" s="1" t="s">
        <v>1079</v>
      </c>
      <c r="H1703" s="1">
        <v>500</v>
      </c>
      <c r="I1703" s="1">
        <v>495</v>
      </c>
      <c r="J1703" s="2">
        <v>0.01</v>
      </c>
      <c r="K1703">
        <f t="shared" si="78"/>
        <v>4.95</v>
      </c>
      <c r="L1703">
        <f t="shared" si="79"/>
        <v>490.05</v>
      </c>
      <c r="M1703" t="str">
        <f t="shared" si="80"/>
        <v>Dec-2015</v>
      </c>
    </row>
    <row r="1704" spans="1:13" x14ac:dyDescent="0.3">
      <c r="A1704" t="s">
        <v>2292</v>
      </c>
      <c r="B1704" s="1" t="s">
        <v>127</v>
      </c>
      <c r="C1704" s="1" t="s">
        <v>128</v>
      </c>
      <c r="D1704" s="1" t="s">
        <v>13</v>
      </c>
      <c r="E1704" s="5">
        <v>42630</v>
      </c>
      <c r="F1704" s="3" t="s">
        <v>55</v>
      </c>
      <c r="G1704" s="1" t="s">
        <v>129</v>
      </c>
      <c r="H1704" s="1">
        <v>800</v>
      </c>
      <c r="I1704" s="1">
        <v>440</v>
      </c>
      <c r="J1704" s="2">
        <v>0.45</v>
      </c>
      <c r="K1704">
        <f t="shared" si="78"/>
        <v>198</v>
      </c>
      <c r="L1704">
        <f t="shared" si="79"/>
        <v>242</v>
      </c>
      <c r="M1704" t="str">
        <f t="shared" si="80"/>
        <v>Sep-2016</v>
      </c>
    </row>
    <row r="1705" spans="1:13" x14ac:dyDescent="0.3">
      <c r="A1705" t="s">
        <v>2293</v>
      </c>
      <c r="B1705" s="1" t="s">
        <v>114</v>
      </c>
      <c r="C1705" s="1" t="s">
        <v>54</v>
      </c>
      <c r="D1705" s="1" t="s">
        <v>13</v>
      </c>
      <c r="E1705" s="5">
        <v>42267</v>
      </c>
      <c r="F1705" s="3" t="s">
        <v>122</v>
      </c>
      <c r="G1705" s="1" t="s">
        <v>885</v>
      </c>
      <c r="H1705" s="1">
        <v>50</v>
      </c>
      <c r="I1705" s="1">
        <v>44</v>
      </c>
      <c r="J1705" s="2">
        <v>0.12</v>
      </c>
      <c r="K1705">
        <f t="shared" si="78"/>
        <v>5.2799999999999994</v>
      </c>
      <c r="L1705">
        <f t="shared" si="79"/>
        <v>38.72</v>
      </c>
      <c r="M1705" t="str">
        <f t="shared" si="80"/>
        <v>Sep-2015</v>
      </c>
    </row>
    <row r="1706" spans="1:13" x14ac:dyDescent="0.3">
      <c r="A1706" t="s">
        <v>2294</v>
      </c>
      <c r="B1706" s="1" t="s">
        <v>70</v>
      </c>
      <c r="C1706" s="1" t="s">
        <v>71</v>
      </c>
      <c r="D1706" s="1" t="s">
        <v>35</v>
      </c>
      <c r="E1706" s="5">
        <v>42202</v>
      </c>
      <c r="F1706" s="3" t="s">
        <v>61</v>
      </c>
      <c r="G1706" s="1" t="s">
        <v>2295</v>
      </c>
      <c r="H1706" s="1">
        <v>1000</v>
      </c>
      <c r="I1706" s="1">
        <v>790</v>
      </c>
      <c r="J1706" s="2">
        <v>0.21</v>
      </c>
      <c r="K1706">
        <f t="shared" si="78"/>
        <v>165.9</v>
      </c>
      <c r="L1706">
        <f t="shared" si="79"/>
        <v>624.1</v>
      </c>
      <c r="M1706" t="str">
        <f t="shared" si="80"/>
        <v>Jul-2015</v>
      </c>
    </row>
    <row r="1707" spans="1:13" x14ac:dyDescent="0.3">
      <c r="A1707" t="s">
        <v>2296</v>
      </c>
      <c r="B1707" s="1" t="s">
        <v>22</v>
      </c>
      <c r="C1707" s="1" t="s">
        <v>23</v>
      </c>
      <c r="D1707" s="1" t="s">
        <v>24</v>
      </c>
      <c r="E1707" s="5">
        <v>43296</v>
      </c>
      <c r="F1707" s="3" t="s">
        <v>25</v>
      </c>
      <c r="G1707" s="1" t="s">
        <v>483</v>
      </c>
      <c r="H1707" s="1">
        <v>700</v>
      </c>
      <c r="I1707" s="1">
        <v>609</v>
      </c>
      <c r="J1707" s="2">
        <v>0.13</v>
      </c>
      <c r="K1707">
        <f t="shared" si="78"/>
        <v>79.17</v>
      </c>
      <c r="L1707">
        <f t="shared" si="79"/>
        <v>529.83000000000004</v>
      </c>
      <c r="M1707" t="str">
        <f t="shared" si="80"/>
        <v>Jul-2018</v>
      </c>
    </row>
    <row r="1708" spans="1:13" x14ac:dyDescent="0.3">
      <c r="A1708" t="s">
        <v>2297</v>
      </c>
      <c r="B1708" s="1" t="s">
        <v>114</v>
      </c>
      <c r="C1708" s="1" t="s">
        <v>54</v>
      </c>
      <c r="D1708" s="1" t="s">
        <v>13</v>
      </c>
      <c r="E1708" s="5">
        <v>43121</v>
      </c>
      <c r="F1708" s="3" t="s">
        <v>46</v>
      </c>
      <c r="G1708" s="1" t="s">
        <v>1068</v>
      </c>
      <c r="H1708" s="1">
        <v>500</v>
      </c>
      <c r="I1708" s="1">
        <v>425</v>
      </c>
      <c r="J1708" s="2">
        <v>0.15</v>
      </c>
      <c r="K1708">
        <f t="shared" si="78"/>
        <v>63.75</v>
      </c>
      <c r="L1708">
        <f t="shared" si="79"/>
        <v>361.25</v>
      </c>
      <c r="M1708" t="str">
        <f t="shared" si="80"/>
        <v>Jan-2018</v>
      </c>
    </row>
    <row r="1709" spans="1:13" x14ac:dyDescent="0.3">
      <c r="A1709" t="s">
        <v>2298</v>
      </c>
      <c r="B1709" s="1" t="s">
        <v>127</v>
      </c>
      <c r="C1709" s="1" t="s">
        <v>128</v>
      </c>
      <c r="D1709" s="1" t="s">
        <v>13</v>
      </c>
      <c r="E1709" s="5">
        <v>43052</v>
      </c>
      <c r="F1709" s="3" t="s">
        <v>104</v>
      </c>
      <c r="G1709" s="1" t="s">
        <v>920</v>
      </c>
      <c r="H1709" s="1">
        <v>70</v>
      </c>
      <c r="I1709" s="1">
        <v>45</v>
      </c>
      <c r="J1709" s="2">
        <v>0.35709999999999997</v>
      </c>
      <c r="K1709">
        <f t="shared" si="78"/>
        <v>16.069499999999998</v>
      </c>
      <c r="L1709">
        <f t="shared" si="79"/>
        <v>28.930500000000002</v>
      </c>
      <c r="M1709" t="str">
        <f t="shared" si="80"/>
        <v>Nov-2017</v>
      </c>
    </row>
    <row r="1710" spans="1:13" x14ac:dyDescent="0.3">
      <c r="A1710" t="s">
        <v>2299</v>
      </c>
      <c r="B1710" s="1" t="s">
        <v>170</v>
      </c>
      <c r="C1710" s="1" t="s">
        <v>171</v>
      </c>
      <c r="D1710" s="1" t="s">
        <v>13</v>
      </c>
      <c r="E1710" s="5">
        <v>43245</v>
      </c>
      <c r="F1710" s="3" t="s">
        <v>41</v>
      </c>
      <c r="G1710" s="1" t="s">
        <v>411</v>
      </c>
      <c r="H1710" s="1">
        <v>30</v>
      </c>
      <c r="I1710" s="1">
        <v>25</v>
      </c>
      <c r="J1710" s="2">
        <v>0.16669999999999999</v>
      </c>
      <c r="K1710">
        <f t="shared" si="78"/>
        <v>4.1674999999999995</v>
      </c>
      <c r="L1710">
        <f t="shared" si="79"/>
        <v>20.8325</v>
      </c>
      <c r="M1710" t="str">
        <f t="shared" si="80"/>
        <v>May-2018</v>
      </c>
    </row>
    <row r="1711" spans="1:13" x14ac:dyDescent="0.3">
      <c r="A1711" t="s">
        <v>2300</v>
      </c>
      <c r="B1711" s="1" t="s">
        <v>170</v>
      </c>
      <c r="C1711" s="1" t="s">
        <v>171</v>
      </c>
      <c r="D1711" s="1" t="s">
        <v>13</v>
      </c>
      <c r="E1711" s="5">
        <v>41837</v>
      </c>
      <c r="F1711" s="3" t="s">
        <v>25</v>
      </c>
      <c r="G1711" s="1" t="s">
        <v>172</v>
      </c>
      <c r="H1711" s="1">
        <v>700</v>
      </c>
      <c r="I1711" s="1">
        <v>476</v>
      </c>
      <c r="J1711" s="2">
        <v>0.32</v>
      </c>
      <c r="K1711">
        <f t="shared" si="78"/>
        <v>152.32</v>
      </c>
      <c r="L1711">
        <f t="shared" si="79"/>
        <v>323.68</v>
      </c>
      <c r="M1711" t="str">
        <f t="shared" si="80"/>
        <v>Jul-2014</v>
      </c>
    </row>
    <row r="1712" spans="1:13" x14ac:dyDescent="0.3">
      <c r="A1712" t="s">
        <v>2301</v>
      </c>
      <c r="B1712" s="1" t="s">
        <v>49</v>
      </c>
      <c r="C1712" s="1" t="s">
        <v>50</v>
      </c>
      <c r="D1712" s="1" t="s">
        <v>24</v>
      </c>
      <c r="E1712" s="5">
        <v>42308</v>
      </c>
      <c r="F1712" s="3" t="s">
        <v>122</v>
      </c>
      <c r="G1712" s="1" t="s">
        <v>51</v>
      </c>
      <c r="H1712" s="1">
        <v>50</v>
      </c>
      <c r="I1712" s="1">
        <v>43</v>
      </c>
      <c r="J1712" s="2">
        <v>0.14000000000000001</v>
      </c>
      <c r="K1712">
        <f t="shared" si="78"/>
        <v>6.0200000000000005</v>
      </c>
      <c r="L1712">
        <f t="shared" si="79"/>
        <v>36.979999999999997</v>
      </c>
      <c r="M1712" t="str">
        <f t="shared" si="80"/>
        <v>Oct-2015</v>
      </c>
    </row>
    <row r="1713" spans="1:13" x14ac:dyDescent="0.3">
      <c r="A1713" t="s">
        <v>2302</v>
      </c>
      <c r="B1713" s="1" t="s">
        <v>114</v>
      </c>
      <c r="C1713" s="1" t="s">
        <v>54</v>
      </c>
      <c r="D1713" s="1" t="s">
        <v>13</v>
      </c>
      <c r="E1713" s="5">
        <v>42787</v>
      </c>
      <c r="F1713" s="3" t="s">
        <v>61</v>
      </c>
      <c r="G1713" s="1" t="s">
        <v>1221</v>
      </c>
      <c r="H1713" s="1">
        <v>1000</v>
      </c>
      <c r="I1713" s="1">
        <v>930</v>
      </c>
      <c r="J1713" s="2">
        <v>7.0000000000000007E-2</v>
      </c>
      <c r="K1713">
        <f t="shared" si="78"/>
        <v>65.100000000000009</v>
      </c>
      <c r="L1713">
        <f t="shared" si="79"/>
        <v>864.9</v>
      </c>
      <c r="M1713" t="str">
        <f t="shared" si="80"/>
        <v>Feb-2017</v>
      </c>
    </row>
    <row r="1714" spans="1:13" x14ac:dyDescent="0.3">
      <c r="A1714" t="s">
        <v>2303</v>
      </c>
      <c r="B1714" s="1" t="s">
        <v>49</v>
      </c>
      <c r="C1714" s="1" t="s">
        <v>50</v>
      </c>
      <c r="D1714" s="1" t="s">
        <v>24</v>
      </c>
      <c r="E1714" s="5">
        <v>42902</v>
      </c>
      <c r="F1714" s="3" t="s">
        <v>36</v>
      </c>
      <c r="G1714" s="1" t="s">
        <v>68</v>
      </c>
      <c r="H1714" s="1">
        <v>50</v>
      </c>
      <c r="I1714" s="1">
        <v>43</v>
      </c>
      <c r="J1714" s="2">
        <v>0.14000000000000001</v>
      </c>
      <c r="K1714">
        <f t="shared" si="78"/>
        <v>6.0200000000000005</v>
      </c>
      <c r="L1714">
        <f t="shared" si="79"/>
        <v>36.979999999999997</v>
      </c>
      <c r="M1714" t="str">
        <f t="shared" si="80"/>
        <v>Jun-2017</v>
      </c>
    </row>
    <row r="1715" spans="1:13" x14ac:dyDescent="0.3">
      <c r="A1715" t="s">
        <v>2304</v>
      </c>
      <c r="B1715" s="1" t="s">
        <v>187</v>
      </c>
      <c r="C1715" s="1" t="s">
        <v>188</v>
      </c>
      <c r="D1715" s="1" t="s">
        <v>13</v>
      </c>
      <c r="E1715" s="5">
        <v>42321</v>
      </c>
      <c r="F1715" s="3" t="s">
        <v>36</v>
      </c>
      <c r="G1715" s="1" t="s">
        <v>741</v>
      </c>
      <c r="H1715" s="1">
        <v>50</v>
      </c>
      <c r="I1715" s="1">
        <v>34</v>
      </c>
      <c r="J1715" s="2">
        <v>0.32</v>
      </c>
      <c r="K1715">
        <f t="shared" si="78"/>
        <v>10.88</v>
      </c>
      <c r="L1715">
        <f t="shared" si="79"/>
        <v>23.119999999999997</v>
      </c>
      <c r="M1715" t="str">
        <f t="shared" si="80"/>
        <v>Nov-2015</v>
      </c>
    </row>
    <row r="1716" spans="1:13" x14ac:dyDescent="0.3">
      <c r="A1716" t="s">
        <v>2305</v>
      </c>
      <c r="B1716" s="1" t="s">
        <v>154</v>
      </c>
      <c r="C1716" s="1" t="s">
        <v>108</v>
      </c>
      <c r="D1716" s="1" t="s">
        <v>19</v>
      </c>
      <c r="E1716" s="5">
        <v>42383</v>
      </c>
      <c r="F1716" s="3" t="s">
        <v>36</v>
      </c>
      <c r="G1716" s="1" t="s">
        <v>490</v>
      </c>
      <c r="H1716" s="1">
        <v>50</v>
      </c>
      <c r="I1716" s="1">
        <v>46</v>
      </c>
      <c r="J1716" s="2">
        <v>0.08</v>
      </c>
      <c r="K1716">
        <f t="shared" si="78"/>
        <v>3.68</v>
      </c>
      <c r="L1716">
        <f t="shared" si="79"/>
        <v>42.32</v>
      </c>
      <c r="M1716" t="str">
        <f t="shared" si="80"/>
        <v>Jan-2016</v>
      </c>
    </row>
    <row r="1717" spans="1:13" x14ac:dyDescent="0.3">
      <c r="A1717" t="s">
        <v>2306</v>
      </c>
      <c r="B1717" s="1" t="s">
        <v>22</v>
      </c>
      <c r="C1717" s="1" t="s">
        <v>23</v>
      </c>
      <c r="D1717" s="1" t="s">
        <v>24</v>
      </c>
      <c r="E1717" s="5">
        <v>41987</v>
      </c>
      <c r="F1717" s="3" t="s">
        <v>46</v>
      </c>
      <c r="G1717" s="1" t="s">
        <v>26</v>
      </c>
      <c r="H1717" s="1">
        <v>500</v>
      </c>
      <c r="I1717" s="1">
        <v>355</v>
      </c>
      <c r="J1717" s="2">
        <v>0.28999999999999998</v>
      </c>
      <c r="K1717">
        <f t="shared" si="78"/>
        <v>102.94999999999999</v>
      </c>
      <c r="L1717">
        <f t="shared" si="79"/>
        <v>252.05</v>
      </c>
      <c r="M1717" t="str">
        <f t="shared" si="80"/>
        <v>Dec-2014</v>
      </c>
    </row>
    <row r="1718" spans="1:13" x14ac:dyDescent="0.3">
      <c r="A1718" t="s">
        <v>2307</v>
      </c>
      <c r="B1718" s="1" t="s">
        <v>28</v>
      </c>
      <c r="C1718" s="1" t="s">
        <v>29</v>
      </c>
      <c r="D1718" s="1" t="s">
        <v>13</v>
      </c>
      <c r="E1718" s="5">
        <v>42414</v>
      </c>
      <c r="F1718" s="3" t="s">
        <v>36</v>
      </c>
      <c r="G1718" s="1" t="s">
        <v>445</v>
      </c>
      <c r="H1718" s="1">
        <v>50</v>
      </c>
      <c r="I1718" s="1">
        <v>40</v>
      </c>
      <c r="J1718" s="2">
        <v>0.2</v>
      </c>
      <c r="K1718">
        <f t="shared" si="78"/>
        <v>8</v>
      </c>
      <c r="L1718">
        <f t="shared" si="79"/>
        <v>32</v>
      </c>
      <c r="M1718" t="str">
        <f t="shared" si="80"/>
        <v>Feb-2016</v>
      </c>
    </row>
    <row r="1719" spans="1:13" x14ac:dyDescent="0.3">
      <c r="A1719" t="s">
        <v>2308</v>
      </c>
      <c r="B1719" s="1" t="s">
        <v>59</v>
      </c>
      <c r="C1719" s="1" t="s">
        <v>60</v>
      </c>
      <c r="D1719" s="1" t="s">
        <v>13</v>
      </c>
      <c r="E1719" s="5">
        <v>43297</v>
      </c>
      <c r="F1719" s="3" t="s">
        <v>46</v>
      </c>
      <c r="G1719" s="1" t="s">
        <v>62</v>
      </c>
      <c r="H1719" s="1">
        <v>500</v>
      </c>
      <c r="I1719" s="1">
        <v>450</v>
      </c>
      <c r="J1719" s="2">
        <v>0.1</v>
      </c>
      <c r="K1719">
        <f t="shared" si="78"/>
        <v>45</v>
      </c>
      <c r="L1719">
        <f t="shared" si="79"/>
        <v>405</v>
      </c>
      <c r="M1719" t="str">
        <f t="shared" si="80"/>
        <v>Jul-2018</v>
      </c>
    </row>
    <row r="1720" spans="1:13" x14ac:dyDescent="0.3">
      <c r="A1720" t="s">
        <v>2309</v>
      </c>
      <c r="B1720" s="1" t="s">
        <v>2243</v>
      </c>
      <c r="C1720" s="1" t="s">
        <v>108</v>
      </c>
      <c r="D1720" s="1" t="s">
        <v>19</v>
      </c>
      <c r="E1720" s="5">
        <v>41901</v>
      </c>
      <c r="F1720" s="3" t="s">
        <v>122</v>
      </c>
      <c r="G1720" s="1" t="s">
        <v>2310</v>
      </c>
      <c r="H1720" s="1">
        <v>50</v>
      </c>
      <c r="I1720" s="1">
        <v>47</v>
      </c>
      <c r="J1720" s="2">
        <v>0.06</v>
      </c>
      <c r="K1720">
        <f t="shared" si="78"/>
        <v>2.82</v>
      </c>
      <c r="L1720">
        <f t="shared" si="79"/>
        <v>44.18</v>
      </c>
      <c r="M1720" t="str">
        <f t="shared" si="80"/>
        <v>Sep-2014</v>
      </c>
    </row>
    <row r="1721" spans="1:13" x14ac:dyDescent="0.3">
      <c r="A1721" t="s">
        <v>2311</v>
      </c>
      <c r="B1721" s="1" t="s">
        <v>85</v>
      </c>
      <c r="C1721" s="1" t="s">
        <v>86</v>
      </c>
      <c r="D1721" s="1" t="s">
        <v>13</v>
      </c>
      <c r="E1721" s="5">
        <v>43067</v>
      </c>
      <c r="F1721" s="3" t="s">
        <v>55</v>
      </c>
      <c r="G1721" s="1" t="s">
        <v>340</v>
      </c>
      <c r="H1721" s="1">
        <v>800</v>
      </c>
      <c r="I1721" s="1">
        <v>456</v>
      </c>
      <c r="J1721" s="2">
        <v>0.43</v>
      </c>
      <c r="K1721">
        <f t="shared" si="78"/>
        <v>196.07999999999998</v>
      </c>
      <c r="L1721">
        <f t="shared" si="79"/>
        <v>259.92</v>
      </c>
      <c r="M1721" t="str">
        <f t="shared" si="80"/>
        <v>Nov-2017</v>
      </c>
    </row>
    <row r="1722" spans="1:13" x14ac:dyDescent="0.3">
      <c r="A1722" t="s">
        <v>2312</v>
      </c>
      <c r="B1722" s="1" t="s">
        <v>99</v>
      </c>
      <c r="C1722" s="1" t="s">
        <v>100</v>
      </c>
      <c r="D1722" s="1" t="s">
        <v>13</v>
      </c>
      <c r="E1722" s="5">
        <v>42545</v>
      </c>
      <c r="F1722" s="3" t="s">
        <v>41</v>
      </c>
      <c r="G1722" s="1" t="s">
        <v>911</v>
      </c>
      <c r="H1722" s="1">
        <v>30</v>
      </c>
      <c r="I1722" s="1">
        <v>28</v>
      </c>
      <c r="J1722" s="2">
        <v>6.6699999999999995E-2</v>
      </c>
      <c r="K1722">
        <f t="shared" si="78"/>
        <v>1.8675999999999999</v>
      </c>
      <c r="L1722">
        <f t="shared" si="79"/>
        <v>26.132400000000001</v>
      </c>
      <c r="M1722" t="str">
        <f t="shared" si="80"/>
        <v>Jun-2016</v>
      </c>
    </row>
    <row r="1723" spans="1:13" x14ac:dyDescent="0.3">
      <c r="A1723" t="s">
        <v>2313</v>
      </c>
      <c r="B1723" s="1" t="s">
        <v>157</v>
      </c>
      <c r="C1723" s="1" t="s">
        <v>108</v>
      </c>
      <c r="D1723" s="1" t="s">
        <v>19</v>
      </c>
      <c r="E1723" s="5">
        <v>43453</v>
      </c>
      <c r="F1723" s="3" t="s">
        <v>41</v>
      </c>
      <c r="G1723" s="1" t="s">
        <v>571</v>
      </c>
      <c r="H1723" s="1">
        <v>30</v>
      </c>
      <c r="I1723" s="1">
        <v>26</v>
      </c>
      <c r="J1723" s="2">
        <v>0.1333</v>
      </c>
      <c r="K1723">
        <f t="shared" si="78"/>
        <v>3.4658000000000002</v>
      </c>
      <c r="L1723">
        <f t="shared" si="79"/>
        <v>22.534199999999998</v>
      </c>
      <c r="M1723" t="str">
        <f t="shared" si="80"/>
        <v>Dec-2018</v>
      </c>
    </row>
    <row r="1724" spans="1:13" x14ac:dyDescent="0.3">
      <c r="A1724" t="s">
        <v>2314</v>
      </c>
      <c r="B1724" s="1" t="s">
        <v>241</v>
      </c>
      <c r="C1724" s="1" t="s">
        <v>242</v>
      </c>
      <c r="D1724" s="1" t="s">
        <v>13</v>
      </c>
      <c r="E1724" s="5">
        <v>42305</v>
      </c>
      <c r="F1724" s="3" t="s">
        <v>14</v>
      </c>
      <c r="G1724" s="1" t="s">
        <v>626</v>
      </c>
      <c r="H1724" s="1">
        <v>80</v>
      </c>
      <c r="I1724" s="1">
        <v>56</v>
      </c>
      <c r="J1724" s="2">
        <v>0.3</v>
      </c>
      <c r="K1724">
        <f t="shared" si="78"/>
        <v>16.8</v>
      </c>
      <c r="L1724">
        <f t="shared" si="79"/>
        <v>39.200000000000003</v>
      </c>
      <c r="M1724" t="str">
        <f t="shared" si="80"/>
        <v>Oct-2015</v>
      </c>
    </row>
    <row r="1725" spans="1:13" x14ac:dyDescent="0.3">
      <c r="A1725" t="s">
        <v>2315</v>
      </c>
      <c r="B1725" s="1" t="s">
        <v>53</v>
      </c>
      <c r="C1725" s="1" t="s">
        <v>54</v>
      </c>
      <c r="D1725" s="1" t="s">
        <v>13</v>
      </c>
      <c r="E1725" s="5">
        <v>41961</v>
      </c>
      <c r="F1725" s="3" t="s">
        <v>72</v>
      </c>
      <c r="G1725" s="1" t="s">
        <v>56</v>
      </c>
      <c r="H1725" s="1">
        <v>500</v>
      </c>
      <c r="I1725" s="1">
        <v>490</v>
      </c>
      <c r="J1725" s="2">
        <v>0.02</v>
      </c>
      <c r="K1725">
        <f t="shared" si="78"/>
        <v>9.8000000000000007</v>
      </c>
      <c r="L1725">
        <f t="shared" si="79"/>
        <v>480.2</v>
      </c>
      <c r="M1725" t="str">
        <f t="shared" si="80"/>
        <v>Nov-2014</v>
      </c>
    </row>
    <row r="1726" spans="1:13" x14ac:dyDescent="0.3">
      <c r="A1726" t="s">
        <v>2316</v>
      </c>
      <c r="B1726" s="1" t="s">
        <v>154</v>
      </c>
      <c r="C1726" s="1" t="s">
        <v>108</v>
      </c>
      <c r="D1726" s="1" t="s">
        <v>19</v>
      </c>
      <c r="E1726" s="5">
        <v>41900</v>
      </c>
      <c r="F1726" s="3" t="s">
        <v>72</v>
      </c>
      <c r="G1726" s="1" t="s">
        <v>1411</v>
      </c>
      <c r="H1726" s="1">
        <v>500</v>
      </c>
      <c r="I1726" s="1">
        <v>490</v>
      </c>
      <c r="J1726" s="2">
        <v>0.02</v>
      </c>
      <c r="K1726">
        <f t="shared" si="78"/>
        <v>9.8000000000000007</v>
      </c>
      <c r="L1726">
        <f t="shared" si="79"/>
        <v>480.2</v>
      </c>
      <c r="M1726" t="str">
        <f t="shared" si="80"/>
        <v>Sep-2014</v>
      </c>
    </row>
    <row r="1727" spans="1:13" x14ac:dyDescent="0.3">
      <c r="A1727" t="s">
        <v>2317</v>
      </c>
      <c r="B1727" s="1" t="s">
        <v>134</v>
      </c>
      <c r="C1727" s="1" t="s">
        <v>92</v>
      </c>
      <c r="D1727" s="1" t="s">
        <v>35</v>
      </c>
      <c r="E1727" s="5">
        <v>42243</v>
      </c>
      <c r="F1727" s="3" t="s">
        <v>104</v>
      </c>
      <c r="G1727" s="1" t="s">
        <v>807</v>
      </c>
      <c r="H1727" s="1">
        <v>70</v>
      </c>
      <c r="I1727" s="1">
        <v>61</v>
      </c>
      <c r="J1727" s="2">
        <v>0.12859999999999999</v>
      </c>
      <c r="K1727">
        <f t="shared" si="78"/>
        <v>7.8445999999999998</v>
      </c>
      <c r="L1727">
        <f t="shared" si="79"/>
        <v>53.1554</v>
      </c>
      <c r="M1727" t="str">
        <f t="shared" si="80"/>
        <v>Aug-2015</v>
      </c>
    </row>
    <row r="1728" spans="1:13" x14ac:dyDescent="0.3">
      <c r="A1728" t="s">
        <v>2318</v>
      </c>
      <c r="B1728" s="1" t="s">
        <v>2170</v>
      </c>
      <c r="C1728" s="1" t="s">
        <v>18</v>
      </c>
      <c r="D1728" s="1" t="s">
        <v>19</v>
      </c>
      <c r="E1728" s="5">
        <v>42658</v>
      </c>
      <c r="F1728" s="3" t="s">
        <v>115</v>
      </c>
      <c r="G1728" s="1" t="s">
        <v>2238</v>
      </c>
      <c r="H1728" s="1">
        <v>250</v>
      </c>
      <c r="I1728" s="1">
        <v>220</v>
      </c>
      <c r="J1728" s="2">
        <v>0.12</v>
      </c>
      <c r="K1728">
        <f t="shared" si="78"/>
        <v>26.4</v>
      </c>
      <c r="L1728">
        <f t="shared" si="79"/>
        <v>193.6</v>
      </c>
      <c r="M1728" t="str">
        <f t="shared" si="80"/>
        <v>Oct-2016</v>
      </c>
    </row>
    <row r="1729" spans="1:13" x14ac:dyDescent="0.3">
      <c r="A1729" t="s">
        <v>2319</v>
      </c>
      <c r="B1729" s="1" t="s">
        <v>434</v>
      </c>
      <c r="C1729" s="1" t="s">
        <v>435</v>
      </c>
      <c r="D1729" s="1" t="s">
        <v>24</v>
      </c>
      <c r="E1729" s="5">
        <v>42146</v>
      </c>
      <c r="F1729" s="3" t="s">
        <v>104</v>
      </c>
      <c r="G1729" s="1" t="s">
        <v>858</v>
      </c>
      <c r="H1729" s="1">
        <v>70</v>
      </c>
      <c r="I1729" s="1">
        <v>67</v>
      </c>
      <c r="J1729" s="2">
        <v>4.2900000000000001E-2</v>
      </c>
      <c r="K1729">
        <f t="shared" si="78"/>
        <v>2.8742999999999999</v>
      </c>
      <c r="L1729">
        <f t="shared" si="79"/>
        <v>64.125699999999995</v>
      </c>
      <c r="M1729" t="str">
        <f t="shared" si="80"/>
        <v>May-2015</v>
      </c>
    </row>
    <row r="1730" spans="1:13" x14ac:dyDescent="0.3">
      <c r="A1730" t="s">
        <v>2320</v>
      </c>
      <c r="B1730" s="1" t="s">
        <v>157</v>
      </c>
      <c r="C1730" s="1" t="s">
        <v>108</v>
      </c>
      <c r="D1730" s="1" t="s">
        <v>19</v>
      </c>
      <c r="E1730" s="5">
        <v>42058</v>
      </c>
      <c r="F1730" s="3" t="s">
        <v>72</v>
      </c>
      <c r="G1730" s="1" t="s">
        <v>1870</v>
      </c>
      <c r="H1730" s="1">
        <v>500</v>
      </c>
      <c r="I1730" s="1">
        <v>495</v>
      </c>
      <c r="J1730" s="2">
        <v>0.01</v>
      </c>
      <c r="K1730">
        <f t="shared" si="78"/>
        <v>4.95</v>
      </c>
      <c r="L1730">
        <f t="shared" si="79"/>
        <v>490.05</v>
      </c>
      <c r="M1730" t="str">
        <f t="shared" si="80"/>
        <v>Feb-2015</v>
      </c>
    </row>
    <row r="1731" spans="1:13" x14ac:dyDescent="0.3">
      <c r="A1731" t="s">
        <v>2321</v>
      </c>
      <c r="B1731" s="1" t="s">
        <v>39</v>
      </c>
      <c r="C1731" s="1" t="s">
        <v>40</v>
      </c>
      <c r="D1731" s="1" t="s">
        <v>35</v>
      </c>
      <c r="E1731" s="5">
        <v>43365</v>
      </c>
      <c r="F1731" s="3" t="s">
        <v>46</v>
      </c>
      <c r="G1731" s="1" t="s">
        <v>1707</v>
      </c>
      <c r="H1731" s="1">
        <v>500</v>
      </c>
      <c r="I1731" s="1">
        <v>190</v>
      </c>
      <c r="J1731" s="2">
        <v>0.62</v>
      </c>
      <c r="K1731">
        <f t="shared" si="78"/>
        <v>117.8</v>
      </c>
      <c r="L1731">
        <f t="shared" si="79"/>
        <v>72.2</v>
      </c>
      <c r="M1731" t="str">
        <f t="shared" si="80"/>
        <v>Sep-2018</v>
      </c>
    </row>
    <row r="1732" spans="1:13" x14ac:dyDescent="0.3">
      <c r="A1732" t="s">
        <v>2322</v>
      </c>
      <c r="B1732" s="1" t="s">
        <v>70</v>
      </c>
      <c r="C1732" s="1" t="s">
        <v>71</v>
      </c>
      <c r="D1732" s="1" t="s">
        <v>35</v>
      </c>
      <c r="E1732" s="5">
        <v>42544</v>
      </c>
      <c r="F1732" s="3" t="s">
        <v>25</v>
      </c>
      <c r="G1732" s="1" t="s">
        <v>1414</v>
      </c>
      <c r="H1732" s="1">
        <v>700</v>
      </c>
      <c r="I1732" s="1">
        <v>686</v>
      </c>
      <c r="J1732" s="2">
        <v>0.02</v>
      </c>
      <c r="K1732">
        <f t="shared" ref="K1732:K1795" si="81">I1732*J1732</f>
        <v>13.72</v>
      </c>
      <c r="L1732">
        <f t="shared" ref="L1732:L1795" si="82">I1732-K1732</f>
        <v>672.28</v>
      </c>
      <c r="M1732" t="str">
        <f t="shared" ref="M1732:M1795" si="83">TEXT(E1732, "mmm-yyyy")</f>
        <v>Jun-2016</v>
      </c>
    </row>
    <row r="1733" spans="1:13" x14ac:dyDescent="0.3">
      <c r="A1733" t="s">
        <v>2323</v>
      </c>
      <c r="B1733" s="1" t="s">
        <v>53</v>
      </c>
      <c r="C1733" s="1" t="s">
        <v>54</v>
      </c>
      <c r="D1733" s="1" t="s">
        <v>13</v>
      </c>
      <c r="E1733" s="5">
        <v>42199</v>
      </c>
      <c r="F1733" s="3" t="s">
        <v>115</v>
      </c>
      <c r="G1733" s="1" t="s">
        <v>404</v>
      </c>
      <c r="H1733" s="1">
        <v>250</v>
      </c>
      <c r="I1733" s="1">
        <v>240</v>
      </c>
      <c r="J1733" s="2">
        <v>0.04</v>
      </c>
      <c r="K1733">
        <f t="shared" si="81"/>
        <v>9.6</v>
      </c>
      <c r="L1733">
        <f t="shared" si="82"/>
        <v>230.4</v>
      </c>
      <c r="M1733" t="str">
        <f t="shared" si="83"/>
        <v>Jul-2015</v>
      </c>
    </row>
    <row r="1734" spans="1:13" x14ac:dyDescent="0.3">
      <c r="A1734" t="s">
        <v>2324</v>
      </c>
      <c r="B1734" s="1" t="s">
        <v>224</v>
      </c>
      <c r="C1734" s="1" t="s">
        <v>50</v>
      </c>
      <c r="D1734" s="1" t="s">
        <v>24</v>
      </c>
      <c r="E1734" s="5">
        <v>41759</v>
      </c>
      <c r="F1734" s="3" t="s">
        <v>61</v>
      </c>
      <c r="G1734" s="1" t="s">
        <v>1038</v>
      </c>
      <c r="H1734" s="1">
        <v>1000</v>
      </c>
      <c r="I1734" s="1">
        <v>600</v>
      </c>
      <c r="J1734" s="2">
        <v>0.4</v>
      </c>
      <c r="K1734">
        <f t="shared" si="81"/>
        <v>240</v>
      </c>
      <c r="L1734">
        <f t="shared" si="82"/>
        <v>360</v>
      </c>
      <c r="M1734" t="str">
        <f t="shared" si="83"/>
        <v>Apr-2014</v>
      </c>
    </row>
    <row r="1735" spans="1:13" x14ac:dyDescent="0.3">
      <c r="A1735" t="s">
        <v>2325</v>
      </c>
      <c r="B1735" s="1" t="s">
        <v>22</v>
      </c>
      <c r="C1735" s="1" t="s">
        <v>23</v>
      </c>
      <c r="D1735" s="1" t="s">
        <v>24</v>
      </c>
      <c r="E1735" s="5">
        <v>43459</v>
      </c>
      <c r="F1735" s="3" t="s">
        <v>36</v>
      </c>
      <c r="G1735" s="1" t="s">
        <v>144</v>
      </c>
      <c r="H1735" s="1">
        <v>50</v>
      </c>
      <c r="I1735" s="1">
        <v>41</v>
      </c>
      <c r="J1735" s="2">
        <v>0.18</v>
      </c>
      <c r="K1735">
        <f t="shared" si="81"/>
        <v>7.38</v>
      </c>
      <c r="L1735">
        <f t="shared" si="82"/>
        <v>33.619999999999997</v>
      </c>
      <c r="M1735" t="str">
        <f t="shared" si="83"/>
        <v>Dec-2018</v>
      </c>
    </row>
    <row r="1736" spans="1:13" x14ac:dyDescent="0.3">
      <c r="A1736" t="s">
        <v>2326</v>
      </c>
      <c r="B1736" s="1" t="s">
        <v>227</v>
      </c>
      <c r="C1736" s="1" t="s">
        <v>228</v>
      </c>
      <c r="D1736" s="1" t="s">
        <v>24</v>
      </c>
      <c r="E1736" s="5">
        <v>42304</v>
      </c>
      <c r="F1736" s="3" t="s">
        <v>115</v>
      </c>
      <c r="G1736" s="1" t="s">
        <v>438</v>
      </c>
      <c r="H1736" s="1">
        <v>250</v>
      </c>
      <c r="I1736" s="1">
        <v>230</v>
      </c>
      <c r="J1736" s="2">
        <v>0.08</v>
      </c>
      <c r="K1736">
        <f t="shared" si="81"/>
        <v>18.400000000000002</v>
      </c>
      <c r="L1736">
        <f t="shared" si="82"/>
        <v>211.6</v>
      </c>
      <c r="M1736" t="str">
        <f t="shared" si="83"/>
        <v>Oct-2015</v>
      </c>
    </row>
    <row r="1737" spans="1:13" x14ac:dyDescent="0.3">
      <c r="A1737" t="s">
        <v>2327</v>
      </c>
      <c r="B1737" s="1" t="s">
        <v>111</v>
      </c>
      <c r="C1737" s="1" t="s">
        <v>82</v>
      </c>
      <c r="D1737" s="1" t="s">
        <v>13</v>
      </c>
      <c r="E1737" s="5">
        <v>42298</v>
      </c>
      <c r="F1737" s="3" t="s">
        <v>46</v>
      </c>
      <c r="G1737" s="1" t="s">
        <v>610</v>
      </c>
      <c r="H1737" s="1">
        <v>500</v>
      </c>
      <c r="I1737" s="1">
        <v>380</v>
      </c>
      <c r="J1737" s="2">
        <v>0.24</v>
      </c>
      <c r="K1737">
        <f t="shared" si="81"/>
        <v>91.2</v>
      </c>
      <c r="L1737">
        <f t="shared" si="82"/>
        <v>288.8</v>
      </c>
      <c r="M1737" t="str">
        <f t="shared" si="83"/>
        <v>Oct-2015</v>
      </c>
    </row>
    <row r="1738" spans="1:13" x14ac:dyDescent="0.3">
      <c r="A1738" t="s">
        <v>2328</v>
      </c>
      <c r="B1738" s="1" t="s">
        <v>2243</v>
      </c>
      <c r="C1738" s="1" t="s">
        <v>108</v>
      </c>
      <c r="D1738" s="1" t="s">
        <v>19</v>
      </c>
      <c r="E1738" s="5">
        <v>41756</v>
      </c>
      <c r="F1738" s="3" t="s">
        <v>122</v>
      </c>
      <c r="G1738" s="1" t="s">
        <v>2329</v>
      </c>
      <c r="H1738" s="1">
        <v>50</v>
      </c>
      <c r="I1738" s="1">
        <v>49</v>
      </c>
      <c r="J1738" s="2">
        <v>0.02</v>
      </c>
      <c r="K1738">
        <f t="shared" si="81"/>
        <v>0.98</v>
      </c>
      <c r="L1738">
        <f t="shared" si="82"/>
        <v>48.02</v>
      </c>
      <c r="M1738" t="str">
        <f t="shared" si="83"/>
        <v>Apr-2014</v>
      </c>
    </row>
    <row r="1739" spans="1:13" x14ac:dyDescent="0.3">
      <c r="A1739" t="s">
        <v>2330</v>
      </c>
      <c r="B1739" s="1" t="s">
        <v>103</v>
      </c>
      <c r="C1739" s="1" t="s">
        <v>71</v>
      </c>
      <c r="D1739" s="1" t="s">
        <v>35</v>
      </c>
      <c r="E1739" s="5">
        <v>43125</v>
      </c>
      <c r="F1739" s="3" t="s">
        <v>41</v>
      </c>
      <c r="G1739" s="1" t="s">
        <v>603</v>
      </c>
      <c r="H1739" s="1">
        <v>30</v>
      </c>
      <c r="I1739" s="1">
        <v>26</v>
      </c>
      <c r="J1739" s="2">
        <v>0.1333</v>
      </c>
      <c r="K1739">
        <f t="shared" si="81"/>
        <v>3.4658000000000002</v>
      </c>
      <c r="L1739">
        <f t="shared" si="82"/>
        <v>22.534199999999998</v>
      </c>
      <c r="M1739" t="str">
        <f t="shared" si="83"/>
        <v>Jan-2018</v>
      </c>
    </row>
    <row r="1740" spans="1:13" x14ac:dyDescent="0.3">
      <c r="A1740" t="s">
        <v>2331</v>
      </c>
      <c r="B1740" s="1" t="s">
        <v>154</v>
      </c>
      <c r="C1740" s="1" t="s">
        <v>108</v>
      </c>
      <c r="D1740" s="1" t="s">
        <v>19</v>
      </c>
      <c r="E1740" s="5">
        <v>42155</v>
      </c>
      <c r="F1740" s="3" t="s">
        <v>30</v>
      </c>
      <c r="G1740" s="1" t="s">
        <v>1185</v>
      </c>
      <c r="H1740" s="1">
        <v>150</v>
      </c>
      <c r="I1740" s="1">
        <v>141</v>
      </c>
      <c r="J1740" s="2">
        <v>0.06</v>
      </c>
      <c r="K1740">
        <f t="shared" si="81"/>
        <v>8.4599999999999991</v>
      </c>
      <c r="L1740">
        <f t="shared" si="82"/>
        <v>132.54</v>
      </c>
      <c r="M1740" t="str">
        <f t="shared" si="83"/>
        <v>May-2015</v>
      </c>
    </row>
    <row r="1741" spans="1:13" x14ac:dyDescent="0.3">
      <c r="A1741" t="s">
        <v>2332</v>
      </c>
      <c r="B1741" s="1" t="s">
        <v>255</v>
      </c>
      <c r="C1741" s="1" t="s">
        <v>256</v>
      </c>
      <c r="D1741" s="1" t="s">
        <v>13</v>
      </c>
      <c r="E1741" s="5">
        <v>42078</v>
      </c>
      <c r="F1741" s="3" t="s">
        <v>61</v>
      </c>
      <c r="G1741" s="1" t="s">
        <v>805</v>
      </c>
      <c r="H1741" s="1">
        <v>1000</v>
      </c>
      <c r="I1741" s="1">
        <v>960</v>
      </c>
      <c r="J1741" s="2">
        <v>0.04</v>
      </c>
      <c r="K1741">
        <f t="shared" si="81"/>
        <v>38.4</v>
      </c>
      <c r="L1741">
        <f t="shared" si="82"/>
        <v>921.6</v>
      </c>
      <c r="M1741" t="str">
        <f t="shared" si="83"/>
        <v>Mar-2015</v>
      </c>
    </row>
    <row r="1742" spans="1:13" x14ac:dyDescent="0.3">
      <c r="A1742" t="s">
        <v>2333</v>
      </c>
      <c r="B1742" s="1" t="s">
        <v>77</v>
      </c>
      <c r="C1742" s="1" t="s">
        <v>78</v>
      </c>
      <c r="D1742" s="1" t="s">
        <v>35</v>
      </c>
      <c r="E1742" s="5">
        <v>43216</v>
      </c>
      <c r="F1742" s="3" t="s">
        <v>122</v>
      </c>
      <c r="G1742" s="1" t="s">
        <v>2334</v>
      </c>
      <c r="H1742" s="1">
        <v>50</v>
      </c>
      <c r="I1742" s="1">
        <v>48</v>
      </c>
      <c r="J1742" s="2">
        <v>0.04</v>
      </c>
      <c r="K1742">
        <f t="shared" si="81"/>
        <v>1.92</v>
      </c>
      <c r="L1742">
        <f t="shared" si="82"/>
        <v>46.08</v>
      </c>
      <c r="M1742" t="str">
        <f t="shared" si="83"/>
        <v>Apr-2018</v>
      </c>
    </row>
    <row r="1743" spans="1:13" x14ac:dyDescent="0.3">
      <c r="A1743" t="s">
        <v>2335</v>
      </c>
      <c r="B1743" s="1" t="s">
        <v>221</v>
      </c>
      <c r="C1743" s="1" t="s">
        <v>40</v>
      </c>
      <c r="D1743" s="1" t="s">
        <v>35</v>
      </c>
      <c r="E1743" s="5">
        <v>42934</v>
      </c>
      <c r="F1743" s="3" t="s">
        <v>41</v>
      </c>
      <c r="G1743" s="1" t="s">
        <v>2336</v>
      </c>
      <c r="H1743" s="1">
        <v>30</v>
      </c>
      <c r="I1743" s="1">
        <v>26</v>
      </c>
      <c r="J1743" s="2">
        <v>0.1333</v>
      </c>
      <c r="K1743">
        <f t="shared" si="81"/>
        <v>3.4658000000000002</v>
      </c>
      <c r="L1743">
        <f t="shared" si="82"/>
        <v>22.534199999999998</v>
      </c>
      <c r="M1743" t="str">
        <f t="shared" si="83"/>
        <v>Jul-2017</v>
      </c>
    </row>
    <row r="1744" spans="1:13" x14ac:dyDescent="0.3">
      <c r="A1744" t="s">
        <v>2337</v>
      </c>
      <c r="B1744" s="1" t="s">
        <v>107</v>
      </c>
      <c r="C1744" s="1" t="s">
        <v>108</v>
      </c>
      <c r="D1744" s="1" t="s">
        <v>19</v>
      </c>
      <c r="E1744" s="5">
        <v>42602</v>
      </c>
      <c r="F1744" s="3" t="s">
        <v>30</v>
      </c>
      <c r="G1744" s="1" t="s">
        <v>354</v>
      </c>
      <c r="H1744" s="1">
        <v>150</v>
      </c>
      <c r="I1744" s="1">
        <v>128</v>
      </c>
      <c r="J1744" s="2">
        <v>0.1467</v>
      </c>
      <c r="K1744">
        <f t="shared" si="81"/>
        <v>18.7776</v>
      </c>
      <c r="L1744">
        <f t="shared" si="82"/>
        <v>109.22239999999999</v>
      </c>
      <c r="M1744" t="str">
        <f t="shared" si="83"/>
        <v>Aug-2016</v>
      </c>
    </row>
    <row r="1745" spans="1:13" x14ac:dyDescent="0.3">
      <c r="A1745" t="s">
        <v>2338</v>
      </c>
      <c r="B1745" s="1" t="s">
        <v>131</v>
      </c>
      <c r="C1745" s="1" t="s">
        <v>108</v>
      </c>
      <c r="D1745" s="1" t="s">
        <v>19</v>
      </c>
      <c r="E1745" s="5">
        <v>42699</v>
      </c>
      <c r="F1745" s="3" t="s">
        <v>41</v>
      </c>
      <c r="G1745" s="1" t="s">
        <v>793</v>
      </c>
      <c r="H1745" s="1">
        <v>30</v>
      </c>
      <c r="I1745" s="1">
        <v>30</v>
      </c>
      <c r="J1745" s="2">
        <v>0</v>
      </c>
      <c r="K1745">
        <f t="shared" si="81"/>
        <v>0</v>
      </c>
      <c r="L1745">
        <f t="shared" si="82"/>
        <v>30</v>
      </c>
      <c r="M1745" t="str">
        <f t="shared" si="83"/>
        <v>Nov-2016</v>
      </c>
    </row>
    <row r="1746" spans="1:13" x14ac:dyDescent="0.3">
      <c r="A1746" t="s">
        <v>2339</v>
      </c>
      <c r="B1746" s="1" t="s">
        <v>28</v>
      </c>
      <c r="C1746" s="1" t="s">
        <v>29</v>
      </c>
      <c r="D1746" s="1" t="s">
        <v>13</v>
      </c>
      <c r="E1746" s="5">
        <v>42700</v>
      </c>
      <c r="F1746" s="3" t="s">
        <v>122</v>
      </c>
      <c r="G1746" s="1" t="s">
        <v>249</v>
      </c>
      <c r="H1746" s="1">
        <v>50</v>
      </c>
      <c r="I1746" s="1">
        <v>45</v>
      </c>
      <c r="J1746" s="2">
        <v>0.1</v>
      </c>
      <c r="K1746">
        <f t="shared" si="81"/>
        <v>4.5</v>
      </c>
      <c r="L1746">
        <f t="shared" si="82"/>
        <v>40.5</v>
      </c>
      <c r="M1746" t="str">
        <f t="shared" si="83"/>
        <v>Nov-2016</v>
      </c>
    </row>
    <row r="1747" spans="1:13" x14ac:dyDescent="0.3">
      <c r="A1747" t="s">
        <v>2340</v>
      </c>
      <c r="B1747" s="1" t="s">
        <v>70</v>
      </c>
      <c r="C1747" s="1" t="s">
        <v>71</v>
      </c>
      <c r="D1747" s="1" t="s">
        <v>35</v>
      </c>
      <c r="E1747" s="5">
        <v>42569</v>
      </c>
      <c r="F1747" s="3" t="s">
        <v>46</v>
      </c>
      <c r="G1747" s="1" t="s">
        <v>670</v>
      </c>
      <c r="H1747" s="1">
        <v>500</v>
      </c>
      <c r="I1747" s="1">
        <v>445</v>
      </c>
      <c r="J1747" s="2">
        <v>0.11</v>
      </c>
      <c r="K1747">
        <f t="shared" si="81"/>
        <v>48.95</v>
      </c>
      <c r="L1747">
        <f t="shared" si="82"/>
        <v>396.05</v>
      </c>
      <c r="M1747" t="str">
        <f t="shared" si="83"/>
        <v>Jul-2016</v>
      </c>
    </row>
    <row r="1748" spans="1:13" x14ac:dyDescent="0.3">
      <c r="A1748" t="s">
        <v>2341</v>
      </c>
      <c r="B1748" s="1" t="s">
        <v>99</v>
      </c>
      <c r="C1748" s="1" t="s">
        <v>100</v>
      </c>
      <c r="D1748" s="1" t="s">
        <v>13</v>
      </c>
      <c r="E1748" s="5">
        <v>42762</v>
      </c>
      <c r="F1748" s="3" t="s">
        <v>115</v>
      </c>
      <c r="G1748" s="1" t="s">
        <v>1825</v>
      </c>
      <c r="H1748" s="1">
        <v>250</v>
      </c>
      <c r="I1748" s="1">
        <v>228</v>
      </c>
      <c r="J1748" s="2">
        <v>8.7999999999999995E-2</v>
      </c>
      <c r="K1748">
        <f t="shared" si="81"/>
        <v>20.064</v>
      </c>
      <c r="L1748">
        <f t="shared" si="82"/>
        <v>207.93600000000001</v>
      </c>
      <c r="M1748" t="str">
        <f t="shared" si="83"/>
        <v>Jan-2017</v>
      </c>
    </row>
    <row r="1749" spans="1:13" x14ac:dyDescent="0.3">
      <c r="A1749" t="s">
        <v>2342</v>
      </c>
      <c r="B1749" s="1" t="s">
        <v>270</v>
      </c>
      <c r="C1749" s="1" t="s">
        <v>271</v>
      </c>
      <c r="D1749" s="1" t="s">
        <v>35</v>
      </c>
      <c r="E1749" s="5">
        <v>43339</v>
      </c>
      <c r="F1749" s="3" t="s">
        <v>104</v>
      </c>
      <c r="G1749" s="1" t="s">
        <v>1827</v>
      </c>
      <c r="H1749" s="1">
        <v>70</v>
      </c>
      <c r="I1749" s="1">
        <v>47</v>
      </c>
      <c r="J1749" s="2">
        <v>0.3286</v>
      </c>
      <c r="K1749">
        <f t="shared" si="81"/>
        <v>15.4442</v>
      </c>
      <c r="L1749">
        <f t="shared" si="82"/>
        <v>31.555799999999998</v>
      </c>
      <c r="M1749" t="str">
        <f t="shared" si="83"/>
        <v>Aug-2018</v>
      </c>
    </row>
    <row r="1750" spans="1:13" x14ac:dyDescent="0.3">
      <c r="A1750" t="s">
        <v>2343</v>
      </c>
      <c r="B1750" s="1" t="s">
        <v>270</v>
      </c>
      <c r="C1750" s="1" t="s">
        <v>271</v>
      </c>
      <c r="D1750" s="1" t="s">
        <v>35</v>
      </c>
      <c r="E1750" s="5">
        <v>41683</v>
      </c>
      <c r="F1750" s="3" t="s">
        <v>122</v>
      </c>
      <c r="G1750" s="1" t="s">
        <v>1827</v>
      </c>
      <c r="H1750" s="1">
        <v>50</v>
      </c>
      <c r="I1750" s="1">
        <v>36</v>
      </c>
      <c r="J1750" s="2">
        <v>0.28000000000000003</v>
      </c>
      <c r="K1750">
        <f t="shared" si="81"/>
        <v>10.080000000000002</v>
      </c>
      <c r="L1750">
        <f t="shared" si="82"/>
        <v>25.919999999999998</v>
      </c>
      <c r="M1750" t="str">
        <f t="shared" si="83"/>
        <v>Feb-2014</v>
      </c>
    </row>
    <row r="1751" spans="1:13" x14ac:dyDescent="0.3">
      <c r="A1751" t="s">
        <v>2344</v>
      </c>
      <c r="B1751" s="1" t="s">
        <v>241</v>
      </c>
      <c r="C1751" s="1" t="s">
        <v>242</v>
      </c>
      <c r="D1751" s="1" t="s">
        <v>13</v>
      </c>
      <c r="E1751" s="5">
        <v>42544</v>
      </c>
      <c r="F1751" s="3" t="s">
        <v>72</v>
      </c>
      <c r="G1751" s="1" t="s">
        <v>331</v>
      </c>
      <c r="H1751" s="1">
        <v>500</v>
      </c>
      <c r="I1751" s="1">
        <v>500</v>
      </c>
      <c r="J1751" s="2">
        <v>0</v>
      </c>
      <c r="K1751">
        <f t="shared" si="81"/>
        <v>0</v>
      </c>
      <c r="L1751">
        <f t="shared" si="82"/>
        <v>500</v>
      </c>
      <c r="M1751" t="str">
        <f t="shared" si="83"/>
        <v>Jun-2016</v>
      </c>
    </row>
    <row r="1752" spans="1:13" x14ac:dyDescent="0.3">
      <c r="A1752" t="s">
        <v>2345</v>
      </c>
      <c r="B1752" s="1" t="s">
        <v>70</v>
      </c>
      <c r="C1752" s="1" t="s">
        <v>71</v>
      </c>
      <c r="D1752" s="1" t="s">
        <v>35</v>
      </c>
      <c r="E1752" s="5">
        <v>41967</v>
      </c>
      <c r="F1752" s="3" t="s">
        <v>104</v>
      </c>
      <c r="G1752" s="1" t="s">
        <v>1810</v>
      </c>
      <c r="H1752" s="1">
        <v>70</v>
      </c>
      <c r="I1752" s="1">
        <v>68</v>
      </c>
      <c r="J1752" s="2">
        <v>2.86E-2</v>
      </c>
      <c r="K1752">
        <f t="shared" si="81"/>
        <v>1.9448000000000001</v>
      </c>
      <c r="L1752">
        <f t="shared" si="82"/>
        <v>66.055199999999999</v>
      </c>
      <c r="M1752" t="str">
        <f t="shared" si="83"/>
        <v>Nov-2014</v>
      </c>
    </row>
    <row r="1753" spans="1:13" x14ac:dyDescent="0.3">
      <c r="A1753" t="s">
        <v>2346</v>
      </c>
      <c r="B1753" s="1" t="s">
        <v>264</v>
      </c>
      <c r="C1753" s="1" t="s">
        <v>265</v>
      </c>
      <c r="D1753" s="1" t="s">
        <v>13</v>
      </c>
      <c r="E1753" s="5">
        <v>42998</v>
      </c>
      <c r="F1753" s="3" t="s">
        <v>25</v>
      </c>
      <c r="G1753" s="1" t="s">
        <v>308</v>
      </c>
      <c r="H1753" s="1">
        <v>700</v>
      </c>
      <c r="I1753" s="1">
        <v>567</v>
      </c>
      <c r="J1753" s="2">
        <v>0.19</v>
      </c>
      <c r="K1753">
        <f t="shared" si="81"/>
        <v>107.73</v>
      </c>
      <c r="L1753">
        <f t="shared" si="82"/>
        <v>459.27</v>
      </c>
      <c r="M1753" t="str">
        <f t="shared" si="83"/>
        <v>Sep-2017</v>
      </c>
    </row>
    <row r="1754" spans="1:13" x14ac:dyDescent="0.3">
      <c r="A1754" t="s">
        <v>2347</v>
      </c>
      <c r="B1754" s="1" t="s">
        <v>154</v>
      </c>
      <c r="C1754" s="1" t="s">
        <v>108</v>
      </c>
      <c r="D1754" s="1" t="s">
        <v>19</v>
      </c>
      <c r="E1754" s="5">
        <v>41925</v>
      </c>
      <c r="F1754" s="3" t="s">
        <v>41</v>
      </c>
      <c r="G1754" s="1" t="s">
        <v>1411</v>
      </c>
      <c r="H1754" s="1">
        <v>30</v>
      </c>
      <c r="I1754" s="1">
        <v>29</v>
      </c>
      <c r="J1754" s="2">
        <v>3.3300000000000003E-2</v>
      </c>
      <c r="K1754">
        <f t="shared" si="81"/>
        <v>0.96570000000000011</v>
      </c>
      <c r="L1754">
        <f t="shared" si="82"/>
        <v>28.034299999999998</v>
      </c>
      <c r="M1754" t="str">
        <f t="shared" si="83"/>
        <v>Oct-2014</v>
      </c>
    </row>
    <row r="1755" spans="1:13" x14ac:dyDescent="0.3">
      <c r="A1755" t="s">
        <v>2348</v>
      </c>
      <c r="B1755" s="1" t="s">
        <v>22</v>
      </c>
      <c r="C1755" s="1" t="s">
        <v>23</v>
      </c>
      <c r="D1755" s="1" t="s">
        <v>24</v>
      </c>
      <c r="E1755" s="5">
        <v>42354</v>
      </c>
      <c r="F1755" s="3" t="s">
        <v>14</v>
      </c>
      <c r="G1755" s="1" t="s">
        <v>144</v>
      </c>
      <c r="H1755" s="1">
        <v>80</v>
      </c>
      <c r="I1755" s="1">
        <v>52</v>
      </c>
      <c r="J1755" s="2">
        <v>0.35</v>
      </c>
      <c r="K1755">
        <f t="shared" si="81"/>
        <v>18.2</v>
      </c>
      <c r="L1755">
        <f t="shared" si="82"/>
        <v>33.799999999999997</v>
      </c>
      <c r="M1755" t="str">
        <f t="shared" si="83"/>
        <v>Dec-2015</v>
      </c>
    </row>
    <row r="1756" spans="1:13" x14ac:dyDescent="0.3">
      <c r="A1756" t="s">
        <v>2349</v>
      </c>
      <c r="B1756" s="1" t="s">
        <v>434</v>
      </c>
      <c r="C1756" s="1" t="s">
        <v>435</v>
      </c>
      <c r="D1756" s="1" t="s">
        <v>24</v>
      </c>
      <c r="E1756" s="5">
        <v>41868</v>
      </c>
      <c r="F1756" s="3" t="s">
        <v>46</v>
      </c>
      <c r="G1756" s="1" t="s">
        <v>436</v>
      </c>
      <c r="H1756" s="1">
        <v>500</v>
      </c>
      <c r="I1756" s="1">
        <v>440</v>
      </c>
      <c r="J1756" s="2">
        <v>0.12</v>
      </c>
      <c r="K1756">
        <f t="shared" si="81"/>
        <v>52.8</v>
      </c>
      <c r="L1756">
        <f t="shared" si="82"/>
        <v>387.2</v>
      </c>
      <c r="M1756" t="str">
        <f t="shared" si="83"/>
        <v>Aug-2014</v>
      </c>
    </row>
    <row r="1757" spans="1:13" x14ac:dyDescent="0.3">
      <c r="A1757" t="s">
        <v>2350</v>
      </c>
      <c r="B1757" s="1" t="s">
        <v>91</v>
      </c>
      <c r="C1757" s="1" t="s">
        <v>92</v>
      </c>
      <c r="D1757" s="1" t="s">
        <v>35</v>
      </c>
      <c r="E1757" s="5">
        <v>42725</v>
      </c>
      <c r="F1757" s="3" t="s">
        <v>25</v>
      </c>
      <c r="G1757" s="1" t="s">
        <v>2351</v>
      </c>
      <c r="H1757" s="1">
        <v>700</v>
      </c>
      <c r="I1757" s="1">
        <v>147</v>
      </c>
      <c r="J1757" s="2">
        <v>0.79</v>
      </c>
      <c r="K1757">
        <f t="shared" si="81"/>
        <v>116.13000000000001</v>
      </c>
      <c r="L1757">
        <f t="shared" si="82"/>
        <v>30.86999999999999</v>
      </c>
      <c r="M1757" t="str">
        <f t="shared" si="83"/>
        <v>Dec-2016</v>
      </c>
    </row>
    <row r="1758" spans="1:13" x14ac:dyDescent="0.3">
      <c r="A1758" t="s">
        <v>2352</v>
      </c>
      <c r="B1758" s="1" t="s">
        <v>17</v>
      </c>
      <c r="C1758" s="1" t="s">
        <v>18</v>
      </c>
      <c r="D1758" s="1" t="s">
        <v>19</v>
      </c>
      <c r="E1758" s="5">
        <v>42631</v>
      </c>
      <c r="F1758" s="3" t="s">
        <v>46</v>
      </c>
      <c r="G1758" s="1" t="s">
        <v>913</v>
      </c>
      <c r="H1758" s="1">
        <v>500</v>
      </c>
      <c r="I1758" s="1">
        <v>400</v>
      </c>
      <c r="J1758" s="2">
        <v>0.2</v>
      </c>
      <c r="K1758">
        <f t="shared" si="81"/>
        <v>80</v>
      </c>
      <c r="L1758">
        <f t="shared" si="82"/>
        <v>320</v>
      </c>
      <c r="M1758" t="str">
        <f t="shared" si="83"/>
        <v>Sep-2016</v>
      </c>
    </row>
    <row r="1759" spans="1:13" x14ac:dyDescent="0.3">
      <c r="A1759" t="s">
        <v>2353</v>
      </c>
      <c r="B1759" s="1" t="s">
        <v>434</v>
      </c>
      <c r="C1759" s="1" t="s">
        <v>435</v>
      </c>
      <c r="D1759" s="1" t="s">
        <v>24</v>
      </c>
      <c r="E1759" s="5">
        <v>41691</v>
      </c>
      <c r="F1759" s="3" t="s">
        <v>30</v>
      </c>
      <c r="G1759" s="1" t="s">
        <v>550</v>
      </c>
      <c r="H1759" s="1">
        <v>150</v>
      </c>
      <c r="I1759" s="1">
        <v>140</v>
      </c>
      <c r="J1759" s="2">
        <v>6.6699999999999995E-2</v>
      </c>
      <c r="K1759">
        <f t="shared" si="81"/>
        <v>9.3379999999999992</v>
      </c>
      <c r="L1759">
        <f t="shared" si="82"/>
        <v>130.66200000000001</v>
      </c>
      <c r="M1759" t="str">
        <f t="shared" si="83"/>
        <v>Feb-2014</v>
      </c>
    </row>
    <row r="1760" spans="1:13" x14ac:dyDescent="0.3">
      <c r="A1760" t="s">
        <v>2354</v>
      </c>
      <c r="B1760" s="1" t="s">
        <v>434</v>
      </c>
      <c r="C1760" s="1" t="s">
        <v>435</v>
      </c>
      <c r="D1760" s="1" t="s">
        <v>24</v>
      </c>
      <c r="E1760" s="5">
        <v>42483</v>
      </c>
      <c r="F1760" s="3" t="s">
        <v>46</v>
      </c>
      <c r="G1760" s="1" t="s">
        <v>828</v>
      </c>
      <c r="H1760" s="1">
        <v>500</v>
      </c>
      <c r="I1760" s="1">
        <v>450</v>
      </c>
      <c r="J1760" s="2">
        <v>0.1</v>
      </c>
      <c r="K1760">
        <f t="shared" si="81"/>
        <v>45</v>
      </c>
      <c r="L1760">
        <f t="shared" si="82"/>
        <v>405</v>
      </c>
      <c r="M1760" t="str">
        <f t="shared" si="83"/>
        <v>Apr-2016</v>
      </c>
    </row>
    <row r="1761" spans="1:13" x14ac:dyDescent="0.3">
      <c r="A1761" t="s">
        <v>2355</v>
      </c>
      <c r="B1761" s="1" t="s">
        <v>224</v>
      </c>
      <c r="C1761" s="1" t="s">
        <v>50</v>
      </c>
      <c r="D1761" s="1" t="s">
        <v>24</v>
      </c>
      <c r="E1761" s="5">
        <v>42178</v>
      </c>
      <c r="F1761" s="3" t="s">
        <v>25</v>
      </c>
      <c r="G1761" s="1" t="s">
        <v>1038</v>
      </c>
      <c r="H1761" s="1">
        <v>700</v>
      </c>
      <c r="I1761" s="1">
        <v>679</v>
      </c>
      <c r="J1761" s="2">
        <v>0.03</v>
      </c>
      <c r="K1761">
        <f t="shared" si="81"/>
        <v>20.37</v>
      </c>
      <c r="L1761">
        <f t="shared" si="82"/>
        <v>658.63</v>
      </c>
      <c r="M1761" t="str">
        <f t="shared" si="83"/>
        <v>Jun-2015</v>
      </c>
    </row>
    <row r="1762" spans="1:13" x14ac:dyDescent="0.3">
      <c r="A1762" t="s">
        <v>2356</v>
      </c>
      <c r="B1762" s="1" t="s">
        <v>131</v>
      </c>
      <c r="C1762" s="1" t="s">
        <v>108</v>
      </c>
      <c r="D1762" s="1" t="s">
        <v>19</v>
      </c>
      <c r="E1762" s="5">
        <v>41962</v>
      </c>
      <c r="F1762" s="3" t="s">
        <v>104</v>
      </c>
      <c r="G1762" s="1" t="s">
        <v>793</v>
      </c>
      <c r="H1762" s="1">
        <v>70</v>
      </c>
      <c r="I1762" s="1">
        <v>69</v>
      </c>
      <c r="J1762" s="2">
        <v>1.43E-2</v>
      </c>
      <c r="K1762">
        <f t="shared" si="81"/>
        <v>0.98670000000000002</v>
      </c>
      <c r="L1762">
        <f t="shared" si="82"/>
        <v>68.013300000000001</v>
      </c>
      <c r="M1762" t="str">
        <f t="shared" si="83"/>
        <v>Nov-2014</v>
      </c>
    </row>
    <row r="1763" spans="1:13" x14ac:dyDescent="0.3">
      <c r="A1763" t="s">
        <v>2357</v>
      </c>
      <c r="B1763" s="1" t="s">
        <v>33</v>
      </c>
      <c r="C1763" s="1" t="s">
        <v>34</v>
      </c>
      <c r="D1763" s="1" t="s">
        <v>35</v>
      </c>
      <c r="E1763" s="5">
        <v>42420</v>
      </c>
      <c r="F1763" s="3" t="s">
        <v>72</v>
      </c>
      <c r="G1763" s="1" t="s">
        <v>160</v>
      </c>
      <c r="H1763" s="1">
        <v>500</v>
      </c>
      <c r="I1763" s="1">
        <v>495</v>
      </c>
      <c r="J1763" s="2">
        <v>0.01</v>
      </c>
      <c r="K1763">
        <f t="shared" si="81"/>
        <v>4.95</v>
      </c>
      <c r="L1763">
        <f t="shared" si="82"/>
        <v>490.05</v>
      </c>
      <c r="M1763" t="str">
        <f t="shared" si="83"/>
        <v>Feb-2016</v>
      </c>
    </row>
    <row r="1764" spans="1:13" x14ac:dyDescent="0.3">
      <c r="A1764" t="s">
        <v>2358</v>
      </c>
      <c r="B1764" s="1" t="s">
        <v>99</v>
      </c>
      <c r="C1764" s="1" t="s">
        <v>100</v>
      </c>
      <c r="D1764" s="1" t="s">
        <v>13</v>
      </c>
      <c r="E1764" s="5">
        <v>42333</v>
      </c>
      <c r="F1764" s="3" t="s">
        <v>46</v>
      </c>
      <c r="G1764" s="1" t="s">
        <v>1090</v>
      </c>
      <c r="H1764" s="1">
        <v>500</v>
      </c>
      <c r="I1764" s="1">
        <v>455</v>
      </c>
      <c r="J1764" s="2">
        <v>0.09</v>
      </c>
      <c r="K1764">
        <f t="shared" si="81"/>
        <v>40.949999999999996</v>
      </c>
      <c r="L1764">
        <f t="shared" si="82"/>
        <v>414.05</v>
      </c>
      <c r="M1764" t="str">
        <f t="shared" si="83"/>
        <v>Nov-2015</v>
      </c>
    </row>
    <row r="1765" spans="1:13" x14ac:dyDescent="0.3">
      <c r="A1765" t="s">
        <v>2359</v>
      </c>
      <c r="B1765" s="1" t="s">
        <v>17</v>
      </c>
      <c r="C1765" s="1" t="s">
        <v>18</v>
      </c>
      <c r="D1765" s="1" t="s">
        <v>19</v>
      </c>
      <c r="E1765" s="5">
        <v>42849</v>
      </c>
      <c r="F1765" s="3" t="s">
        <v>104</v>
      </c>
      <c r="G1765" s="1" t="s">
        <v>178</v>
      </c>
      <c r="H1765" s="1">
        <v>70</v>
      </c>
      <c r="I1765" s="1">
        <v>56</v>
      </c>
      <c r="J1765" s="2">
        <v>0.2</v>
      </c>
      <c r="K1765">
        <f t="shared" si="81"/>
        <v>11.200000000000001</v>
      </c>
      <c r="L1765">
        <f t="shared" si="82"/>
        <v>44.8</v>
      </c>
      <c r="M1765" t="str">
        <f t="shared" si="83"/>
        <v>Apr-2017</v>
      </c>
    </row>
    <row r="1766" spans="1:13" x14ac:dyDescent="0.3">
      <c r="A1766" t="s">
        <v>2360</v>
      </c>
      <c r="B1766" s="1" t="s">
        <v>59</v>
      </c>
      <c r="C1766" s="1" t="s">
        <v>60</v>
      </c>
      <c r="D1766" s="1" t="s">
        <v>13</v>
      </c>
      <c r="E1766" s="5">
        <v>42912</v>
      </c>
      <c r="F1766" s="3" t="s">
        <v>104</v>
      </c>
      <c r="G1766" s="1" t="s">
        <v>1014</v>
      </c>
      <c r="H1766" s="1">
        <v>70</v>
      </c>
      <c r="I1766" s="1">
        <v>62</v>
      </c>
      <c r="J1766" s="2">
        <v>0.1143</v>
      </c>
      <c r="K1766">
        <f t="shared" si="81"/>
        <v>7.0865999999999998</v>
      </c>
      <c r="L1766">
        <f t="shared" si="82"/>
        <v>54.913400000000003</v>
      </c>
      <c r="M1766" t="str">
        <f t="shared" si="83"/>
        <v>Jun-2017</v>
      </c>
    </row>
    <row r="1767" spans="1:13" x14ac:dyDescent="0.3">
      <c r="A1767" t="s">
        <v>2361</v>
      </c>
      <c r="B1767" s="1" t="s">
        <v>157</v>
      </c>
      <c r="C1767" s="1" t="s">
        <v>108</v>
      </c>
      <c r="D1767" s="1" t="s">
        <v>19</v>
      </c>
      <c r="E1767" s="5">
        <v>42210</v>
      </c>
      <c r="F1767" s="3" t="s">
        <v>30</v>
      </c>
      <c r="G1767" s="1" t="s">
        <v>1286</v>
      </c>
      <c r="H1767" s="1">
        <v>150</v>
      </c>
      <c r="I1767" s="1">
        <v>128</v>
      </c>
      <c r="J1767" s="2">
        <v>0.1467</v>
      </c>
      <c r="K1767">
        <f t="shared" si="81"/>
        <v>18.7776</v>
      </c>
      <c r="L1767">
        <f t="shared" si="82"/>
        <v>109.22239999999999</v>
      </c>
      <c r="M1767" t="str">
        <f t="shared" si="83"/>
        <v>Jul-2015</v>
      </c>
    </row>
    <row r="1768" spans="1:13" x14ac:dyDescent="0.3">
      <c r="A1768" t="s">
        <v>2362</v>
      </c>
      <c r="B1768" s="1" t="s">
        <v>2170</v>
      </c>
      <c r="C1768" s="1" t="s">
        <v>18</v>
      </c>
      <c r="D1768" s="1" t="s">
        <v>19</v>
      </c>
      <c r="E1768" s="5">
        <v>41654</v>
      </c>
      <c r="F1768" s="3" t="s">
        <v>30</v>
      </c>
      <c r="G1768" s="1" t="s">
        <v>2363</v>
      </c>
      <c r="H1768" s="1">
        <v>150</v>
      </c>
      <c r="I1768" s="1">
        <v>131</v>
      </c>
      <c r="J1768" s="2">
        <v>0.12670000000000001</v>
      </c>
      <c r="K1768">
        <f t="shared" si="81"/>
        <v>16.5977</v>
      </c>
      <c r="L1768">
        <f t="shared" si="82"/>
        <v>114.4023</v>
      </c>
      <c r="M1768" t="str">
        <f t="shared" si="83"/>
        <v>Jan-2014</v>
      </c>
    </row>
    <row r="1769" spans="1:13" x14ac:dyDescent="0.3">
      <c r="A1769" t="s">
        <v>2364</v>
      </c>
      <c r="B1769" s="1" t="s">
        <v>182</v>
      </c>
      <c r="C1769" s="1" t="s">
        <v>108</v>
      </c>
      <c r="D1769" s="1" t="s">
        <v>19</v>
      </c>
      <c r="E1769" s="5">
        <v>41756</v>
      </c>
      <c r="F1769" s="3" t="s">
        <v>41</v>
      </c>
      <c r="G1769" s="1" t="s">
        <v>2235</v>
      </c>
      <c r="H1769" s="1">
        <v>30</v>
      </c>
      <c r="I1769" s="1">
        <v>30</v>
      </c>
      <c r="J1769" s="2">
        <v>0</v>
      </c>
      <c r="K1769">
        <f t="shared" si="81"/>
        <v>0</v>
      </c>
      <c r="L1769">
        <f t="shared" si="82"/>
        <v>30</v>
      </c>
      <c r="M1769" t="str">
        <f t="shared" si="83"/>
        <v>Apr-2014</v>
      </c>
    </row>
    <row r="1770" spans="1:13" x14ac:dyDescent="0.3">
      <c r="A1770" t="s">
        <v>2365</v>
      </c>
      <c r="B1770" s="1" t="s">
        <v>22</v>
      </c>
      <c r="C1770" s="1" t="s">
        <v>23</v>
      </c>
      <c r="D1770" s="1" t="s">
        <v>24</v>
      </c>
      <c r="E1770" s="5">
        <v>42077</v>
      </c>
      <c r="F1770" s="3" t="s">
        <v>46</v>
      </c>
      <c r="G1770" s="1" t="s">
        <v>483</v>
      </c>
      <c r="H1770" s="1">
        <v>500</v>
      </c>
      <c r="I1770" s="1">
        <v>460</v>
      </c>
      <c r="J1770" s="2">
        <v>0.08</v>
      </c>
      <c r="K1770">
        <f t="shared" si="81"/>
        <v>36.800000000000004</v>
      </c>
      <c r="L1770">
        <f t="shared" si="82"/>
        <v>423.2</v>
      </c>
      <c r="M1770" t="str">
        <f t="shared" si="83"/>
        <v>Mar-2015</v>
      </c>
    </row>
    <row r="1771" spans="1:13" x14ac:dyDescent="0.3">
      <c r="A1771" t="s">
        <v>2366</v>
      </c>
      <c r="B1771" s="1" t="s">
        <v>270</v>
      </c>
      <c r="C1771" s="1" t="s">
        <v>271</v>
      </c>
      <c r="D1771" s="1" t="s">
        <v>35</v>
      </c>
      <c r="E1771" s="5">
        <v>42511</v>
      </c>
      <c r="F1771" s="3" t="s">
        <v>30</v>
      </c>
      <c r="G1771" s="1" t="s">
        <v>713</v>
      </c>
      <c r="H1771" s="1">
        <v>150</v>
      </c>
      <c r="I1771" s="1">
        <v>120</v>
      </c>
      <c r="J1771" s="2">
        <v>0.2</v>
      </c>
      <c r="K1771">
        <f t="shared" si="81"/>
        <v>24</v>
      </c>
      <c r="L1771">
        <f t="shared" si="82"/>
        <v>96</v>
      </c>
      <c r="M1771" t="str">
        <f t="shared" si="83"/>
        <v>May-2016</v>
      </c>
    </row>
    <row r="1772" spans="1:13" x14ac:dyDescent="0.3">
      <c r="A1772" t="s">
        <v>2367</v>
      </c>
      <c r="B1772" s="1" t="s">
        <v>182</v>
      </c>
      <c r="C1772" s="1" t="s">
        <v>108</v>
      </c>
      <c r="D1772" s="1" t="s">
        <v>19</v>
      </c>
      <c r="E1772" s="5">
        <v>43069</v>
      </c>
      <c r="F1772" s="3" t="s">
        <v>55</v>
      </c>
      <c r="G1772" s="1" t="s">
        <v>1432</v>
      </c>
      <c r="H1772" s="1">
        <v>800</v>
      </c>
      <c r="I1772" s="1">
        <v>544</v>
      </c>
      <c r="J1772" s="2">
        <v>0.32</v>
      </c>
      <c r="K1772">
        <f t="shared" si="81"/>
        <v>174.08</v>
      </c>
      <c r="L1772">
        <f t="shared" si="82"/>
        <v>369.91999999999996</v>
      </c>
      <c r="M1772" t="str">
        <f t="shared" si="83"/>
        <v>Nov-2017</v>
      </c>
    </row>
    <row r="1773" spans="1:13" x14ac:dyDescent="0.3">
      <c r="A1773" t="s">
        <v>2368</v>
      </c>
      <c r="B1773" s="1" t="s">
        <v>241</v>
      </c>
      <c r="C1773" s="1" t="s">
        <v>242</v>
      </c>
      <c r="D1773" s="1" t="s">
        <v>13</v>
      </c>
      <c r="E1773" s="5">
        <v>42542</v>
      </c>
      <c r="F1773" s="3" t="s">
        <v>30</v>
      </c>
      <c r="G1773" s="1" t="s">
        <v>1152</v>
      </c>
      <c r="H1773" s="1">
        <v>150</v>
      </c>
      <c r="I1773" s="1">
        <v>132</v>
      </c>
      <c r="J1773" s="2">
        <v>0.12</v>
      </c>
      <c r="K1773">
        <f t="shared" si="81"/>
        <v>15.84</v>
      </c>
      <c r="L1773">
        <f t="shared" si="82"/>
        <v>116.16</v>
      </c>
      <c r="M1773" t="str">
        <f t="shared" si="83"/>
        <v>Jun-2016</v>
      </c>
    </row>
    <row r="1774" spans="1:13" x14ac:dyDescent="0.3">
      <c r="A1774" t="s">
        <v>2369</v>
      </c>
      <c r="B1774" s="1" t="s">
        <v>111</v>
      </c>
      <c r="C1774" s="1" t="s">
        <v>82</v>
      </c>
      <c r="D1774" s="1" t="s">
        <v>13</v>
      </c>
      <c r="E1774" s="5">
        <v>43270</v>
      </c>
      <c r="F1774" s="3" t="s">
        <v>46</v>
      </c>
      <c r="G1774" s="1" t="s">
        <v>610</v>
      </c>
      <c r="H1774" s="1">
        <v>500</v>
      </c>
      <c r="I1774" s="1">
        <v>435</v>
      </c>
      <c r="J1774" s="2">
        <v>0.13</v>
      </c>
      <c r="K1774">
        <f t="shared" si="81"/>
        <v>56.550000000000004</v>
      </c>
      <c r="L1774">
        <f t="shared" si="82"/>
        <v>378.45</v>
      </c>
      <c r="M1774" t="str">
        <f t="shared" si="83"/>
        <v>Jun-2018</v>
      </c>
    </row>
    <row r="1775" spans="1:13" x14ac:dyDescent="0.3">
      <c r="A1775" t="s">
        <v>2370</v>
      </c>
      <c r="B1775" s="1" t="s">
        <v>2170</v>
      </c>
      <c r="C1775" s="1" t="s">
        <v>18</v>
      </c>
      <c r="D1775" s="1" t="s">
        <v>19</v>
      </c>
      <c r="E1775" s="5">
        <v>43309</v>
      </c>
      <c r="F1775" s="3" t="s">
        <v>55</v>
      </c>
      <c r="G1775" s="1" t="s">
        <v>2371</v>
      </c>
      <c r="H1775" s="1">
        <v>800</v>
      </c>
      <c r="I1775" s="1">
        <v>448</v>
      </c>
      <c r="J1775" s="2">
        <v>0.44</v>
      </c>
      <c r="K1775">
        <f t="shared" si="81"/>
        <v>197.12</v>
      </c>
      <c r="L1775">
        <f t="shared" si="82"/>
        <v>250.88</v>
      </c>
      <c r="M1775" t="str">
        <f t="shared" si="83"/>
        <v>Jul-2018</v>
      </c>
    </row>
    <row r="1776" spans="1:13" x14ac:dyDescent="0.3">
      <c r="A1776" t="s">
        <v>2372</v>
      </c>
      <c r="B1776" s="1" t="s">
        <v>131</v>
      </c>
      <c r="C1776" s="1" t="s">
        <v>108</v>
      </c>
      <c r="D1776" s="1" t="s">
        <v>19</v>
      </c>
      <c r="E1776" s="5">
        <v>41842</v>
      </c>
      <c r="F1776" s="3" t="s">
        <v>72</v>
      </c>
      <c r="G1776" s="1" t="s">
        <v>382</v>
      </c>
      <c r="H1776" s="1">
        <v>500</v>
      </c>
      <c r="I1776" s="1">
        <v>500</v>
      </c>
      <c r="J1776" s="2">
        <v>0</v>
      </c>
      <c r="K1776">
        <f t="shared" si="81"/>
        <v>0</v>
      </c>
      <c r="L1776">
        <f t="shared" si="82"/>
        <v>500</v>
      </c>
      <c r="M1776" t="str">
        <f t="shared" si="83"/>
        <v>Jul-2014</v>
      </c>
    </row>
    <row r="1777" spans="1:13" x14ac:dyDescent="0.3">
      <c r="A1777" t="s">
        <v>2373</v>
      </c>
      <c r="B1777" s="1" t="s">
        <v>224</v>
      </c>
      <c r="C1777" s="1" t="s">
        <v>50</v>
      </c>
      <c r="D1777" s="1" t="s">
        <v>24</v>
      </c>
      <c r="E1777" s="5">
        <v>42360</v>
      </c>
      <c r="F1777" s="3" t="s">
        <v>122</v>
      </c>
      <c r="G1777" s="1" t="s">
        <v>1239</v>
      </c>
      <c r="H1777" s="1">
        <v>50</v>
      </c>
      <c r="I1777" s="1">
        <v>47</v>
      </c>
      <c r="J1777" s="2">
        <v>0.06</v>
      </c>
      <c r="K1777">
        <f t="shared" si="81"/>
        <v>2.82</v>
      </c>
      <c r="L1777">
        <f t="shared" si="82"/>
        <v>44.18</v>
      </c>
      <c r="M1777" t="str">
        <f t="shared" si="83"/>
        <v>Dec-2015</v>
      </c>
    </row>
    <row r="1778" spans="1:13" x14ac:dyDescent="0.3">
      <c r="A1778" t="s">
        <v>2374</v>
      </c>
      <c r="B1778" s="1" t="s">
        <v>182</v>
      </c>
      <c r="C1778" s="1" t="s">
        <v>108</v>
      </c>
      <c r="D1778" s="1" t="s">
        <v>19</v>
      </c>
      <c r="E1778" s="5">
        <v>43392</v>
      </c>
      <c r="F1778" s="3" t="s">
        <v>36</v>
      </c>
      <c r="G1778" s="1" t="s">
        <v>183</v>
      </c>
      <c r="H1778" s="1">
        <v>50</v>
      </c>
      <c r="I1778" s="1">
        <v>46</v>
      </c>
      <c r="J1778" s="2">
        <v>0.08</v>
      </c>
      <c r="K1778">
        <f t="shared" si="81"/>
        <v>3.68</v>
      </c>
      <c r="L1778">
        <f t="shared" si="82"/>
        <v>42.32</v>
      </c>
      <c r="M1778" t="str">
        <f t="shared" si="83"/>
        <v>Oct-2018</v>
      </c>
    </row>
    <row r="1779" spans="1:13" x14ac:dyDescent="0.3">
      <c r="A1779" t="s">
        <v>2375</v>
      </c>
      <c r="B1779" s="1" t="s">
        <v>49</v>
      </c>
      <c r="C1779" s="1" t="s">
        <v>50</v>
      </c>
      <c r="D1779" s="1" t="s">
        <v>24</v>
      </c>
      <c r="E1779" s="5">
        <v>42936</v>
      </c>
      <c r="F1779" s="3" t="s">
        <v>30</v>
      </c>
      <c r="G1779" s="1" t="s">
        <v>1000</v>
      </c>
      <c r="H1779" s="1">
        <v>150</v>
      </c>
      <c r="I1779" s="1">
        <v>126</v>
      </c>
      <c r="J1779" s="2">
        <v>0.16</v>
      </c>
      <c r="K1779">
        <f t="shared" si="81"/>
        <v>20.16</v>
      </c>
      <c r="L1779">
        <f t="shared" si="82"/>
        <v>105.84</v>
      </c>
      <c r="M1779" t="str">
        <f t="shared" si="83"/>
        <v>Jul-2017</v>
      </c>
    </row>
    <row r="1780" spans="1:13" x14ac:dyDescent="0.3">
      <c r="A1780" t="s">
        <v>2376</v>
      </c>
      <c r="B1780" s="1" t="s">
        <v>174</v>
      </c>
      <c r="C1780" s="1" t="s">
        <v>175</v>
      </c>
      <c r="D1780" s="1" t="s">
        <v>13</v>
      </c>
      <c r="E1780" s="5">
        <v>42944</v>
      </c>
      <c r="F1780" s="3" t="s">
        <v>41</v>
      </c>
      <c r="G1780" s="1" t="s">
        <v>788</v>
      </c>
      <c r="H1780" s="1">
        <v>30</v>
      </c>
      <c r="I1780" s="1">
        <v>23</v>
      </c>
      <c r="J1780" s="2">
        <v>0.23330000000000001</v>
      </c>
      <c r="K1780">
        <f t="shared" si="81"/>
        <v>5.3658999999999999</v>
      </c>
      <c r="L1780">
        <f t="shared" si="82"/>
        <v>17.6341</v>
      </c>
      <c r="M1780" t="str">
        <f t="shared" si="83"/>
        <v>Jul-2017</v>
      </c>
    </row>
    <row r="1781" spans="1:13" x14ac:dyDescent="0.3">
      <c r="A1781" t="s">
        <v>2377</v>
      </c>
      <c r="B1781" s="1" t="s">
        <v>227</v>
      </c>
      <c r="C1781" s="1" t="s">
        <v>228</v>
      </c>
      <c r="D1781" s="1" t="s">
        <v>24</v>
      </c>
      <c r="E1781" s="5">
        <v>42151</v>
      </c>
      <c r="F1781" s="3" t="s">
        <v>115</v>
      </c>
      <c r="G1781" s="1" t="s">
        <v>2378</v>
      </c>
      <c r="H1781" s="1">
        <v>250</v>
      </c>
      <c r="I1781" s="1">
        <v>230</v>
      </c>
      <c r="J1781" s="2">
        <v>0.08</v>
      </c>
      <c r="K1781">
        <f t="shared" si="81"/>
        <v>18.400000000000002</v>
      </c>
      <c r="L1781">
        <f t="shared" si="82"/>
        <v>211.6</v>
      </c>
      <c r="M1781" t="str">
        <f t="shared" si="83"/>
        <v>May-2015</v>
      </c>
    </row>
    <row r="1782" spans="1:13" x14ac:dyDescent="0.3">
      <c r="A1782" t="s">
        <v>2379</v>
      </c>
      <c r="B1782" s="1" t="s">
        <v>241</v>
      </c>
      <c r="C1782" s="1" t="s">
        <v>242</v>
      </c>
      <c r="D1782" s="1" t="s">
        <v>13</v>
      </c>
      <c r="E1782" s="5">
        <v>41755</v>
      </c>
      <c r="F1782" s="3" t="s">
        <v>41</v>
      </c>
      <c r="G1782" s="1" t="s">
        <v>331</v>
      </c>
      <c r="H1782" s="1">
        <v>30</v>
      </c>
      <c r="I1782" s="1">
        <v>29</v>
      </c>
      <c r="J1782" s="2">
        <v>3.3300000000000003E-2</v>
      </c>
      <c r="K1782">
        <f t="shared" si="81"/>
        <v>0.96570000000000011</v>
      </c>
      <c r="L1782">
        <f t="shared" si="82"/>
        <v>28.034299999999998</v>
      </c>
      <c r="M1782" t="str">
        <f t="shared" si="83"/>
        <v>Apr-2014</v>
      </c>
    </row>
    <row r="1783" spans="1:13" x14ac:dyDescent="0.3">
      <c r="A1783" t="s">
        <v>2380</v>
      </c>
      <c r="B1783" s="1" t="s">
        <v>114</v>
      </c>
      <c r="C1783" s="1" t="s">
        <v>54</v>
      </c>
      <c r="D1783" s="1" t="s">
        <v>13</v>
      </c>
      <c r="E1783" s="5">
        <v>42417</v>
      </c>
      <c r="F1783" s="3" t="s">
        <v>41</v>
      </c>
      <c r="G1783" s="1" t="s">
        <v>885</v>
      </c>
      <c r="H1783" s="1">
        <v>30</v>
      </c>
      <c r="I1783" s="1">
        <v>24</v>
      </c>
      <c r="J1783" s="2">
        <v>0.2</v>
      </c>
      <c r="K1783">
        <f t="shared" si="81"/>
        <v>4.8000000000000007</v>
      </c>
      <c r="L1783">
        <f t="shared" si="82"/>
        <v>19.2</v>
      </c>
      <c r="M1783" t="str">
        <f t="shared" si="83"/>
        <v>Feb-2016</v>
      </c>
    </row>
    <row r="1784" spans="1:13" x14ac:dyDescent="0.3">
      <c r="A1784" t="s">
        <v>2381</v>
      </c>
      <c r="B1784" s="1" t="s">
        <v>134</v>
      </c>
      <c r="C1784" s="1" t="s">
        <v>92</v>
      </c>
      <c r="D1784" s="1" t="s">
        <v>35</v>
      </c>
      <c r="E1784" s="5">
        <v>41965</v>
      </c>
      <c r="F1784" s="3" t="s">
        <v>46</v>
      </c>
      <c r="G1784" s="1" t="s">
        <v>538</v>
      </c>
      <c r="H1784" s="1">
        <v>500</v>
      </c>
      <c r="I1784" s="1">
        <v>490</v>
      </c>
      <c r="J1784" s="2">
        <v>0.02</v>
      </c>
      <c r="K1784">
        <f t="shared" si="81"/>
        <v>9.8000000000000007</v>
      </c>
      <c r="L1784">
        <f t="shared" si="82"/>
        <v>480.2</v>
      </c>
      <c r="M1784" t="str">
        <f t="shared" si="83"/>
        <v>Nov-2014</v>
      </c>
    </row>
    <row r="1785" spans="1:13" x14ac:dyDescent="0.3">
      <c r="A1785" t="s">
        <v>2382</v>
      </c>
      <c r="B1785" s="1" t="s">
        <v>400</v>
      </c>
      <c r="C1785" s="1" t="s">
        <v>401</v>
      </c>
      <c r="D1785" s="1" t="s">
        <v>13</v>
      </c>
      <c r="E1785" s="5">
        <v>41811</v>
      </c>
      <c r="F1785" s="3" t="s">
        <v>36</v>
      </c>
      <c r="G1785" s="1" t="s">
        <v>711</v>
      </c>
      <c r="H1785" s="1">
        <v>50</v>
      </c>
      <c r="I1785" s="1">
        <v>47</v>
      </c>
      <c r="J1785" s="2">
        <v>0.06</v>
      </c>
      <c r="K1785">
        <f t="shared" si="81"/>
        <v>2.82</v>
      </c>
      <c r="L1785">
        <f t="shared" si="82"/>
        <v>44.18</v>
      </c>
      <c r="M1785" t="str">
        <f t="shared" si="83"/>
        <v>Jun-2014</v>
      </c>
    </row>
    <row r="1786" spans="1:13" x14ac:dyDescent="0.3">
      <c r="A1786" t="s">
        <v>2383</v>
      </c>
      <c r="B1786" s="1" t="s">
        <v>70</v>
      </c>
      <c r="C1786" s="1" t="s">
        <v>71</v>
      </c>
      <c r="D1786" s="1" t="s">
        <v>35</v>
      </c>
      <c r="E1786" s="5">
        <v>43034</v>
      </c>
      <c r="F1786" s="3" t="s">
        <v>61</v>
      </c>
      <c r="G1786" s="1" t="s">
        <v>1414</v>
      </c>
      <c r="H1786" s="1">
        <v>1000</v>
      </c>
      <c r="I1786" s="1">
        <v>740</v>
      </c>
      <c r="J1786" s="2">
        <v>0.26</v>
      </c>
      <c r="K1786">
        <f t="shared" si="81"/>
        <v>192.4</v>
      </c>
      <c r="L1786">
        <f t="shared" si="82"/>
        <v>547.6</v>
      </c>
      <c r="M1786" t="str">
        <f t="shared" si="83"/>
        <v>Oct-2017</v>
      </c>
    </row>
    <row r="1787" spans="1:13" x14ac:dyDescent="0.3">
      <c r="A1787" t="s">
        <v>2384</v>
      </c>
      <c r="B1787" s="1" t="s">
        <v>107</v>
      </c>
      <c r="C1787" s="1" t="s">
        <v>108</v>
      </c>
      <c r="D1787" s="1" t="s">
        <v>19</v>
      </c>
      <c r="E1787" s="5">
        <v>42421</v>
      </c>
      <c r="F1787" s="3" t="s">
        <v>122</v>
      </c>
      <c r="G1787" s="1" t="s">
        <v>109</v>
      </c>
      <c r="H1787" s="1">
        <v>50</v>
      </c>
      <c r="I1787" s="1">
        <v>45</v>
      </c>
      <c r="J1787" s="2">
        <v>0.1</v>
      </c>
      <c r="K1787">
        <f t="shared" si="81"/>
        <v>4.5</v>
      </c>
      <c r="L1787">
        <f t="shared" si="82"/>
        <v>40.5</v>
      </c>
      <c r="M1787" t="str">
        <f t="shared" si="83"/>
        <v>Feb-2016</v>
      </c>
    </row>
    <row r="1788" spans="1:13" x14ac:dyDescent="0.3">
      <c r="A1788" t="s">
        <v>2385</v>
      </c>
      <c r="B1788" s="1" t="s">
        <v>2243</v>
      </c>
      <c r="C1788" s="1" t="s">
        <v>108</v>
      </c>
      <c r="D1788" s="1" t="s">
        <v>19</v>
      </c>
      <c r="E1788" s="5">
        <v>41880</v>
      </c>
      <c r="F1788" s="3" t="s">
        <v>25</v>
      </c>
      <c r="G1788" s="1" t="s">
        <v>2386</v>
      </c>
      <c r="H1788" s="1">
        <v>700</v>
      </c>
      <c r="I1788" s="1">
        <v>658</v>
      </c>
      <c r="J1788" s="2">
        <v>0.06</v>
      </c>
      <c r="K1788">
        <f t="shared" si="81"/>
        <v>39.479999999999997</v>
      </c>
      <c r="L1788">
        <f t="shared" si="82"/>
        <v>618.52</v>
      </c>
      <c r="M1788" t="str">
        <f t="shared" si="83"/>
        <v>Aug-2014</v>
      </c>
    </row>
    <row r="1789" spans="1:13" x14ac:dyDescent="0.3">
      <c r="A1789" t="s">
        <v>2387</v>
      </c>
      <c r="B1789" s="1" t="s">
        <v>157</v>
      </c>
      <c r="C1789" s="1" t="s">
        <v>108</v>
      </c>
      <c r="D1789" s="1" t="s">
        <v>19</v>
      </c>
      <c r="E1789" s="5">
        <v>43424</v>
      </c>
      <c r="F1789" s="3" t="s">
        <v>41</v>
      </c>
      <c r="G1789" s="1" t="s">
        <v>158</v>
      </c>
      <c r="H1789" s="1">
        <v>30</v>
      </c>
      <c r="I1789" s="1">
        <v>26</v>
      </c>
      <c r="J1789" s="2">
        <v>0.1333</v>
      </c>
      <c r="K1789">
        <f t="shared" si="81"/>
        <v>3.4658000000000002</v>
      </c>
      <c r="L1789">
        <f t="shared" si="82"/>
        <v>22.534199999999998</v>
      </c>
      <c r="M1789" t="str">
        <f t="shared" si="83"/>
        <v>Nov-2018</v>
      </c>
    </row>
    <row r="1790" spans="1:13" x14ac:dyDescent="0.3">
      <c r="A1790" t="s">
        <v>2388</v>
      </c>
      <c r="B1790" s="1" t="s">
        <v>33</v>
      </c>
      <c r="C1790" s="1" t="s">
        <v>34</v>
      </c>
      <c r="D1790" s="1" t="s">
        <v>35</v>
      </c>
      <c r="E1790" s="5">
        <v>43233</v>
      </c>
      <c r="F1790" s="3" t="s">
        <v>72</v>
      </c>
      <c r="G1790" s="1" t="s">
        <v>160</v>
      </c>
      <c r="H1790" s="1">
        <v>500</v>
      </c>
      <c r="I1790" s="1">
        <v>500</v>
      </c>
      <c r="J1790" s="2">
        <v>0</v>
      </c>
      <c r="K1790">
        <f t="shared" si="81"/>
        <v>0</v>
      </c>
      <c r="L1790">
        <f t="shared" si="82"/>
        <v>500</v>
      </c>
      <c r="M1790" t="str">
        <f t="shared" si="83"/>
        <v>May-2018</v>
      </c>
    </row>
    <row r="1791" spans="1:13" x14ac:dyDescent="0.3">
      <c r="A1791" t="s">
        <v>2389</v>
      </c>
      <c r="B1791" s="1" t="s">
        <v>11</v>
      </c>
      <c r="C1791" s="1" t="s">
        <v>12</v>
      </c>
      <c r="D1791" s="1" t="s">
        <v>13</v>
      </c>
      <c r="E1791" s="5">
        <v>42997</v>
      </c>
      <c r="F1791" s="3" t="s">
        <v>55</v>
      </c>
      <c r="G1791" s="1" t="s">
        <v>137</v>
      </c>
      <c r="H1791" s="1">
        <v>800</v>
      </c>
      <c r="I1791" s="1">
        <v>480</v>
      </c>
      <c r="J1791" s="2">
        <v>0.4</v>
      </c>
      <c r="K1791">
        <f t="shared" si="81"/>
        <v>192</v>
      </c>
      <c r="L1791">
        <f t="shared" si="82"/>
        <v>288</v>
      </c>
      <c r="M1791" t="str">
        <f t="shared" si="83"/>
        <v>Sep-2017</v>
      </c>
    </row>
    <row r="1792" spans="1:13" x14ac:dyDescent="0.3">
      <c r="A1792" t="s">
        <v>2390</v>
      </c>
      <c r="B1792" s="1" t="s">
        <v>205</v>
      </c>
      <c r="C1792" s="1" t="s">
        <v>206</v>
      </c>
      <c r="D1792" s="1" t="s">
        <v>24</v>
      </c>
      <c r="E1792" s="5">
        <v>43342</v>
      </c>
      <c r="F1792" s="3" t="s">
        <v>41</v>
      </c>
      <c r="G1792" s="1" t="s">
        <v>635</v>
      </c>
      <c r="H1792" s="1">
        <v>30</v>
      </c>
      <c r="I1792" s="1">
        <v>21</v>
      </c>
      <c r="J1792" s="2">
        <v>0.3</v>
      </c>
      <c r="K1792">
        <f t="shared" si="81"/>
        <v>6.3</v>
      </c>
      <c r="L1792">
        <f t="shared" si="82"/>
        <v>14.7</v>
      </c>
      <c r="M1792" t="str">
        <f t="shared" si="83"/>
        <v>Aug-2018</v>
      </c>
    </row>
    <row r="1793" spans="1:13" x14ac:dyDescent="0.3">
      <c r="A1793" t="s">
        <v>2391</v>
      </c>
      <c r="B1793" s="1" t="s">
        <v>103</v>
      </c>
      <c r="C1793" s="1" t="s">
        <v>71</v>
      </c>
      <c r="D1793" s="1" t="s">
        <v>35</v>
      </c>
      <c r="E1793" s="5">
        <v>43209</v>
      </c>
      <c r="F1793" s="3" t="s">
        <v>14</v>
      </c>
      <c r="G1793" s="1" t="s">
        <v>727</v>
      </c>
      <c r="H1793" s="1">
        <v>80</v>
      </c>
      <c r="I1793" s="1">
        <v>79</v>
      </c>
      <c r="J1793" s="2">
        <v>1.2500000000000001E-2</v>
      </c>
      <c r="K1793">
        <f t="shared" si="81"/>
        <v>0.98750000000000004</v>
      </c>
      <c r="L1793">
        <f t="shared" si="82"/>
        <v>78.012500000000003</v>
      </c>
      <c r="M1793" t="str">
        <f t="shared" si="83"/>
        <v>Apr-2018</v>
      </c>
    </row>
    <row r="1794" spans="1:13" x14ac:dyDescent="0.3">
      <c r="A1794" t="s">
        <v>2392</v>
      </c>
      <c r="B1794" s="1" t="s">
        <v>99</v>
      </c>
      <c r="C1794" s="1" t="s">
        <v>100</v>
      </c>
      <c r="D1794" s="1" t="s">
        <v>13</v>
      </c>
      <c r="E1794" s="5">
        <v>42673</v>
      </c>
      <c r="F1794" s="3" t="s">
        <v>30</v>
      </c>
      <c r="G1794" s="1" t="s">
        <v>1090</v>
      </c>
      <c r="H1794" s="1">
        <v>150</v>
      </c>
      <c r="I1794" s="1">
        <v>149</v>
      </c>
      <c r="J1794" s="2">
        <v>6.7000000000000002E-3</v>
      </c>
      <c r="K1794">
        <f t="shared" si="81"/>
        <v>0.99830000000000008</v>
      </c>
      <c r="L1794">
        <f t="shared" si="82"/>
        <v>148.0017</v>
      </c>
      <c r="M1794" t="str">
        <f t="shared" si="83"/>
        <v>Oct-2016</v>
      </c>
    </row>
    <row r="1795" spans="1:13" x14ac:dyDescent="0.3">
      <c r="A1795" t="s">
        <v>2393</v>
      </c>
      <c r="B1795" s="1" t="s">
        <v>11</v>
      </c>
      <c r="C1795" s="1" t="s">
        <v>12</v>
      </c>
      <c r="D1795" s="1" t="s">
        <v>13</v>
      </c>
      <c r="E1795" s="5">
        <v>42301</v>
      </c>
      <c r="F1795" s="3" t="s">
        <v>25</v>
      </c>
      <c r="G1795" s="1" t="s">
        <v>348</v>
      </c>
      <c r="H1795" s="1">
        <v>700</v>
      </c>
      <c r="I1795" s="1">
        <v>700</v>
      </c>
      <c r="J1795" s="2">
        <v>0</v>
      </c>
      <c r="K1795">
        <f t="shared" si="81"/>
        <v>0</v>
      </c>
      <c r="L1795">
        <f t="shared" si="82"/>
        <v>700</v>
      </c>
      <c r="M1795" t="str">
        <f t="shared" si="83"/>
        <v>Oct-2015</v>
      </c>
    </row>
    <row r="1796" spans="1:13" x14ac:dyDescent="0.3">
      <c r="A1796" t="s">
        <v>2394</v>
      </c>
      <c r="B1796" s="1" t="s">
        <v>49</v>
      </c>
      <c r="C1796" s="1" t="s">
        <v>50</v>
      </c>
      <c r="D1796" s="1" t="s">
        <v>24</v>
      </c>
      <c r="E1796" s="5">
        <v>42426</v>
      </c>
      <c r="F1796" s="3" t="s">
        <v>61</v>
      </c>
      <c r="G1796" s="1" t="s">
        <v>398</v>
      </c>
      <c r="H1796" s="1">
        <v>1000</v>
      </c>
      <c r="I1796" s="1">
        <v>920</v>
      </c>
      <c r="J1796" s="2">
        <v>0.08</v>
      </c>
      <c r="K1796">
        <f t="shared" ref="K1796:K1859" si="84">I1796*J1796</f>
        <v>73.600000000000009</v>
      </c>
      <c r="L1796">
        <f t="shared" ref="L1796:L1859" si="85">I1796-K1796</f>
        <v>846.4</v>
      </c>
      <c r="M1796" t="str">
        <f t="shared" ref="M1796:M1859" si="86">TEXT(E1796, "mmm-yyyy")</f>
        <v>Feb-2016</v>
      </c>
    </row>
    <row r="1797" spans="1:13" x14ac:dyDescent="0.3">
      <c r="A1797" t="s">
        <v>2395</v>
      </c>
      <c r="B1797" s="1" t="s">
        <v>270</v>
      </c>
      <c r="C1797" s="1" t="s">
        <v>271</v>
      </c>
      <c r="D1797" s="1" t="s">
        <v>35</v>
      </c>
      <c r="E1797" s="5">
        <v>43397</v>
      </c>
      <c r="F1797" s="3" t="s">
        <v>122</v>
      </c>
      <c r="G1797" s="1" t="s">
        <v>713</v>
      </c>
      <c r="H1797" s="1">
        <v>50</v>
      </c>
      <c r="I1797" s="1">
        <v>40</v>
      </c>
      <c r="J1797" s="2">
        <v>0.2</v>
      </c>
      <c r="K1797">
        <f t="shared" si="84"/>
        <v>8</v>
      </c>
      <c r="L1797">
        <f t="shared" si="85"/>
        <v>32</v>
      </c>
      <c r="M1797" t="str">
        <f t="shared" si="86"/>
        <v>Oct-2018</v>
      </c>
    </row>
    <row r="1798" spans="1:13" x14ac:dyDescent="0.3">
      <c r="A1798" t="s">
        <v>2396</v>
      </c>
      <c r="B1798" s="1" t="s">
        <v>241</v>
      </c>
      <c r="C1798" s="1" t="s">
        <v>242</v>
      </c>
      <c r="D1798" s="1" t="s">
        <v>13</v>
      </c>
      <c r="E1798" s="5">
        <v>43203</v>
      </c>
      <c r="F1798" s="3" t="s">
        <v>55</v>
      </c>
      <c r="G1798" s="1" t="s">
        <v>779</v>
      </c>
      <c r="H1798" s="1">
        <v>800</v>
      </c>
      <c r="I1798" s="1">
        <v>784</v>
      </c>
      <c r="J1798" s="2">
        <v>0.02</v>
      </c>
      <c r="K1798">
        <f t="shared" si="84"/>
        <v>15.68</v>
      </c>
      <c r="L1798">
        <f t="shared" si="85"/>
        <v>768.32</v>
      </c>
      <c r="M1798" t="str">
        <f t="shared" si="86"/>
        <v>Apr-2018</v>
      </c>
    </row>
    <row r="1799" spans="1:13" x14ac:dyDescent="0.3">
      <c r="A1799" t="s">
        <v>2397</v>
      </c>
      <c r="B1799" s="1" t="s">
        <v>70</v>
      </c>
      <c r="C1799" s="1" t="s">
        <v>71</v>
      </c>
      <c r="D1799" s="1" t="s">
        <v>35</v>
      </c>
      <c r="E1799" s="5">
        <v>41660</v>
      </c>
      <c r="F1799" s="3" t="s">
        <v>55</v>
      </c>
      <c r="G1799" s="1" t="s">
        <v>142</v>
      </c>
      <c r="H1799" s="1">
        <v>800</v>
      </c>
      <c r="I1799" s="1">
        <v>488</v>
      </c>
      <c r="J1799" s="2">
        <v>0.39</v>
      </c>
      <c r="K1799">
        <f t="shared" si="84"/>
        <v>190.32</v>
      </c>
      <c r="L1799">
        <f t="shared" si="85"/>
        <v>297.68</v>
      </c>
      <c r="M1799" t="str">
        <f t="shared" si="86"/>
        <v>Jan-2014</v>
      </c>
    </row>
    <row r="1800" spans="1:13" x14ac:dyDescent="0.3">
      <c r="A1800" t="s">
        <v>2398</v>
      </c>
      <c r="B1800" s="1" t="s">
        <v>154</v>
      </c>
      <c r="C1800" s="1" t="s">
        <v>108</v>
      </c>
      <c r="D1800" s="1" t="s">
        <v>19</v>
      </c>
      <c r="E1800" s="5">
        <v>42507</v>
      </c>
      <c r="F1800" s="3" t="s">
        <v>46</v>
      </c>
      <c r="G1800" s="1" t="s">
        <v>490</v>
      </c>
      <c r="H1800" s="1">
        <v>500</v>
      </c>
      <c r="I1800" s="1">
        <v>450</v>
      </c>
      <c r="J1800" s="2">
        <v>0.1</v>
      </c>
      <c r="K1800">
        <f t="shared" si="84"/>
        <v>45</v>
      </c>
      <c r="L1800">
        <f t="shared" si="85"/>
        <v>405</v>
      </c>
      <c r="M1800" t="str">
        <f t="shared" si="86"/>
        <v>May-2016</v>
      </c>
    </row>
    <row r="1801" spans="1:13" x14ac:dyDescent="0.3">
      <c r="A1801" t="s">
        <v>2399</v>
      </c>
      <c r="B1801" s="1" t="s">
        <v>264</v>
      </c>
      <c r="C1801" s="1" t="s">
        <v>265</v>
      </c>
      <c r="D1801" s="1" t="s">
        <v>13</v>
      </c>
      <c r="E1801" s="5">
        <v>42634</v>
      </c>
      <c r="F1801" s="3" t="s">
        <v>41</v>
      </c>
      <c r="G1801" s="1" t="s">
        <v>308</v>
      </c>
      <c r="H1801" s="1">
        <v>30</v>
      </c>
      <c r="I1801" s="1">
        <v>29</v>
      </c>
      <c r="J1801" s="2">
        <v>3.3300000000000003E-2</v>
      </c>
      <c r="K1801">
        <f t="shared" si="84"/>
        <v>0.96570000000000011</v>
      </c>
      <c r="L1801">
        <f t="shared" si="85"/>
        <v>28.034299999999998</v>
      </c>
      <c r="M1801" t="str">
        <f t="shared" si="86"/>
        <v>Sep-2016</v>
      </c>
    </row>
    <row r="1802" spans="1:13" x14ac:dyDescent="0.3">
      <c r="A1802" t="s">
        <v>2400</v>
      </c>
      <c r="B1802" s="1" t="s">
        <v>33</v>
      </c>
      <c r="C1802" s="1" t="s">
        <v>34</v>
      </c>
      <c r="D1802" s="1" t="s">
        <v>35</v>
      </c>
      <c r="E1802" s="5">
        <v>42875</v>
      </c>
      <c r="F1802" s="3" t="s">
        <v>72</v>
      </c>
      <c r="G1802" s="1" t="s">
        <v>1243</v>
      </c>
      <c r="H1802" s="1">
        <v>500</v>
      </c>
      <c r="I1802" s="1">
        <v>490</v>
      </c>
      <c r="J1802" s="2">
        <v>0.02</v>
      </c>
      <c r="K1802">
        <f t="shared" si="84"/>
        <v>9.8000000000000007</v>
      </c>
      <c r="L1802">
        <f t="shared" si="85"/>
        <v>480.2</v>
      </c>
      <c r="M1802" t="str">
        <f t="shared" si="86"/>
        <v>May-2017</v>
      </c>
    </row>
    <row r="1803" spans="1:13" x14ac:dyDescent="0.3">
      <c r="A1803" t="s">
        <v>2401</v>
      </c>
      <c r="B1803" s="1" t="s">
        <v>70</v>
      </c>
      <c r="C1803" s="1" t="s">
        <v>71</v>
      </c>
      <c r="D1803" s="1" t="s">
        <v>35</v>
      </c>
      <c r="E1803" s="5">
        <v>43450</v>
      </c>
      <c r="F1803" s="3" t="s">
        <v>115</v>
      </c>
      <c r="G1803" s="1" t="s">
        <v>73</v>
      </c>
      <c r="H1803" s="1">
        <v>250</v>
      </c>
      <c r="I1803" s="1">
        <v>240</v>
      </c>
      <c r="J1803" s="2">
        <v>0.04</v>
      </c>
      <c r="K1803">
        <f t="shared" si="84"/>
        <v>9.6</v>
      </c>
      <c r="L1803">
        <f t="shared" si="85"/>
        <v>230.4</v>
      </c>
      <c r="M1803" t="str">
        <f t="shared" si="86"/>
        <v>Dec-2018</v>
      </c>
    </row>
    <row r="1804" spans="1:13" x14ac:dyDescent="0.3">
      <c r="A1804" t="s">
        <v>2402</v>
      </c>
      <c r="B1804" s="1" t="s">
        <v>434</v>
      </c>
      <c r="C1804" s="1" t="s">
        <v>435</v>
      </c>
      <c r="D1804" s="1" t="s">
        <v>24</v>
      </c>
      <c r="E1804" s="5">
        <v>42054</v>
      </c>
      <c r="F1804" s="3" t="s">
        <v>41</v>
      </c>
      <c r="G1804" s="1" t="s">
        <v>585</v>
      </c>
      <c r="H1804" s="1">
        <v>30</v>
      </c>
      <c r="I1804" s="1">
        <v>29</v>
      </c>
      <c r="J1804" s="2">
        <v>3.3300000000000003E-2</v>
      </c>
      <c r="K1804">
        <f t="shared" si="84"/>
        <v>0.96570000000000011</v>
      </c>
      <c r="L1804">
        <f t="shared" si="85"/>
        <v>28.034299999999998</v>
      </c>
      <c r="M1804" t="str">
        <f t="shared" si="86"/>
        <v>Feb-2015</v>
      </c>
    </row>
    <row r="1805" spans="1:13" x14ac:dyDescent="0.3">
      <c r="A1805" t="s">
        <v>2403</v>
      </c>
      <c r="B1805" s="1" t="s">
        <v>81</v>
      </c>
      <c r="C1805" s="1" t="s">
        <v>82</v>
      </c>
      <c r="D1805" s="1" t="s">
        <v>13</v>
      </c>
      <c r="E1805" s="5">
        <v>41926</v>
      </c>
      <c r="F1805" s="3" t="s">
        <v>115</v>
      </c>
      <c r="G1805" s="1" t="s">
        <v>282</v>
      </c>
      <c r="H1805" s="1">
        <v>250</v>
      </c>
      <c r="I1805" s="1">
        <v>240</v>
      </c>
      <c r="J1805" s="2">
        <v>0.04</v>
      </c>
      <c r="K1805">
        <f t="shared" si="84"/>
        <v>9.6</v>
      </c>
      <c r="L1805">
        <f t="shared" si="85"/>
        <v>230.4</v>
      </c>
      <c r="M1805" t="str">
        <f t="shared" si="86"/>
        <v>Oct-2014</v>
      </c>
    </row>
    <row r="1806" spans="1:13" x14ac:dyDescent="0.3">
      <c r="A1806" t="s">
        <v>2404</v>
      </c>
      <c r="B1806" s="1" t="s">
        <v>324</v>
      </c>
      <c r="C1806" s="1" t="s">
        <v>325</v>
      </c>
      <c r="D1806" s="1" t="s">
        <v>13</v>
      </c>
      <c r="E1806" s="5">
        <v>41965</v>
      </c>
      <c r="F1806" s="3" t="s">
        <v>61</v>
      </c>
      <c r="G1806" s="1" t="s">
        <v>1192</v>
      </c>
      <c r="H1806" s="1">
        <v>1000</v>
      </c>
      <c r="I1806" s="1">
        <v>670</v>
      </c>
      <c r="J1806" s="2">
        <v>0.33</v>
      </c>
      <c r="K1806">
        <f t="shared" si="84"/>
        <v>221.10000000000002</v>
      </c>
      <c r="L1806">
        <f t="shared" si="85"/>
        <v>448.9</v>
      </c>
      <c r="M1806" t="str">
        <f t="shared" si="86"/>
        <v>Nov-2014</v>
      </c>
    </row>
    <row r="1807" spans="1:13" x14ac:dyDescent="0.3">
      <c r="A1807" t="s">
        <v>2405</v>
      </c>
      <c r="B1807" s="1" t="s">
        <v>103</v>
      </c>
      <c r="C1807" s="1" t="s">
        <v>71</v>
      </c>
      <c r="D1807" s="1" t="s">
        <v>35</v>
      </c>
      <c r="E1807" s="5">
        <v>43274</v>
      </c>
      <c r="F1807" s="3" t="s">
        <v>55</v>
      </c>
      <c r="G1807" s="1" t="s">
        <v>247</v>
      </c>
      <c r="H1807" s="1">
        <v>800</v>
      </c>
      <c r="I1807" s="1">
        <v>448</v>
      </c>
      <c r="J1807" s="2">
        <v>0.44</v>
      </c>
      <c r="K1807">
        <f t="shared" si="84"/>
        <v>197.12</v>
      </c>
      <c r="L1807">
        <f t="shared" si="85"/>
        <v>250.88</v>
      </c>
      <c r="M1807" t="str">
        <f t="shared" si="86"/>
        <v>Jun-2018</v>
      </c>
    </row>
    <row r="1808" spans="1:13" x14ac:dyDescent="0.3">
      <c r="A1808" t="s">
        <v>2406</v>
      </c>
      <c r="B1808" s="1" t="s">
        <v>28</v>
      </c>
      <c r="C1808" s="1" t="s">
        <v>29</v>
      </c>
      <c r="D1808" s="1" t="s">
        <v>13</v>
      </c>
      <c r="E1808" s="5">
        <v>41808</v>
      </c>
      <c r="F1808" s="3" t="s">
        <v>36</v>
      </c>
      <c r="G1808" s="1" t="s">
        <v>445</v>
      </c>
      <c r="H1808" s="1">
        <v>50</v>
      </c>
      <c r="I1808" s="1">
        <v>31</v>
      </c>
      <c r="J1808" s="2">
        <v>0.38</v>
      </c>
      <c r="K1808">
        <f t="shared" si="84"/>
        <v>11.78</v>
      </c>
      <c r="L1808">
        <f t="shared" si="85"/>
        <v>19.22</v>
      </c>
      <c r="M1808" t="str">
        <f t="shared" si="86"/>
        <v>Jun-2014</v>
      </c>
    </row>
    <row r="1809" spans="1:13" x14ac:dyDescent="0.3">
      <c r="A1809" t="s">
        <v>2407</v>
      </c>
      <c r="B1809" s="1" t="s">
        <v>270</v>
      </c>
      <c r="C1809" s="1" t="s">
        <v>271</v>
      </c>
      <c r="D1809" s="1" t="s">
        <v>35</v>
      </c>
      <c r="E1809" s="5">
        <v>41843</v>
      </c>
      <c r="F1809" s="3" t="s">
        <v>36</v>
      </c>
      <c r="G1809" s="1" t="s">
        <v>713</v>
      </c>
      <c r="H1809" s="1">
        <v>50</v>
      </c>
      <c r="I1809" s="1">
        <v>46</v>
      </c>
      <c r="J1809" s="2">
        <v>0.08</v>
      </c>
      <c r="K1809">
        <f t="shared" si="84"/>
        <v>3.68</v>
      </c>
      <c r="L1809">
        <f t="shared" si="85"/>
        <v>42.32</v>
      </c>
      <c r="M1809" t="str">
        <f t="shared" si="86"/>
        <v>Jul-2014</v>
      </c>
    </row>
    <row r="1810" spans="1:13" x14ac:dyDescent="0.3">
      <c r="A1810" t="s">
        <v>2408</v>
      </c>
      <c r="B1810" s="1" t="s">
        <v>118</v>
      </c>
      <c r="C1810" s="1" t="s">
        <v>119</v>
      </c>
      <c r="D1810" s="1" t="s">
        <v>35</v>
      </c>
      <c r="E1810" s="5">
        <v>42934</v>
      </c>
      <c r="F1810" s="3" t="s">
        <v>122</v>
      </c>
      <c r="G1810" s="1" t="s">
        <v>1110</v>
      </c>
      <c r="H1810" s="1">
        <v>50</v>
      </c>
      <c r="I1810" s="1">
        <v>49</v>
      </c>
      <c r="J1810" s="2">
        <v>0.02</v>
      </c>
      <c r="K1810">
        <f t="shared" si="84"/>
        <v>0.98</v>
      </c>
      <c r="L1810">
        <f t="shared" si="85"/>
        <v>48.02</v>
      </c>
      <c r="M1810" t="str">
        <f t="shared" si="86"/>
        <v>Jul-2017</v>
      </c>
    </row>
    <row r="1811" spans="1:13" x14ac:dyDescent="0.3">
      <c r="A1811" t="s">
        <v>2409</v>
      </c>
      <c r="B1811" s="1" t="s">
        <v>59</v>
      </c>
      <c r="C1811" s="1" t="s">
        <v>60</v>
      </c>
      <c r="D1811" s="1" t="s">
        <v>13</v>
      </c>
      <c r="E1811" s="5">
        <v>42211</v>
      </c>
      <c r="F1811" s="3" t="s">
        <v>104</v>
      </c>
      <c r="G1811" s="1" t="s">
        <v>1750</v>
      </c>
      <c r="H1811" s="1">
        <v>70</v>
      </c>
      <c r="I1811" s="1">
        <v>63</v>
      </c>
      <c r="J1811" s="2">
        <v>0.1</v>
      </c>
      <c r="K1811">
        <f t="shared" si="84"/>
        <v>6.3000000000000007</v>
      </c>
      <c r="L1811">
        <f t="shared" si="85"/>
        <v>56.7</v>
      </c>
      <c r="M1811" t="str">
        <f t="shared" si="86"/>
        <v>Jul-2015</v>
      </c>
    </row>
    <row r="1812" spans="1:13" x14ac:dyDescent="0.3">
      <c r="A1812" t="s">
        <v>2410</v>
      </c>
      <c r="B1812" s="1" t="s">
        <v>99</v>
      </c>
      <c r="C1812" s="1" t="s">
        <v>100</v>
      </c>
      <c r="D1812" s="1" t="s">
        <v>13</v>
      </c>
      <c r="E1812" s="5">
        <v>42272</v>
      </c>
      <c r="F1812" s="3" t="s">
        <v>25</v>
      </c>
      <c r="G1812" s="1" t="s">
        <v>911</v>
      </c>
      <c r="H1812" s="1">
        <v>700</v>
      </c>
      <c r="I1812" s="1">
        <v>686</v>
      </c>
      <c r="J1812" s="2">
        <v>0.02</v>
      </c>
      <c r="K1812">
        <f t="shared" si="84"/>
        <v>13.72</v>
      </c>
      <c r="L1812">
        <f t="shared" si="85"/>
        <v>672.28</v>
      </c>
      <c r="M1812" t="str">
        <f t="shared" si="86"/>
        <v>Sep-2015</v>
      </c>
    </row>
    <row r="1813" spans="1:13" x14ac:dyDescent="0.3">
      <c r="A1813" t="s">
        <v>2411</v>
      </c>
      <c r="B1813" s="1" t="s">
        <v>17</v>
      </c>
      <c r="C1813" s="1" t="s">
        <v>18</v>
      </c>
      <c r="D1813" s="1" t="s">
        <v>19</v>
      </c>
      <c r="E1813" s="5">
        <v>42416</v>
      </c>
      <c r="F1813" s="3" t="s">
        <v>46</v>
      </c>
      <c r="G1813" s="1" t="s">
        <v>20</v>
      </c>
      <c r="H1813" s="1">
        <v>500</v>
      </c>
      <c r="I1813" s="1">
        <v>425</v>
      </c>
      <c r="J1813" s="2">
        <v>0.15</v>
      </c>
      <c r="K1813">
        <f t="shared" si="84"/>
        <v>63.75</v>
      </c>
      <c r="L1813">
        <f t="shared" si="85"/>
        <v>361.25</v>
      </c>
      <c r="M1813" t="str">
        <f t="shared" si="86"/>
        <v>Feb-2016</v>
      </c>
    </row>
    <row r="1814" spans="1:13" x14ac:dyDescent="0.3">
      <c r="A1814" t="s">
        <v>2412</v>
      </c>
      <c r="B1814" s="1" t="s">
        <v>33</v>
      </c>
      <c r="C1814" s="1" t="s">
        <v>34</v>
      </c>
      <c r="D1814" s="1" t="s">
        <v>35</v>
      </c>
      <c r="E1814" s="5">
        <v>41939</v>
      </c>
      <c r="F1814" s="3" t="s">
        <v>55</v>
      </c>
      <c r="G1814" s="1" t="s">
        <v>75</v>
      </c>
      <c r="H1814" s="1">
        <v>800</v>
      </c>
      <c r="I1814" s="1">
        <v>784</v>
      </c>
      <c r="J1814" s="2">
        <v>0.02</v>
      </c>
      <c r="K1814">
        <f t="shared" si="84"/>
        <v>15.68</v>
      </c>
      <c r="L1814">
        <f t="shared" si="85"/>
        <v>768.32</v>
      </c>
      <c r="M1814" t="str">
        <f t="shared" si="86"/>
        <v>Oct-2014</v>
      </c>
    </row>
    <row r="1815" spans="1:13" x14ac:dyDescent="0.3">
      <c r="A1815" t="s">
        <v>2413</v>
      </c>
      <c r="B1815" s="1" t="s">
        <v>205</v>
      </c>
      <c r="C1815" s="1" t="s">
        <v>206</v>
      </c>
      <c r="D1815" s="1" t="s">
        <v>24</v>
      </c>
      <c r="E1815" s="5">
        <v>43360</v>
      </c>
      <c r="F1815" s="3" t="s">
        <v>122</v>
      </c>
      <c r="G1815" s="1" t="s">
        <v>1478</v>
      </c>
      <c r="H1815" s="1">
        <v>50</v>
      </c>
      <c r="I1815" s="1">
        <v>43</v>
      </c>
      <c r="J1815" s="2">
        <v>0.14000000000000001</v>
      </c>
      <c r="K1815">
        <f t="shared" si="84"/>
        <v>6.0200000000000005</v>
      </c>
      <c r="L1815">
        <f t="shared" si="85"/>
        <v>36.979999999999997</v>
      </c>
      <c r="M1815" t="str">
        <f t="shared" si="86"/>
        <v>Sep-2018</v>
      </c>
    </row>
    <row r="1816" spans="1:13" x14ac:dyDescent="0.3">
      <c r="A1816" t="s">
        <v>2414</v>
      </c>
      <c r="B1816" s="1" t="s">
        <v>205</v>
      </c>
      <c r="C1816" s="1" t="s">
        <v>206</v>
      </c>
      <c r="D1816" s="1" t="s">
        <v>24</v>
      </c>
      <c r="E1816" s="5">
        <v>42596</v>
      </c>
      <c r="F1816" s="3" t="s">
        <v>14</v>
      </c>
      <c r="G1816" s="1" t="s">
        <v>361</v>
      </c>
      <c r="H1816" s="1">
        <v>80</v>
      </c>
      <c r="I1816" s="1">
        <v>74</v>
      </c>
      <c r="J1816" s="2">
        <v>7.4999999999999997E-2</v>
      </c>
      <c r="K1816">
        <f t="shared" si="84"/>
        <v>5.55</v>
      </c>
      <c r="L1816">
        <f t="shared" si="85"/>
        <v>68.45</v>
      </c>
      <c r="M1816" t="str">
        <f t="shared" si="86"/>
        <v>Aug-2016</v>
      </c>
    </row>
    <row r="1817" spans="1:13" x14ac:dyDescent="0.3">
      <c r="A1817" t="s">
        <v>2415</v>
      </c>
      <c r="B1817" s="1" t="s">
        <v>59</v>
      </c>
      <c r="C1817" s="1" t="s">
        <v>60</v>
      </c>
      <c r="D1817" s="1" t="s">
        <v>13</v>
      </c>
      <c r="E1817" s="5">
        <v>42231</v>
      </c>
      <c r="F1817" s="3" t="s">
        <v>36</v>
      </c>
      <c r="G1817" s="1" t="s">
        <v>1778</v>
      </c>
      <c r="H1817" s="1">
        <v>50</v>
      </c>
      <c r="I1817" s="1">
        <v>46</v>
      </c>
      <c r="J1817" s="2">
        <v>0.08</v>
      </c>
      <c r="K1817">
        <f t="shared" si="84"/>
        <v>3.68</v>
      </c>
      <c r="L1817">
        <f t="shared" si="85"/>
        <v>42.32</v>
      </c>
      <c r="M1817" t="str">
        <f t="shared" si="86"/>
        <v>Aug-2015</v>
      </c>
    </row>
    <row r="1818" spans="1:13" x14ac:dyDescent="0.3">
      <c r="A1818" t="s">
        <v>2416</v>
      </c>
      <c r="B1818" s="1" t="s">
        <v>114</v>
      </c>
      <c r="C1818" s="1" t="s">
        <v>54</v>
      </c>
      <c r="D1818" s="1" t="s">
        <v>13</v>
      </c>
      <c r="E1818" s="5">
        <v>42203</v>
      </c>
      <c r="F1818" s="3" t="s">
        <v>115</v>
      </c>
      <c r="G1818" s="1" t="s">
        <v>887</v>
      </c>
      <c r="H1818" s="1">
        <v>250</v>
      </c>
      <c r="I1818" s="1">
        <v>223</v>
      </c>
      <c r="J1818" s="2">
        <v>0.108</v>
      </c>
      <c r="K1818">
        <f t="shared" si="84"/>
        <v>24.084</v>
      </c>
      <c r="L1818">
        <f t="shared" si="85"/>
        <v>198.916</v>
      </c>
      <c r="M1818" t="str">
        <f t="shared" si="86"/>
        <v>Jul-2015</v>
      </c>
    </row>
    <row r="1819" spans="1:13" x14ac:dyDescent="0.3">
      <c r="A1819" t="s">
        <v>2417</v>
      </c>
      <c r="B1819" s="1" t="s">
        <v>187</v>
      </c>
      <c r="C1819" s="1" t="s">
        <v>188</v>
      </c>
      <c r="D1819" s="1" t="s">
        <v>13</v>
      </c>
      <c r="E1819" s="5">
        <v>42083</v>
      </c>
      <c r="F1819" s="3" t="s">
        <v>115</v>
      </c>
      <c r="G1819" s="1" t="s">
        <v>791</v>
      </c>
      <c r="H1819" s="1">
        <v>250</v>
      </c>
      <c r="I1819" s="1">
        <v>225</v>
      </c>
      <c r="J1819" s="2">
        <v>0.1</v>
      </c>
      <c r="K1819">
        <f t="shared" si="84"/>
        <v>22.5</v>
      </c>
      <c r="L1819">
        <f t="shared" si="85"/>
        <v>202.5</v>
      </c>
      <c r="M1819" t="str">
        <f t="shared" si="86"/>
        <v>Mar-2015</v>
      </c>
    </row>
    <row r="1820" spans="1:13" x14ac:dyDescent="0.3">
      <c r="A1820" t="s">
        <v>2418</v>
      </c>
      <c r="B1820" s="1" t="s">
        <v>146</v>
      </c>
      <c r="C1820" s="1" t="s">
        <v>147</v>
      </c>
      <c r="D1820" s="1" t="s">
        <v>13</v>
      </c>
      <c r="E1820" s="5">
        <v>43464</v>
      </c>
      <c r="F1820" s="3" t="s">
        <v>104</v>
      </c>
      <c r="G1820" s="1" t="s">
        <v>830</v>
      </c>
      <c r="H1820" s="1">
        <v>70</v>
      </c>
      <c r="I1820" s="1">
        <v>69</v>
      </c>
      <c r="J1820" s="2">
        <v>1.43E-2</v>
      </c>
      <c r="K1820">
        <f t="shared" si="84"/>
        <v>0.98670000000000002</v>
      </c>
      <c r="L1820">
        <f t="shared" si="85"/>
        <v>68.013300000000001</v>
      </c>
      <c r="M1820" t="str">
        <f t="shared" si="86"/>
        <v>Dec-2018</v>
      </c>
    </row>
    <row r="1821" spans="1:13" x14ac:dyDescent="0.3">
      <c r="A1821" t="s">
        <v>2419</v>
      </c>
      <c r="B1821" s="1" t="s">
        <v>22</v>
      </c>
      <c r="C1821" s="1" t="s">
        <v>23</v>
      </c>
      <c r="D1821" s="1" t="s">
        <v>24</v>
      </c>
      <c r="E1821" s="5">
        <v>42455</v>
      </c>
      <c r="F1821" s="3" t="s">
        <v>72</v>
      </c>
      <c r="G1821" s="1" t="s">
        <v>483</v>
      </c>
      <c r="H1821" s="1">
        <v>500</v>
      </c>
      <c r="I1821" s="1">
        <v>490</v>
      </c>
      <c r="J1821" s="2">
        <v>0.02</v>
      </c>
      <c r="K1821">
        <f t="shared" si="84"/>
        <v>9.8000000000000007</v>
      </c>
      <c r="L1821">
        <f t="shared" si="85"/>
        <v>480.2</v>
      </c>
      <c r="M1821" t="str">
        <f t="shared" si="86"/>
        <v>Mar-2016</v>
      </c>
    </row>
    <row r="1822" spans="1:13" x14ac:dyDescent="0.3">
      <c r="A1822" t="s">
        <v>2420</v>
      </c>
      <c r="B1822" s="1" t="s">
        <v>270</v>
      </c>
      <c r="C1822" s="1" t="s">
        <v>271</v>
      </c>
      <c r="D1822" s="1" t="s">
        <v>35</v>
      </c>
      <c r="E1822" s="5">
        <v>41661</v>
      </c>
      <c r="F1822" s="3" t="s">
        <v>115</v>
      </c>
      <c r="G1822" s="1" t="s">
        <v>1827</v>
      </c>
      <c r="H1822" s="1">
        <v>250</v>
      </c>
      <c r="I1822" s="1">
        <v>220</v>
      </c>
      <c r="J1822" s="2">
        <v>0.12</v>
      </c>
      <c r="K1822">
        <f t="shared" si="84"/>
        <v>26.4</v>
      </c>
      <c r="L1822">
        <f t="shared" si="85"/>
        <v>193.6</v>
      </c>
      <c r="M1822" t="str">
        <f t="shared" si="86"/>
        <v>Jan-2014</v>
      </c>
    </row>
    <row r="1823" spans="1:13" x14ac:dyDescent="0.3">
      <c r="A1823" t="s">
        <v>2421</v>
      </c>
      <c r="B1823" s="1" t="s">
        <v>33</v>
      </c>
      <c r="C1823" s="1" t="s">
        <v>34</v>
      </c>
      <c r="D1823" s="1" t="s">
        <v>35</v>
      </c>
      <c r="E1823" s="5">
        <v>42606</v>
      </c>
      <c r="F1823" s="3" t="s">
        <v>122</v>
      </c>
      <c r="G1823" s="1" t="s">
        <v>2422</v>
      </c>
      <c r="H1823" s="1">
        <v>50</v>
      </c>
      <c r="I1823" s="1">
        <v>33</v>
      </c>
      <c r="J1823" s="2">
        <v>0.34</v>
      </c>
      <c r="K1823">
        <f t="shared" si="84"/>
        <v>11.22</v>
      </c>
      <c r="L1823">
        <f t="shared" si="85"/>
        <v>21.78</v>
      </c>
      <c r="M1823" t="str">
        <f t="shared" si="86"/>
        <v>Aug-2016</v>
      </c>
    </row>
    <row r="1824" spans="1:13" x14ac:dyDescent="0.3">
      <c r="A1824" t="s">
        <v>2423</v>
      </c>
      <c r="B1824" s="1" t="s">
        <v>270</v>
      </c>
      <c r="C1824" s="1" t="s">
        <v>271</v>
      </c>
      <c r="D1824" s="1" t="s">
        <v>35</v>
      </c>
      <c r="E1824" s="5">
        <v>41788</v>
      </c>
      <c r="F1824" s="3" t="s">
        <v>104</v>
      </c>
      <c r="G1824" s="1" t="s">
        <v>272</v>
      </c>
      <c r="H1824" s="1">
        <v>70</v>
      </c>
      <c r="I1824" s="1">
        <v>46</v>
      </c>
      <c r="J1824" s="2">
        <v>0.34289999999999998</v>
      </c>
      <c r="K1824">
        <f t="shared" si="84"/>
        <v>15.773399999999999</v>
      </c>
      <c r="L1824">
        <f t="shared" si="85"/>
        <v>30.226600000000001</v>
      </c>
      <c r="M1824" t="str">
        <f t="shared" si="86"/>
        <v>May-2014</v>
      </c>
    </row>
    <row r="1825" spans="1:13" x14ac:dyDescent="0.3">
      <c r="A1825" t="s">
        <v>2424</v>
      </c>
      <c r="B1825" s="1" t="s">
        <v>221</v>
      </c>
      <c r="C1825" s="1" t="s">
        <v>40</v>
      </c>
      <c r="D1825" s="1" t="s">
        <v>35</v>
      </c>
      <c r="E1825" s="5">
        <v>42969</v>
      </c>
      <c r="F1825" s="3" t="s">
        <v>41</v>
      </c>
      <c r="G1825" s="1" t="s">
        <v>2425</v>
      </c>
      <c r="H1825" s="1">
        <v>30</v>
      </c>
      <c r="I1825" s="1">
        <v>20</v>
      </c>
      <c r="J1825" s="2">
        <v>0.33329999999999999</v>
      </c>
      <c r="K1825">
        <f t="shared" si="84"/>
        <v>6.6659999999999995</v>
      </c>
      <c r="L1825">
        <f t="shared" si="85"/>
        <v>13.334</v>
      </c>
      <c r="M1825" t="str">
        <f t="shared" si="86"/>
        <v>Aug-2017</v>
      </c>
    </row>
    <row r="1826" spans="1:13" x14ac:dyDescent="0.3">
      <c r="A1826" t="s">
        <v>2426</v>
      </c>
      <c r="B1826" s="1" t="s">
        <v>107</v>
      </c>
      <c r="C1826" s="1" t="s">
        <v>108</v>
      </c>
      <c r="D1826" s="1" t="s">
        <v>19</v>
      </c>
      <c r="E1826" s="5">
        <v>42998</v>
      </c>
      <c r="F1826" s="3" t="s">
        <v>72</v>
      </c>
      <c r="G1826" s="1" t="s">
        <v>239</v>
      </c>
      <c r="H1826" s="1">
        <v>500</v>
      </c>
      <c r="I1826" s="1">
        <v>500</v>
      </c>
      <c r="J1826" s="2">
        <v>0</v>
      </c>
      <c r="K1826">
        <f t="shared" si="84"/>
        <v>0</v>
      </c>
      <c r="L1826">
        <f t="shared" si="85"/>
        <v>500</v>
      </c>
      <c r="M1826" t="str">
        <f t="shared" si="86"/>
        <v>Sep-2017</v>
      </c>
    </row>
    <row r="1827" spans="1:13" x14ac:dyDescent="0.3">
      <c r="A1827" t="s">
        <v>2427</v>
      </c>
      <c r="B1827" s="1" t="s">
        <v>154</v>
      </c>
      <c r="C1827" s="1" t="s">
        <v>108</v>
      </c>
      <c r="D1827" s="1" t="s">
        <v>19</v>
      </c>
      <c r="E1827" s="5">
        <v>43182</v>
      </c>
      <c r="F1827" s="3" t="s">
        <v>72</v>
      </c>
      <c r="G1827" s="1" t="s">
        <v>1411</v>
      </c>
      <c r="H1827" s="1">
        <v>500</v>
      </c>
      <c r="I1827" s="1">
        <v>500</v>
      </c>
      <c r="J1827" s="2">
        <v>0</v>
      </c>
      <c r="K1827">
        <f t="shared" si="84"/>
        <v>0</v>
      </c>
      <c r="L1827">
        <f t="shared" si="85"/>
        <v>500</v>
      </c>
      <c r="M1827" t="str">
        <f t="shared" si="86"/>
        <v>Mar-2018</v>
      </c>
    </row>
    <row r="1828" spans="1:13" x14ac:dyDescent="0.3">
      <c r="A1828" t="s">
        <v>2428</v>
      </c>
      <c r="B1828" s="1" t="s">
        <v>182</v>
      </c>
      <c r="C1828" s="1" t="s">
        <v>108</v>
      </c>
      <c r="D1828" s="1" t="s">
        <v>19</v>
      </c>
      <c r="E1828" s="5">
        <v>43008</v>
      </c>
      <c r="F1828" s="3" t="s">
        <v>46</v>
      </c>
      <c r="G1828" s="1" t="s">
        <v>1043</v>
      </c>
      <c r="H1828" s="1">
        <v>500</v>
      </c>
      <c r="I1828" s="1">
        <v>350</v>
      </c>
      <c r="J1828" s="2">
        <v>0.3</v>
      </c>
      <c r="K1828">
        <f t="shared" si="84"/>
        <v>105</v>
      </c>
      <c r="L1828">
        <f t="shared" si="85"/>
        <v>245</v>
      </c>
      <c r="M1828" t="str">
        <f t="shared" si="86"/>
        <v>Sep-2017</v>
      </c>
    </row>
    <row r="1829" spans="1:13" x14ac:dyDescent="0.3">
      <c r="A1829" t="s">
        <v>2429</v>
      </c>
      <c r="B1829" s="1" t="s">
        <v>17</v>
      </c>
      <c r="C1829" s="1" t="s">
        <v>18</v>
      </c>
      <c r="D1829" s="1" t="s">
        <v>19</v>
      </c>
      <c r="E1829" s="5">
        <v>42674</v>
      </c>
      <c r="F1829" s="3" t="s">
        <v>72</v>
      </c>
      <c r="G1829" s="1" t="s">
        <v>913</v>
      </c>
      <c r="H1829" s="1">
        <v>500</v>
      </c>
      <c r="I1829" s="1">
        <v>500</v>
      </c>
      <c r="J1829" s="2">
        <v>0</v>
      </c>
      <c r="K1829">
        <f t="shared" si="84"/>
        <v>0</v>
      </c>
      <c r="L1829">
        <f t="shared" si="85"/>
        <v>500</v>
      </c>
      <c r="M1829" t="str">
        <f t="shared" si="86"/>
        <v>Oct-2016</v>
      </c>
    </row>
    <row r="1830" spans="1:13" x14ac:dyDescent="0.3">
      <c r="A1830" t="s">
        <v>2430</v>
      </c>
      <c r="B1830" s="1" t="s">
        <v>81</v>
      </c>
      <c r="C1830" s="1" t="s">
        <v>82</v>
      </c>
      <c r="D1830" s="1" t="s">
        <v>13</v>
      </c>
      <c r="E1830" s="5">
        <v>41752</v>
      </c>
      <c r="F1830" s="3" t="s">
        <v>41</v>
      </c>
      <c r="G1830" s="1" t="s">
        <v>195</v>
      </c>
      <c r="H1830" s="1">
        <v>30</v>
      </c>
      <c r="I1830" s="1">
        <v>29</v>
      </c>
      <c r="J1830" s="2">
        <v>3.3300000000000003E-2</v>
      </c>
      <c r="K1830">
        <f t="shared" si="84"/>
        <v>0.96570000000000011</v>
      </c>
      <c r="L1830">
        <f t="shared" si="85"/>
        <v>28.034299999999998</v>
      </c>
      <c r="M1830" t="str">
        <f t="shared" si="86"/>
        <v>Apr-2014</v>
      </c>
    </row>
    <row r="1831" spans="1:13" x14ac:dyDescent="0.3">
      <c r="A1831" t="s">
        <v>2431</v>
      </c>
      <c r="B1831" s="1" t="s">
        <v>400</v>
      </c>
      <c r="C1831" s="1" t="s">
        <v>401</v>
      </c>
      <c r="D1831" s="1" t="s">
        <v>13</v>
      </c>
      <c r="E1831" s="5">
        <v>43271</v>
      </c>
      <c r="F1831" s="3" t="s">
        <v>46</v>
      </c>
      <c r="G1831" s="1" t="s">
        <v>443</v>
      </c>
      <c r="H1831" s="1">
        <v>500</v>
      </c>
      <c r="I1831" s="1">
        <v>300</v>
      </c>
      <c r="J1831" s="2">
        <v>0.4</v>
      </c>
      <c r="K1831">
        <f t="shared" si="84"/>
        <v>120</v>
      </c>
      <c r="L1831">
        <f t="shared" si="85"/>
        <v>180</v>
      </c>
      <c r="M1831" t="str">
        <f t="shared" si="86"/>
        <v>Jun-2018</v>
      </c>
    </row>
    <row r="1832" spans="1:13" x14ac:dyDescent="0.3">
      <c r="A1832" t="s">
        <v>2432</v>
      </c>
      <c r="B1832" s="1" t="s">
        <v>39</v>
      </c>
      <c r="C1832" s="1" t="s">
        <v>40</v>
      </c>
      <c r="D1832" s="1" t="s">
        <v>35</v>
      </c>
      <c r="E1832" s="5">
        <v>42783</v>
      </c>
      <c r="F1832" s="3" t="s">
        <v>104</v>
      </c>
      <c r="G1832" s="1" t="s">
        <v>1631</v>
      </c>
      <c r="H1832" s="1">
        <v>70</v>
      </c>
      <c r="I1832" s="1">
        <v>67</v>
      </c>
      <c r="J1832" s="2">
        <v>4.2900000000000001E-2</v>
      </c>
      <c r="K1832">
        <f t="shared" si="84"/>
        <v>2.8742999999999999</v>
      </c>
      <c r="L1832">
        <f t="shared" si="85"/>
        <v>64.125699999999995</v>
      </c>
      <c r="M1832" t="str">
        <f t="shared" si="86"/>
        <v>Feb-2017</v>
      </c>
    </row>
    <row r="1833" spans="1:13" x14ac:dyDescent="0.3">
      <c r="A1833" t="s">
        <v>2433</v>
      </c>
      <c r="B1833" s="1" t="s">
        <v>134</v>
      </c>
      <c r="C1833" s="1" t="s">
        <v>92</v>
      </c>
      <c r="D1833" s="1" t="s">
        <v>35</v>
      </c>
      <c r="E1833" s="5">
        <v>41712</v>
      </c>
      <c r="F1833" s="3" t="s">
        <v>104</v>
      </c>
      <c r="G1833" s="1" t="s">
        <v>849</v>
      </c>
      <c r="H1833" s="1">
        <v>70</v>
      </c>
      <c r="I1833" s="1">
        <v>61</v>
      </c>
      <c r="J1833" s="2">
        <v>0.12859999999999999</v>
      </c>
      <c r="K1833">
        <f t="shared" si="84"/>
        <v>7.8445999999999998</v>
      </c>
      <c r="L1833">
        <f t="shared" si="85"/>
        <v>53.1554</v>
      </c>
      <c r="M1833" t="str">
        <f t="shared" si="86"/>
        <v>Mar-2014</v>
      </c>
    </row>
    <row r="1834" spans="1:13" x14ac:dyDescent="0.3">
      <c r="A1834" t="s">
        <v>2434</v>
      </c>
      <c r="B1834" s="1" t="s">
        <v>114</v>
      </c>
      <c r="C1834" s="1" t="s">
        <v>54</v>
      </c>
      <c r="D1834" s="1" t="s">
        <v>13</v>
      </c>
      <c r="E1834" s="5">
        <v>41873</v>
      </c>
      <c r="F1834" s="3" t="s">
        <v>30</v>
      </c>
      <c r="G1834" s="1" t="s">
        <v>367</v>
      </c>
      <c r="H1834" s="1">
        <v>150</v>
      </c>
      <c r="I1834" s="1">
        <v>140</v>
      </c>
      <c r="J1834" s="2">
        <v>6.6699999999999995E-2</v>
      </c>
      <c r="K1834">
        <f t="shared" si="84"/>
        <v>9.3379999999999992</v>
      </c>
      <c r="L1834">
        <f t="shared" si="85"/>
        <v>130.66200000000001</v>
      </c>
      <c r="M1834" t="str">
        <f t="shared" si="86"/>
        <v>Aug-2014</v>
      </c>
    </row>
    <row r="1835" spans="1:13" x14ac:dyDescent="0.3">
      <c r="A1835" t="s">
        <v>2435</v>
      </c>
      <c r="B1835" s="1" t="s">
        <v>70</v>
      </c>
      <c r="C1835" s="1" t="s">
        <v>71</v>
      </c>
      <c r="D1835" s="1" t="s">
        <v>35</v>
      </c>
      <c r="E1835" s="5">
        <v>42018</v>
      </c>
      <c r="F1835" s="3" t="s">
        <v>25</v>
      </c>
      <c r="G1835" s="1" t="s">
        <v>670</v>
      </c>
      <c r="H1835" s="1">
        <v>700</v>
      </c>
      <c r="I1835" s="1">
        <v>602</v>
      </c>
      <c r="J1835" s="2">
        <v>0.14000000000000001</v>
      </c>
      <c r="K1835">
        <f t="shared" si="84"/>
        <v>84.28</v>
      </c>
      <c r="L1835">
        <f t="shared" si="85"/>
        <v>517.72</v>
      </c>
      <c r="M1835" t="str">
        <f t="shared" si="86"/>
        <v>Jan-2015</v>
      </c>
    </row>
    <row r="1836" spans="1:13" x14ac:dyDescent="0.3">
      <c r="A1836" t="s">
        <v>2436</v>
      </c>
      <c r="B1836" s="1" t="s">
        <v>2170</v>
      </c>
      <c r="C1836" s="1" t="s">
        <v>18</v>
      </c>
      <c r="D1836" s="1" t="s">
        <v>19</v>
      </c>
      <c r="E1836" s="5">
        <v>41869</v>
      </c>
      <c r="F1836" s="3" t="s">
        <v>14</v>
      </c>
      <c r="G1836" s="1" t="s">
        <v>2221</v>
      </c>
      <c r="H1836" s="1">
        <v>80</v>
      </c>
      <c r="I1836" s="1">
        <v>74</v>
      </c>
      <c r="J1836" s="2">
        <v>7.4999999999999997E-2</v>
      </c>
      <c r="K1836">
        <f t="shared" si="84"/>
        <v>5.55</v>
      </c>
      <c r="L1836">
        <f t="shared" si="85"/>
        <v>68.45</v>
      </c>
      <c r="M1836" t="str">
        <f t="shared" si="86"/>
        <v>Aug-2014</v>
      </c>
    </row>
    <row r="1837" spans="1:13" x14ac:dyDescent="0.3">
      <c r="A1837" t="s">
        <v>2437</v>
      </c>
      <c r="B1837" s="1" t="s">
        <v>49</v>
      </c>
      <c r="C1837" s="1" t="s">
        <v>50</v>
      </c>
      <c r="D1837" s="1" t="s">
        <v>24</v>
      </c>
      <c r="E1837" s="5">
        <v>42596</v>
      </c>
      <c r="F1837" s="3" t="s">
        <v>25</v>
      </c>
      <c r="G1837" s="1" t="s">
        <v>1000</v>
      </c>
      <c r="H1837" s="1">
        <v>700</v>
      </c>
      <c r="I1837" s="1">
        <v>623</v>
      </c>
      <c r="J1837" s="2">
        <v>0.11</v>
      </c>
      <c r="K1837">
        <f t="shared" si="84"/>
        <v>68.53</v>
      </c>
      <c r="L1837">
        <f t="shared" si="85"/>
        <v>554.47</v>
      </c>
      <c r="M1837" t="str">
        <f t="shared" si="86"/>
        <v>Aug-2016</v>
      </c>
    </row>
    <row r="1838" spans="1:13" x14ac:dyDescent="0.3">
      <c r="A1838" t="s">
        <v>2438</v>
      </c>
      <c r="B1838" s="1" t="s">
        <v>77</v>
      </c>
      <c r="C1838" s="1" t="s">
        <v>78</v>
      </c>
      <c r="D1838" s="1" t="s">
        <v>35</v>
      </c>
      <c r="E1838" s="5">
        <v>42790</v>
      </c>
      <c r="F1838" s="3" t="s">
        <v>46</v>
      </c>
      <c r="G1838" s="1" t="s">
        <v>2439</v>
      </c>
      <c r="H1838" s="1">
        <v>500</v>
      </c>
      <c r="I1838" s="1">
        <v>365</v>
      </c>
      <c r="J1838" s="2">
        <v>0.27</v>
      </c>
      <c r="K1838">
        <f t="shared" si="84"/>
        <v>98.550000000000011</v>
      </c>
      <c r="L1838">
        <f t="shared" si="85"/>
        <v>266.45</v>
      </c>
      <c r="M1838" t="str">
        <f t="shared" si="86"/>
        <v>Feb-2017</v>
      </c>
    </row>
    <row r="1839" spans="1:13" x14ac:dyDescent="0.3">
      <c r="A1839" t="s">
        <v>2440</v>
      </c>
      <c r="B1839" s="1" t="s">
        <v>221</v>
      </c>
      <c r="C1839" s="1" t="s">
        <v>40</v>
      </c>
      <c r="D1839" s="1" t="s">
        <v>35</v>
      </c>
      <c r="E1839" s="5">
        <v>42112</v>
      </c>
      <c r="F1839" s="3" t="s">
        <v>115</v>
      </c>
      <c r="G1839" s="1" t="s">
        <v>262</v>
      </c>
      <c r="H1839" s="1">
        <v>250</v>
      </c>
      <c r="I1839" s="1">
        <v>193</v>
      </c>
      <c r="J1839" s="2">
        <v>0.22800000000000001</v>
      </c>
      <c r="K1839">
        <f t="shared" si="84"/>
        <v>44.004000000000005</v>
      </c>
      <c r="L1839">
        <f t="shared" si="85"/>
        <v>148.99599999999998</v>
      </c>
      <c r="M1839" t="str">
        <f t="shared" si="86"/>
        <v>Apr-2015</v>
      </c>
    </row>
    <row r="1840" spans="1:13" x14ac:dyDescent="0.3">
      <c r="A1840" t="s">
        <v>2441</v>
      </c>
      <c r="B1840" s="1" t="s">
        <v>2243</v>
      </c>
      <c r="C1840" s="1" t="s">
        <v>108</v>
      </c>
      <c r="D1840" s="1" t="s">
        <v>19</v>
      </c>
      <c r="E1840" s="5">
        <v>42839</v>
      </c>
      <c r="F1840" s="3" t="s">
        <v>36</v>
      </c>
      <c r="G1840" s="1" t="s">
        <v>2442</v>
      </c>
      <c r="H1840" s="1">
        <v>50</v>
      </c>
      <c r="I1840" s="1">
        <v>50</v>
      </c>
      <c r="J1840" s="2">
        <v>0</v>
      </c>
      <c r="K1840">
        <f t="shared" si="84"/>
        <v>0</v>
      </c>
      <c r="L1840">
        <f t="shared" si="85"/>
        <v>50</v>
      </c>
      <c r="M1840" t="str">
        <f t="shared" si="86"/>
        <v>Apr-2017</v>
      </c>
    </row>
    <row r="1841" spans="1:13" x14ac:dyDescent="0.3">
      <c r="A1841" t="s">
        <v>2443</v>
      </c>
      <c r="B1841" s="1" t="s">
        <v>2243</v>
      </c>
      <c r="C1841" s="1" t="s">
        <v>108</v>
      </c>
      <c r="D1841" s="1" t="s">
        <v>19</v>
      </c>
      <c r="E1841" s="5">
        <v>42301</v>
      </c>
      <c r="F1841" s="3" t="s">
        <v>25</v>
      </c>
      <c r="G1841" s="1" t="s">
        <v>2244</v>
      </c>
      <c r="H1841" s="1">
        <v>700</v>
      </c>
      <c r="I1841" s="1">
        <v>644</v>
      </c>
      <c r="J1841" s="2">
        <v>0.08</v>
      </c>
      <c r="K1841">
        <f t="shared" si="84"/>
        <v>51.52</v>
      </c>
      <c r="L1841">
        <f t="shared" si="85"/>
        <v>592.48</v>
      </c>
      <c r="M1841" t="str">
        <f t="shared" si="86"/>
        <v>Oct-2015</v>
      </c>
    </row>
    <row r="1842" spans="1:13" x14ac:dyDescent="0.3">
      <c r="A1842" t="s">
        <v>2444</v>
      </c>
      <c r="B1842" s="1" t="s">
        <v>127</v>
      </c>
      <c r="C1842" s="1" t="s">
        <v>128</v>
      </c>
      <c r="D1842" s="1" t="s">
        <v>13</v>
      </c>
      <c r="E1842" s="5">
        <v>42024</v>
      </c>
      <c r="F1842" s="3" t="s">
        <v>25</v>
      </c>
      <c r="G1842" s="1" t="s">
        <v>385</v>
      </c>
      <c r="H1842" s="1">
        <v>700</v>
      </c>
      <c r="I1842" s="1">
        <v>686</v>
      </c>
      <c r="J1842" s="2">
        <v>0.02</v>
      </c>
      <c r="K1842">
        <f t="shared" si="84"/>
        <v>13.72</v>
      </c>
      <c r="L1842">
        <f t="shared" si="85"/>
        <v>672.28</v>
      </c>
      <c r="M1842" t="str">
        <f t="shared" si="86"/>
        <v>Jan-2015</v>
      </c>
    </row>
    <row r="1843" spans="1:13" x14ac:dyDescent="0.3">
      <c r="A1843" t="s">
        <v>2445</v>
      </c>
      <c r="B1843" s="1" t="s">
        <v>49</v>
      </c>
      <c r="C1843" s="1" t="s">
        <v>50</v>
      </c>
      <c r="D1843" s="1" t="s">
        <v>24</v>
      </c>
      <c r="E1843" s="5">
        <v>42854</v>
      </c>
      <c r="F1843" s="3" t="s">
        <v>115</v>
      </c>
      <c r="G1843" s="1" t="s">
        <v>658</v>
      </c>
      <c r="H1843" s="1">
        <v>250</v>
      </c>
      <c r="I1843" s="1">
        <v>220</v>
      </c>
      <c r="J1843" s="2">
        <v>0.12</v>
      </c>
      <c r="K1843">
        <f t="shared" si="84"/>
        <v>26.4</v>
      </c>
      <c r="L1843">
        <f t="shared" si="85"/>
        <v>193.6</v>
      </c>
      <c r="M1843" t="str">
        <f t="shared" si="86"/>
        <v>Apr-2017</v>
      </c>
    </row>
    <row r="1844" spans="1:13" x14ac:dyDescent="0.3">
      <c r="A1844" t="s">
        <v>2446</v>
      </c>
      <c r="B1844" s="1" t="s">
        <v>64</v>
      </c>
      <c r="C1844" s="1" t="s">
        <v>65</v>
      </c>
      <c r="D1844" s="1" t="s">
        <v>35</v>
      </c>
      <c r="E1844" s="5">
        <v>43062</v>
      </c>
      <c r="F1844" s="3" t="s">
        <v>55</v>
      </c>
      <c r="G1844" s="1" t="s">
        <v>872</v>
      </c>
      <c r="H1844" s="1">
        <v>800</v>
      </c>
      <c r="I1844" s="1">
        <v>688</v>
      </c>
      <c r="J1844" s="2">
        <v>0.14000000000000001</v>
      </c>
      <c r="K1844">
        <f t="shared" si="84"/>
        <v>96.320000000000007</v>
      </c>
      <c r="L1844">
        <f t="shared" si="85"/>
        <v>591.67999999999995</v>
      </c>
      <c r="M1844" t="str">
        <f t="shared" si="86"/>
        <v>Nov-2017</v>
      </c>
    </row>
    <row r="1845" spans="1:13" x14ac:dyDescent="0.3">
      <c r="A1845" t="s">
        <v>2447</v>
      </c>
      <c r="B1845" s="1" t="s">
        <v>127</v>
      </c>
      <c r="C1845" s="1" t="s">
        <v>128</v>
      </c>
      <c r="D1845" s="1" t="s">
        <v>13</v>
      </c>
      <c r="E1845" s="5">
        <v>42944</v>
      </c>
      <c r="F1845" s="3" t="s">
        <v>72</v>
      </c>
      <c r="G1845" s="1" t="s">
        <v>233</v>
      </c>
      <c r="H1845" s="1">
        <v>500</v>
      </c>
      <c r="I1845" s="1">
        <v>490</v>
      </c>
      <c r="J1845" s="2">
        <v>0.02</v>
      </c>
      <c r="K1845">
        <f t="shared" si="84"/>
        <v>9.8000000000000007</v>
      </c>
      <c r="L1845">
        <f t="shared" si="85"/>
        <v>480.2</v>
      </c>
      <c r="M1845" t="str">
        <f t="shared" si="86"/>
        <v>Jul-2017</v>
      </c>
    </row>
    <row r="1846" spans="1:13" x14ac:dyDescent="0.3">
      <c r="A1846" t="s">
        <v>2448</v>
      </c>
      <c r="B1846" s="1" t="s">
        <v>22</v>
      </c>
      <c r="C1846" s="1" t="s">
        <v>23</v>
      </c>
      <c r="D1846" s="1" t="s">
        <v>24</v>
      </c>
      <c r="E1846" s="5">
        <v>43067</v>
      </c>
      <c r="F1846" s="3" t="s">
        <v>30</v>
      </c>
      <c r="G1846" s="1" t="s">
        <v>624</v>
      </c>
      <c r="H1846" s="1">
        <v>150</v>
      </c>
      <c r="I1846" s="1">
        <v>144</v>
      </c>
      <c r="J1846" s="2">
        <v>0.04</v>
      </c>
      <c r="K1846">
        <f t="shared" si="84"/>
        <v>5.76</v>
      </c>
      <c r="L1846">
        <f t="shared" si="85"/>
        <v>138.24</v>
      </c>
      <c r="M1846" t="str">
        <f t="shared" si="86"/>
        <v>Nov-2017</v>
      </c>
    </row>
    <row r="1847" spans="1:13" x14ac:dyDescent="0.3">
      <c r="A1847" t="s">
        <v>2449</v>
      </c>
      <c r="B1847" s="1" t="s">
        <v>154</v>
      </c>
      <c r="C1847" s="1" t="s">
        <v>108</v>
      </c>
      <c r="D1847" s="1" t="s">
        <v>19</v>
      </c>
      <c r="E1847" s="5">
        <v>42452</v>
      </c>
      <c r="F1847" s="3" t="s">
        <v>25</v>
      </c>
      <c r="G1847" s="1" t="s">
        <v>1004</v>
      </c>
      <c r="H1847" s="1">
        <v>700</v>
      </c>
      <c r="I1847" s="1">
        <v>525</v>
      </c>
      <c r="J1847" s="2">
        <v>0.25</v>
      </c>
      <c r="K1847">
        <f t="shared" si="84"/>
        <v>131.25</v>
      </c>
      <c r="L1847">
        <f t="shared" si="85"/>
        <v>393.75</v>
      </c>
      <c r="M1847" t="str">
        <f t="shared" si="86"/>
        <v>Mar-2016</v>
      </c>
    </row>
    <row r="1848" spans="1:13" x14ac:dyDescent="0.3">
      <c r="A1848" t="s">
        <v>2450</v>
      </c>
      <c r="B1848" s="1" t="s">
        <v>81</v>
      </c>
      <c r="C1848" s="1" t="s">
        <v>82</v>
      </c>
      <c r="D1848" s="1" t="s">
        <v>13</v>
      </c>
      <c r="E1848" s="5">
        <v>42762</v>
      </c>
      <c r="F1848" s="3" t="s">
        <v>72</v>
      </c>
      <c r="G1848" s="1" t="s">
        <v>1047</v>
      </c>
      <c r="H1848" s="1">
        <v>500</v>
      </c>
      <c r="I1848" s="1">
        <v>490</v>
      </c>
      <c r="J1848" s="2">
        <v>0.02</v>
      </c>
      <c r="K1848">
        <f t="shared" si="84"/>
        <v>9.8000000000000007</v>
      </c>
      <c r="L1848">
        <f t="shared" si="85"/>
        <v>480.2</v>
      </c>
      <c r="M1848" t="str">
        <f t="shared" si="86"/>
        <v>Jan-2017</v>
      </c>
    </row>
    <row r="1849" spans="1:13" x14ac:dyDescent="0.3">
      <c r="A1849" t="s">
        <v>2451</v>
      </c>
      <c r="B1849" s="1" t="s">
        <v>255</v>
      </c>
      <c r="C1849" s="1" t="s">
        <v>256</v>
      </c>
      <c r="D1849" s="1" t="s">
        <v>13</v>
      </c>
      <c r="E1849" s="5">
        <v>41839</v>
      </c>
      <c r="F1849" s="3" t="s">
        <v>30</v>
      </c>
      <c r="G1849" s="1" t="s">
        <v>257</v>
      </c>
      <c r="H1849" s="1">
        <v>150</v>
      </c>
      <c r="I1849" s="1">
        <v>144</v>
      </c>
      <c r="J1849" s="2">
        <v>0.04</v>
      </c>
      <c r="K1849">
        <f t="shared" si="84"/>
        <v>5.76</v>
      </c>
      <c r="L1849">
        <f t="shared" si="85"/>
        <v>138.24</v>
      </c>
      <c r="M1849" t="str">
        <f t="shared" si="86"/>
        <v>Jul-2014</v>
      </c>
    </row>
    <row r="1850" spans="1:13" x14ac:dyDescent="0.3">
      <c r="A1850" t="s">
        <v>2452</v>
      </c>
      <c r="B1850" s="1" t="s">
        <v>59</v>
      </c>
      <c r="C1850" s="1" t="s">
        <v>60</v>
      </c>
      <c r="D1850" s="1" t="s">
        <v>13</v>
      </c>
      <c r="E1850" s="5">
        <v>42629</v>
      </c>
      <c r="F1850" s="3" t="s">
        <v>55</v>
      </c>
      <c r="G1850" s="1" t="s">
        <v>312</v>
      </c>
      <c r="H1850" s="1">
        <v>800</v>
      </c>
      <c r="I1850" s="1">
        <v>456</v>
      </c>
      <c r="J1850" s="2">
        <v>0.43</v>
      </c>
      <c r="K1850">
        <f t="shared" si="84"/>
        <v>196.07999999999998</v>
      </c>
      <c r="L1850">
        <f t="shared" si="85"/>
        <v>259.92</v>
      </c>
      <c r="M1850" t="str">
        <f t="shared" si="86"/>
        <v>Sep-2016</v>
      </c>
    </row>
    <row r="1851" spans="1:13" x14ac:dyDescent="0.3">
      <c r="A1851" t="s">
        <v>2453</v>
      </c>
      <c r="B1851" s="1" t="s">
        <v>85</v>
      </c>
      <c r="C1851" s="1" t="s">
        <v>86</v>
      </c>
      <c r="D1851" s="1" t="s">
        <v>13</v>
      </c>
      <c r="E1851" s="5">
        <v>42208</v>
      </c>
      <c r="F1851" s="3" t="s">
        <v>46</v>
      </c>
      <c r="G1851" s="1" t="s">
        <v>1249</v>
      </c>
      <c r="H1851" s="1">
        <v>500</v>
      </c>
      <c r="I1851" s="1">
        <v>465</v>
      </c>
      <c r="J1851" s="2">
        <v>7.0000000000000007E-2</v>
      </c>
      <c r="K1851">
        <f t="shared" si="84"/>
        <v>32.550000000000004</v>
      </c>
      <c r="L1851">
        <f t="shared" si="85"/>
        <v>432.45</v>
      </c>
      <c r="M1851" t="str">
        <f t="shared" si="86"/>
        <v>Jul-2015</v>
      </c>
    </row>
    <row r="1852" spans="1:13" x14ac:dyDescent="0.3">
      <c r="A1852" t="s">
        <v>2454</v>
      </c>
      <c r="B1852" s="1" t="s">
        <v>150</v>
      </c>
      <c r="C1852" s="1" t="s">
        <v>151</v>
      </c>
      <c r="D1852" s="1" t="s">
        <v>13</v>
      </c>
      <c r="E1852" s="5">
        <v>42537</v>
      </c>
      <c r="F1852" s="3" t="s">
        <v>72</v>
      </c>
      <c r="G1852" s="1" t="s">
        <v>824</v>
      </c>
      <c r="H1852" s="1">
        <v>500</v>
      </c>
      <c r="I1852" s="1">
        <v>495</v>
      </c>
      <c r="J1852" s="2">
        <v>0.01</v>
      </c>
      <c r="K1852">
        <f t="shared" si="84"/>
        <v>4.95</v>
      </c>
      <c r="L1852">
        <f t="shared" si="85"/>
        <v>490.05</v>
      </c>
      <c r="M1852" t="str">
        <f t="shared" si="86"/>
        <v>Jun-2016</v>
      </c>
    </row>
    <row r="1853" spans="1:13" x14ac:dyDescent="0.3">
      <c r="A1853" t="s">
        <v>2455</v>
      </c>
      <c r="B1853" s="1" t="s">
        <v>11</v>
      </c>
      <c r="C1853" s="1" t="s">
        <v>12</v>
      </c>
      <c r="D1853" s="1" t="s">
        <v>13</v>
      </c>
      <c r="E1853" s="5">
        <v>42049</v>
      </c>
      <c r="F1853" s="3" t="s">
        <v>36</v>
      </c>
      <c r="G1853" s="1" t="s">
        <v>276</v>
      </c>
      <c r="H1853" s="1">
        <v>50</v>
      </c>
      <c r="I1853" s="1">
        <v>49</v>
      </c>
      <c r="J1853" s="2">
        <v>0.02</v>
      </c>
      <c r="K1853">
        <f t="shared" si="84"/>
        <v>0.98</v>
      </c>
      <c r="L1853">
        <f t="shared" si="85"/>
        <v>48.02</v>
      </c>
      <c r="M1853" t="str">
        <f t="shared" si="86"/>
        <v>Feb-2015</v>
      </c>
    </row>
    <row r="1854" spans="1:13" x14ac:dyDescent="0.3">
      <c r="A1854" t="s">
        <v>2456</v>
      </c>
      <c r="B1854" s="1" t="s">
        <v>2170</v>
      </c>
      <c r="C1854" s="1" t="s">
        <v>18</v>
      </c>
      <c r="D1854" s="1" t="s">
        <v>19</v>
      </c>
      <c r="E1854" s="5">
        <v>42606</v>
      </c>
      <c r="F1854" s="3" t="s">
        <v>14</v>
      </c>
      <c r="G1854" s="1" t="s">
        <v>2457</v>
      </c>
      <c r="H1854" s="1">
        <v>80</v>
      </c>
      <c r="I1854" s="1">
        <v>78</v>
      </c>
      <c r="J1854" s="2">
        <v>2.5000000000000001E-2</v>
      </c>
      <c r="K1854">
        <f t="shared" si="84"/>
        <v>1.9500000000000002</v>
      </c>
      <c r="L1854">
        <f t="shared" si="85"/>
        <v>76.05</v>
      </c>
      <c r="M1854" t="str">
        <f t="shared" si="86"/>
        <v>Aug-2016</v>
      </c>
    </row>
    <row r="1855" spans="1:13" x14ac:dyDescent="0.3">
      <c r="A1855" t="s">
        <v>2458</v>
      </c>
      <c r="B1855" s="1" t="s">
        <v>205</v>
      </c>
      <c r="C1855" s="1" t="s">
        <v>206</v>
      </c>
      <c r="D1855" s="1" t="s">
        <v>24</v>
      </c>
      <c r="E1855" s="5">
        <v>41790</v>
      </c>
      <c r="F1855" s="3" t="s">
        <v>104</v>
      </c>
      <c r="G1855" s="1" t="s">
        <v>596</v>
      </c>
      <c r="H1855" s="1">
        <v>70</v>
      </c>
      <c r="I1855" s="1">
        <v>52</v>
      </c>
      <c r="J1855" s="2">
        <v>0.2571</v>
      </c>
      <c r="K1855">
        <f t="shared" si="84"/>
        <v>13.369199999999999</v>
      </c>
      <c r="L1855">
        <f t="shared" si="85"/>
        <v>38.630800000000001</v>
      </c>
      <c r="M1855" t="str">
        <f t="shared" si="86"/>
        <v>May-2014</v>
      </c>
    </row>
    <row r="1856" spans="1:13" x14ac:dyDescent="0.3">
      <c r="A1856" t="s">
        <v>2459</v>
      </c>
      <c r="B1856" s="1" t="s">
        <v>270</v>
      </c>
      <c r="C1856" s="1" t="s">
        <v>271</v>
      </c>
      <c r="D1856" s="1" t="s">
        <v>35</v>
      </c>
      <c r="E1856" s="5">
        <v>42082</v>
      </c>
      <c r="F1856" s="3" t="s">
        <v>30</v>
      </c>
      <c r="G1856" s="1" t="s">
        <v>715</v>
      </c>
      <c r="H1856" s="1">
        <v>150</v>
      </c>
      <c r="I1856" s="1">
        <v>144</v>
      </c>
      <c r="J1856" s="2">
        <v>0.04</v>
      </c>
      <c r="K1856">
        <f t="shared" si="84"/>
        <v>5.76</v>
      </c>
      <c r="L1856">
        <f t="shared" si="85"/>
        <v>138.24</v>
      </c>
      <c r="M1856" t="str">
        <f t="shared" si="86"/>
        <v>Mar-2015</v>
      </c>
    </row>
    <row r="1857" spans="1:13" x14ac:dyDescent="0.3">
      <c r="A1857" t="s">
        <v>2460</v>
      </c>
      <c r="B1857" s="1" t="s">
        <v>85</v>
      </c>
      <c r="C1857" s="1" t="s">
        <v>86</v>
      </c>
      <c r="D1857" s="1" t="s">
        <v>13</v>
      </c>
      <c r="E1857" s="5">
        <v>42962</v>
      </c>
      <c r="F1857" s="3" t="s">
        <v>61</v>
      </c>
      <c r="G1857" s="1" t="s">
        <v>87</v>
      </c>
      <c r="H1857" s="1">
        <v>1000</v>
      </c>
      <c r="I1857" s="1">
        <v>560</v>
      </c>
      <c r="J1857" s="2">
        <v>0.44</v>
      </c>
      <c r="K1857">
        <f t="shared" si="84"/>
        <v>246.4</v>
      </c>
      <c r="L1857">
        <f t="shared" si="85"/>
        <v>313.60000000000002</v>
      </c>
      <c r="M1857" t="str">
        <f t="shared" si="86"/>
        <v>Aug-2017</v>
      </c>
    </row>
    <row r="1858" spans="1:13" x14ac:dyDescent="0.3">
      <c r="A1858" t="s">
        <v>2461</v>
      </c>
      <c r="B1858" s="1" t="s">
        <v>324</v>
      </c>
      <c r="C1858" s="1" t="s">
        <v>325</v>
      </c>
      <c r="D1858" s="1" t="s">
        <v>13</v>
      </c>
      <c r="E1858" s="5">
        <v>42056</v>
      </c>
      <c r="F1858" s="3" t="s">
        <v>46</v>
      </c>
      <c r="G1858" s="1" t="s">
        <v>453</v>
      </c>
      <c r="H1858" s="1">
        <v>500</v>
      </c>
      <c r="I1858" s="1">
        <v>490</v>
      </c>
      <c r="J1858" s="2">
        <v>0.02</v>
      </c>
      <c r="K1858">
        <f t="shared" si="84"/>
        <v>9.8000000000000007</v>
      </c>
      <c r="L1858">
        <f t="shared" si="85"/>
        <v>480.2</v>
      </c>
      <c r="M1858" t="str">
        <f t="shared" si="86"/>
        <v>Feb-2015</v>
      </c>
    </row>
    <row r="1859" spans="1:13" x14ac:dyDescent="0.3">
      <c r="A1859" t="s">
        <v>2462</v>
      </c>
      <c r="B1859" s="1" t="s">
        <v>103</v>
      </c>
      <c r="C1859" s="1" t="s">
        <v>71</v>
      </c>
      <c r="D1859" s="1" t="s">
        <v>35</v>
      </c>
      <c r="E1859" s="5">
        <v>41844</v>
      </c>
      <c r="F1859" s="3" t="s">
        <v>14</v>
      </c>
      <c r="G1859" s="1" t="s">
        <v>727</v>
      </c>
      <c r="H1859" s="1">
        <v>80</v>
      </c>
      <c r="I1859" s="1">
        <v>76</v>
      </c>
      <c r="J1859" s="2">
        <v>0.05</v>
      </c>
      <c r="K1859">
        <f t="shared" si="84"/>
        <v>3.8000000000000003</v>
      </c>
      <c r="L1859">
        <f t="shared" si="85"/>
        <v>72.2</v>
      </c>
      <c r="M1859" t="str">
        <f t="shared" si="86"/>
        <v>Jul-2014</v>
      </c>
    </row>
    <row r="1860" spans="1:13" x14ac:dyDescent="0.3">
      <c r="A1860" t="s">
        <v>2463</v>
      </c>
      <c r="B1860" s="1" t="s">
        <v>241</v>
      </c>
      <c r="C1860" s="1" t="s">
        <v>242</v>
      </c>
      <c r="D1860" s="1" t="s">
        <v>13</v>
      </c>
      <c r="E1860" s="5">
        <v>42331</v>
      </c>
      <c r="F1860" s="3" t="s">
        <v>122</v>
      </c>
      <c r="G1860" s="1" t="s">
        <v>626</v>
      </c>
      <c r="H1860" s="1">
        <v>50</v>
      </c>
      <c r="I1860" s="1">
        <v>45</v>
      </c>
      <c r="J1860" s="2">
        <v>0.1</v>
      </c>
      <c r="K1860">
        <f t="shared" ref="K1860:K1923" si="87">I1860*J1860</f>
        <v>4.5</v>
      </c>
      <c r="L1860">
        <f t="shared" ref="L1860:L1923" si="88">I1860-K1860</f>
        <v>40.5</v>
      </c>
      <c r="M1860" t="str">
        <f t="shared" ref="M1860:M1923" si="89">TEXT(E1860, "mmm-yyyy")</f>
        <v>Nov-2015</v>
      </c>
    </row>
    <row r="1861" spans="1:13" x14ac:dyDescent="0.3">
      <c r="A1861" t="s">
        <v>2464</v>
      </c>
      <c r="B1861" s="1" t="s">
        <v>99</v>
      </c>
      <c r="C1861" s="1" t="s">
        <v>100</v>
      </c>
      <c r="D1861" s="1" t="s">
        <v>13</v>
      </c>
      <c r="E1861" s="5">
        <v>42974</v>
      </c>
      <c r="F1861" s="3" t="s">
        <v>25</v>
      </c>
      <c r="G1861" s="1" t="s">
        <v>948</v>
      </c>
      <c r="H1861" s="1">
        <v>700</v>
      </c>
      <c r="I1861" s="1">
        <v>630</v>
      </c>
      <c r="J1861" s="2">
        <v>0.1</v>
      </c>
      <c r="K1861">
        <f t="shared" si="87"/>
        <v>63</v>
      </c>
      <c r="L1861">
        <f t="shared" si="88"/>
        <v>567</v>
      </c>
      <c r="M1861" t="str">
        <f t="shared" si="89"/>
        <v>Aug-2017</v>
      </c>
    </row>
    <row r="1862" spans="1:13" x14ac:dyDescent="0.3">
      <c r="A1862" t="s">
        <v>2465</v>
      </c>
      <c r="B1862" s="1" t="s">
        <v>131</v>
      </c>
      <c r="C1862" s="1" t="s">
        <v>108</v>
      </c>
      <c r="D1862" s="1" t="s">
        <v>19</v>
      </c>
      <c r="E1862" s="5">
        <v>41910</v>
      </c>
      <c r="F1862" s="3" t="s">
        <v>36</v>
      </c>
      <c r="G1862" s="1" t="s">
        <v>546</v>
      </c>
      <c r="H1862" s="1">
        <v>50</v>
      </c>
      <c r="I1862" s="1">
        <v>45</v>
      </c>
      <c r="J1862" s="2">
        <v>0.1</v>
      </c>
      <c r="K1862">
        <f t="shared" si="87"/>
        <v>4.5</v>
      </c>
      <c r="L1862">
        <f t="shared" si="88"/>
        <v>40.5</v>
      </c>
      <c r="M1862" t="str">
        <f t="shared" si="89"/>
        <v>Sep-2014</v>
      </c>
    </row>
    <row r="1863" spans="1:13" x14ac:dyDescent="0.3">
      <c r="A1863" t="s">
        <v>2466</v>
      </c>
      <c r="B1863" s="1" t="s">
        <v>170</v>
      </c>
      <c r="C1863" s="1" t="s">
        <v>171</v>
      </c>
      <c r="D1863" s="1" t="s">
        <v>13</v>
      </c>
      <c r="E1863" s="5">
        <v>41905</v>
      </c>
      <c r="F1863" s="3" t="s">
        <v>72</v>
      </c>
      <c r="G1863" s="1" t="s">
        <v>274</v>
      </c>
      <c r="H1863" s="1">
        <v>500</v>
      </c>
      <c r="I1863" s="1">
        <v>500</v>
      </c>
      <c r="J1863" s="2">
        <v>0</v>
      </c>
      <c r="K1863">
        <f t="shared" si="87"/>
        <v>0</v>
      </c>
      <c r="L1863">
        <f t="shared" si="88"/>
        <v>500</v>
      </c>
      <c r="M1863" t="str">
        <f t="shared" si="89"/>
        <v>Sep-2014</v>
      </c>
    </row>
    <row r="1864" spans="1:13" x14ac:dyDescent="0.3">
      <c r="A1864" t="s">
        <v>2467</v>
      </c>
      <c r="B1864" s="1" t="s">
        <v>107</v>
      </c>
      <c r="C1864" s="1" t="s">
        <v>108</v>
      </c>
      <c r="D1864" s="1" t="s">
        <v>19</v>
      </c>
      <c r="E1864" s="5">
        <v>42538</v>
      </c>
      <c r="F1864" s="3" t="s">
        <v>36</v>
      </c>
      <c r="G1864" s="1" t="s">
        <v>946</v>
      </c>
      <c r="H1864" s="1">
        <v>50</v>
      </c>
      <c r="I1864" s="1">
        <v>46</v>
      </c>
      <c r="J1864" s="2">
        <v>0.08</v>
      </c>
      <c r="K1864">
        <f t="shared" si="87"/>
        <v>3.68</v>
      </c>
      <c r="L1864">
        <f t="shared" si="88"/>
        <v>42.32</v>
      </c>
      <c r="M1864" t="str">
        <f t="shared" si="89"/>
        <v>Jun-2016</v>
      </c>
    </row>
    <row r="1865" spans="1:13" x14ac:dyDescent="0.3">
      <c r="A1865" t="s">
        <v>2468</v>
      </c>
      <c r="B1865" s="1" t="s">
        <v>64</v>
      </c>
      <c r="C1865" s="1" t="s">
        <v>65</v>
      </c>
      <c r="D1865" s="1" t="s">
        <v>35</v>
      </c>
      <c r="E1865" s="5">
        <v>43327</v>
      </c>
      <c r="F1865" s="3" t="s">
        <v>72</v>
      </c>
      <c r="G1865" s="1" t="s">
        <v>2469</v>
      </c>
      <c r="H1865" s="1">
        <v>500</v>
      </c>
      <c r="I1865" s="1">
        <v>490</v>
      </c>
      <c r="J1865" s="2">
        <v>0.02</v>
      </c>
      <c r="K1865">
        <f t="shared" si="87"/>
        <v>9.8000000000000007</v>
      </c>
      <c r="L1865">
        <f t="shared" si="88"/>
        <v>480.2</v>
      </c>
      <c r="M1865" t="str">
        <f t="shared" si="89"/>
        <v>Aug-2018</v>
      </c>
    </row>
    <row r="1866" spans="1:13" x14ac:dyDescent="0.3">
      <c r="A1866" t="s">
        <v>2470</v>
      </c>
      <c r="B1866" s="1" t="s">
        <v>289</v>
      </c>
      <c r="C1866" s="1" t="s">
        <v>108</v>
      </c>
      <c r="D1866" s="1" t="s">
        <v>19</v>
      </c>
      <c r="E1866" s="5">
        <v>43023</v>
      </c>
      <c r="F1866" s="3" t="s">
        <v>25</v>
      </c>
      <c r="G1866" s="1" t="s">
        <v>1129</v>
      </c>
      <c r="H1866" s="1">
        <v>700</v>
      </c>
      <c r="I1866" s="1">
        <v>686</v>
      </c>
      <c r="J1866" s="2">
        <v>0.02</v>
      </c>
      <c r="K1866">
        <f t="shared" si="87"/>
        <v>13.72</v>
      </c>
      <c r="L1866">
        <f t="shared" si="88"/>
        <v>672.28</v>
      </c>
      <c r="M1866" t="str">
        <f t="shared" si="89"/>
        <v>Oct-2017</v>
      </c>
    </row>
    <row r="1867" spans="1:13" x14ac:dyDescent="0.3">
      <c r="A1867" t="s">
        <v>2471</v>
      </c>
      <c r="B1867" s="1" t="s">
        <v>154</v>
      </c>
      <c r="C1867" s="1" t="s">
        <v>108</v>
      </c>
      <c r="D1867" s="1" t="s">
        <v>19</v>
      </c>
      <c r="E1867" s="5">
        <v>43113</v>
      </c>
      <c r="F1867" s="3" t="s">
        <v>41</v>
      </c>
      <c r="G1867" s="1" t="s">
        <v>1292</v>
      </c>
      <c r="H1867" s="1">
        <v>30</v>
      </c>
      <c r="I1867" s="1">
        <v>25</v>
      </c>
      <c r="J1867" s="2">
        <v>0.16669999999999999</v>
      </c>
      <c r="K1867">
        <f t="shared" si="87"/>
        <v>4.1674999999999995</v>
      </c>
      <c r="L1867">
        <f t="shared" si="88"/>
        <v>20.8325</v>
      </c>
      <c r="M1867" t="str">
        <f t="shared" si="89"/>
        <v>Jan-2018</v>
      </c>
    </row>
    <row r="1868" spans="1:13" x14ac:dyDescent="0.3">
      <c r="A1868" t="s">
        <v>2472</v>
      </c>
      <c r="B1868" s="1" t="s">
        <v>157</v>
      </c>
      <c r="C1868" s="1" t="s">
        <v>108</v>
      </c>
      <c r="D1868" s="1" t="s">
        <v>19</v>
      </c>
      <c r="E1868" s="5">
        <v>43126</v>
      </c>
      <c r="F1868" s="3" t="s">
        <v>61</v>
      </c>
      <c r="G1868" s="1" t="s">
        <v>158</v>
      </c>
      <c r="H1868" s="1">
        <v>1000</v>
      </c>
      <c r="I1868" s="1">
        <v>600</v>
      </c>
      <c r="J1868" s="2">
        <v>0.4</v>
      </c>
      <c r="K1868">
        <f t="shared" si="87"/>
        <v>240</v>
      </c>
      <c r="L1868">
        <f t="shared" si="88"/>
        <v>360</v>
      </c>
      <c r="M1868" t="str">
        <f t="shared" si="89"/>
        <v>Jan-2018</v>
      </c>
    </row>
    <row r="1869" spans="1:13" x14ac:dyDescent="0.3">
      <c r="A1869" t="s">
        <v>2473</v>
      </c>
      <c r="B1869" s="1" t="s">
        <v>221</v>
      </c>
      <c r="C1869" s="1" t="s">
        <v>40</v>
      </c>
      <c r="D1869" s="1" t="s">
        <v>35</v>
      </c>
      <c r="E1869" s="5">
        <v>43053</v>
      </c>
      <c r="F1869" s="3" t="s">
        <v>104</v>
      </c>
      <c r="G1869" s="1" t="s">
        <v>2425</v>
      </c>
      <c r="H1869" s="1">
        <v>70</v>
      </c>
      <c r="I1869" s="1">
        <v>63</v>
      </c>
      <c r="J1869" s="2">
        <v>0.1</v>
      </c>
      <c r="K1869">
        <f t="shared" si="87"/>
        <v>6.3000000000000007</v>
      </c>
      <c r="L1869">
        <f t="shared" si="88"/>
        <v>56.7</v>
      </c>
      <c r="M1869" t="str">
        <f t="shared" si="89"/>
        <v>Nov-2017</v>
      </c>
    </row>
    <row r="1870" spans="1:13" x14ac:dyDescent="0.3">
      <c r="A1870" t="s">
        <v>2474</v>
      </c>
      <c r="B1870" s="1" t="s">
        <v>59</v>
      </c>
      <c r="C1870" s="1" t="s">
        <v>60</v>
      </c>
      <c r="D1870" s="1" t="s">
        <v>13</v>
      </c>
      <c r="E1870" s="5">
        <v>42423</v>
      </c>
      <c r="F1870" s="3" t="s">
        <v>115</v>
      </c>
      <c r="G1870" s="1" t="s">
        <v>1778</v>
      </c>
      <c r="H1870" s="1">
        <v>250</v>
      </c>
      <c r="I1870" s="1">
        <v>245</v>
      </c>
      <c r="J1870" s="2">
        <v>0.02</v>
      </c>
      <c r="K1870">
        <f t="shared" si="87"/>
        <v>4.9000000000000004</v>
      </c>
      <c r="L1870">
        <f t="shared" si="88"/>
        <v>240.1</v>
      </c>
      <c r="M1870" t="str">
        <f t="shared" si="89"/>
        <v>Feb-2016</v>
      </c>
    </row>
    <row r="1871" spans="1:13" x14ac:dyDescent="0.3">
      <c r="A1871" t="s">
        <v>2475</v>
      </c>
      <c r="B1871" s="1" t="s">
        <v>134</v>
      </c>
      <c r="C1871" s="1" t="s">
        <v>92</v>
      </c>
      <c r="D1871" s="1" t="s">
        <v>35</v>
      </c>
      <c r="E1871" s="5">
        <v>42456</v>
      </c>
      <c r="F1871" s="3" t="s">
        <v>14</v>
      </c>
      <c r="G1871" s="1" t="s">
        <v>135</v>
      </c>
      <c r="H1871" s="1">
        <v>80</v>
      </c>
      <c r="I1871" s="1">
        <v>74</v>
      </c>
      <c r="J1871" s="2">
        <v>7.4999999999999997E-2</v>
      </c>
      <c r="K1871">
        <f t="shared" si="87"/>
        <v>5.55</v>
      </c>
      <c r="L1871">
        <f t="shared" si="88"/>
        <v>68.45</v>
      </c>
      <c r="M1871" t="str">
        <f t="shared" si="89"/>
        <v>Mar-2016</v>
      </c>
    </row>
    <row r="1872" spans="1:13" x14ac:dyDescent="0.3">
      <c r="A1872" t="s">
        <v>2476</v>
      </c>
      <c r="B1872" s="1" t="s">
        <v>85</v>
      </c>
      <c r="C1872" s="1" t="s">
        <v>86</v>
      </c>
      <c r="D1872" s="1" t="s">
        <v>13</v>
      </c>
      <c r="E1872" s="5">
        <v>42792</v>
      </c>
      <c r="F1872" s="3" t="s">
        <v>46</v>
      </c>
      <c r="G1872" s="1" t="s">
        <v>1249</v>
      </c>
      <c r="H1872" s="1">
        <v>500</v>
      </c>
      <c r="I1872" s="1">
        <v>465</v>
      </c>
      <c r="J1872" s="2">
        <v>7.0000000000000007E-2</v>
      </c>
      <c r="K1872">
        <f t="shared" si="87"/>
        <v>32.550000000000004</v>
      </c>
      <c r="L1872">
        <f t="shared" si="88"/>
        <v>432.45</v>
      </c>
      <c r="M1872" t="str">
        <f t="shared" si="89"/>
        <v>Feb-2017</v>
      </c>
    </row>
    <row r="1873" spans="1:13" x14ac:dyDescent="0.3">
      <c r="A1873" t="s">
        <v>2477</v>
      </c>
      <c r="B1873" s="1" t="s">
        <v>99</v>
      </c>
      <c r="C1873" s="1" t="s">
        <v>100</v>
      </c>
      <c r="D1873" s="1" t="s">
        <v>13</v>
      </c>
      <c r="E1873" s="5">
        <v>42481</v>
      </c>
      <c r="F1873" s="3" t="s">
        <v>30</v>
      </c>
      <c r="G1873" s="1" t="s">
        <v>948</v>
      </c>
      <c r="H1873" s="1">
        <v>150</v>
      </c>
      <c r="I1873" s="1">
        <v>110</v>
      </c>
      <c r="J1873" s="2">
        <v>0.26669999999999999</v>
      </c>
      <c r="K1873">
        <f t="shared" si="87"/>
        <v>29.337</v>
      </c>
      <c r="L1873">
        <f t="shared" si="88"/>
        <v>80.662999999999997</v>
      </c>
      <c r="M1873" t="str">
        <f t="shared" si="89"/>
        <v>Apr-2016</v>
      </c>
    </row>
    <row r="1874" spans="1:13" x14ac:dyDescent="0.3">
      <c r="A1874" t="s">
        <v>2478</v>
      </c>
      <c r="B1874" s="1" t="s">
        <v>264</v>
      </c>
      <c r="C1874" s="1" t="s">
        <v>265</v>
      </c>
      <c r="D1874" s="1" t="s">
        <v>13</v>
      </c>
      <c r="E1874" s="5">
        <v>42082</v>
      </c>
      <c r="F1874" s="3" t="s">
        <v>72</v>
      </c>
      <c r="G1874" s="1" t="s">
        <v>308</v>
      </c>
      <c r="H1874" s="1">
        <v>500</v>
      </c>
      <c r="I1874" s="1">
        <v>500</v>
      </c>
      <c r="J1874" s="2">
        <v>0</v>
      </c>
      <c r="K1874">
        <f t="shared" si="87"/>
        <v>0</v>
      </c>
      <c r="L1874">
        <f t="shared" si="88"/>
        <v>500</v>
      </c>
      <c r="M1874" t="str">
        <f t="shared" si="89"/>
        <v>Mar-2015</v>
      </c>
    </row>
    <row r="1875" spans="1:13" x14ac:dyDescent="0.3">
      <c r="A1875" t="s">
        <v>2479</v>
      </c>
      <c r="B1875" s="1" t="s">
        <v>154</v>
      </c>
      <c r="C1875" s="1" t="s">
        <v>108</v>
      </c>
      <c r="D1875" s="1" t="s">
        <v>19</v>
      </c>
      <c r="E1875" s="5">
        <v>42306</v>
      </c>
      <c r="F1875" s="3" t="s">
        <v>25</v>
      </c>
      <c r="G1875" s="1" t="s">
        <v>1292</v>
      </c>
      <c r="H1875" s="1">
        <v>700</v>
      </c>
      <c r="I1875" s="1">
        <v>700</v>
      </c>
      <c r="J1875" s="2">
        <v>0</v>
      </c>
      <c r="K1875">
        <f t="shared" si="87"/>
        <v>0</v>
      </c>
      <c r="L1875">
        <f t="shared" si="88"/>
        <v>700</v>
      </c>
      <c r="M1875" t="str">
        <f t="shared" si="89"/>
        <v>Oct-2015</v>
      </c>
    </row>
    <row r="1876" spans="1:13" x14ac:dyDescent="0.3">
      <c r="A1876" t="s">
        <v>2480</v>
      </c>
      <c r="B1876" s="1" t="s">
        <v>146</v>
      </c>
      <c r="C1876" s="1" t="s">
        <v>147</v>
      </c>
      <c r="D1876" s="1" t="s">
        <v>13</v>
      </c>
      <c r="E1876" s="5">
        <v>43021</v>
      </c>
      <c r="F1876" s="3" t="s">
        <v>122</v>
      </c>
      <c r="G1876" s="1" t="s">
        <v>358</v>
      </c>
      <c r="H1876" s="1">
        <v>50</v>
      </c>
      <c r="I1876" s="1">
        <v>50</v>
      </c>
      <c r="J1876" s="2">
        <v>0</v>
      </c>
      <c r="K1876">
        <f t="shared" si="87"/>
        <v>0</v>
      </c>
      <c r="L1876">
        <f t="shared" si="88"/>
        <v>50</v>
      </c>
      <c r="M1876" t="str">
        <f t="shared" si="89"/>
        <v>Oct-2017</v>
      </c>
    </row>
    <row r="1877" spans="1:13" x14ac:dyDescent="0.3">
      <c r="A1877" t="s">
        <v>2481</v>
      </c>
      <c r="B1877" s="1" t="s">
        <v>221</v>
      </c>
      <c r="C1877" s="1" t="s">
        <v>40</v>
      </c>
      <c r="D1877" s="1" t="s">
        <v>35</v>
      </c>
      <c r="E1877" s="5">
        <v>42963</v>
      </c>
      <c r="F1877" s="3" t="s">
        <v>72</v>
      </c>
      <c r="G1877" s="1" t="s">
        <v>1920</v>
      </c>
      <c r="H1877" s="1">
        <v>500</v>
      </c>
      <c r="I1877" s="1">
        <v>490</v>
      </c>
      <c r="J1877" s="2">
        <v>0.02</v>
      </c>
      <c r="K1877">
        <f t="shared" si="87"/>
        <v>9.8000000000000007</v>
      </c>
      <c r="L1877">
        <f t="shared" si="88"/>
        <v>480.2</v>
      </c>
      <c r="M1877" t="str">
        <f t="shared" si="89"/>
        <v>Aug-2017</v>
      </c>
    </row>
    <row r="1878" spans="1:13" x14ac:dyDescent="0.3">
      <c r="A1878" t="s">
        <v>2482</v>
      </c>
      <c r="B1878" s="1" t="s">
        <v>28</v>
      </c>
      <c r="C1878" s="1" t="s">
        <v>29</v>
      </c>
      <c r="D1878" s="1" t="s">
        <v>13</v>
      </c>
      <c r="E1878" s="5">
        <v>43069</v>
      </c>
      <c r="F1878" s="3" t="s">
        <v>61</v>
      </c>
      <c r="G1878" s="1" t="s">
        <v>396</v>
      </c>
      <c r="H1878" s="1">
        <v>1000</v>
      </c>
      <c r="I1878" s="1">
        <v>920</v>
      </c>
      <c r="J1878" s="2">
        <v>0.08</v>
      </c>
      <c r="K1878">
        <f t="shared" si="87"/>
        <v>73.600000000000009</v>
      </c>
      <c r="L1878">
        <f t="shared" si="88"/>
        <v>846.4</v>
      </c>
      <c r="M1878" t="str">
        <f t="shared" si="89"/>
        <v>Nov-2017</v>
      </c>
    </row>
    <row r="1879" spans="1:13" x14ac:dyDescent="0.3">
      <c r="A1879" t="s">
        <v>2483</v>
      </c>
      <c r="B1879" s="1" t="s">
        <v>85</v>
      </c>
      <c r="C1879" s="1" t="s">
        <v>86</v>
      </c>
      <c r="D1879" s="1" t="s">
        <v>13</v>
      </c>
      <c r="E1879" s="5">
        <v>43295</v>
      </c>
      <c r="F1879" s="3" t="s">
        <v>72</v>
      </c>
      <c r="G1879" s="1" t="s">
        <v>166</v>
      </c>
      <c r="H1879" s="1">
        <v>500</v>
      </c>
      <c r="I1879" s="1">
        <v>500</v>
      </c>
      <c r="J1879" s="2">
        <v>0</v>
      </c>
      <c r="K1879">
        <f t="shared" si="87"/>
        <v>0</v>
      </c>
      <c r="L1879">
        <f t="shared" si="88"/>
        <v>500</v>
      </c>
      <c r="M1879" t="str">
        <f t="shared" si="89"/>
        <v>Jul-2018</v>
      </c>
    </row>
    <row r="1880" spans="1:13" x14ac:dyDescent="0.3">
      <c r="A1880" t="s">
        <v>2484</v>
      </c>
      <c r="B1880" s="1" t="s">
        <v>400</v>
      </c>
      <c r="C1880" s="1" t="s">
        <v>401</v>
      </c>
      <c r="D1880" s="1" t="s">
        <v>13</v>
      </c>
      <c r="E1880" s="5">
        <v>41790</v>
      </c>
      <c r="F1880" s="3" t="s">
        <v>41</v>
      </c>
      <c r="G1880" s="1" t="s">
        <v>1281</v>
      </c>
      <c r="H1880" s="1">
        <v>30</v>
      </c>
      <c r="I1880" s="1">
        <v>30</v>
      </c>
      <c r="J1880" s="2">
        <v>0</v>
      </c>
      <c r="K1880">
        <f t="shared" si="87"/>
        <v>0</v>
      </c>
      <c r="L1880">
        <f t="shared" si="88"/>
        <v>30</v>
      </c>
      <c r="M1880" t="str">
        <f t="shared" si="89"/>
        <v>May-2014</v>
      </c>
    </row>
    <row r="1881" spans="1:13" x14ac:dyDescent="0.3">
      <c r="A1881" t="s">
        <v>2485</v>
      </c>
      <c r="B1881" s="1" t="s">
        <v>95</v>
      </c>
      <c r="C1881" s="1" t="s">
        <v>96</v>
      </c>
      <c r="D1881" s="1" t="s">
        <v>13</v>
      </c>
      <c r="E1881" s="5">
        <v>42728</v>
      </c>
      <c r="F1881" s="3" t="s">
        <v>14</v>
      </c>
      <c r="G1881" s="1" t="s">
        <v>2486</v>
      </c>
      <c r="H1881" s="1">
        <v>80</v>
      </c>
      <c r="I1881" s="1">
        <v>77</v>
      </c>
      <c r="J1881" s="2">
        <v>3.7499999999999999E-2</v>
      </c>
      <c r="K1881">
        <f t="shared" si="87"/>
        <v>2.8874999999999997</v>
      </c>
      <c r="L1881">
        <f t="shared" si="88"/>
        <v>74.112499999999997</v>
      </c>
      <c r="M1881" t="str">
        <f t="shared" si="89"/>
        <v>Dec-2016</v>
      </c>
    </row>
    <row r="1882" spans="1:13" x14ac:dyDescent="0.3">
      <c r="A1882" t="s">
        <v>2487</v>
      </c>
      <c r="B1882" s="1" t="s">
        <v>114</v>
      </c>
      <c r="C1882" s="1" t="s">
        <v>54</v>
      </c>
      <c r="D1882" s="1" t="s">
        <v>13</v>
      </c>
      <c r="E1882" s="5">
        <v>43027</v>
      </c>
      <c r="F1882" s="3" t="s">
        <v>61</v>
      </c>
      <c r="G1882" s="1" t="s">
        <v>367</v>
      </c>
      <c r="H1882" s="1">
        <v>1000</v>
      </c>
      <c r="I1882" s="1">
        <v>920</v>
      </c>
      <c r="J1882" s="2">
        <v>0.08</v>
      </c>
      <c r="K1882">
        <f t="shared" si="87"/>
        <v>73.600000000000009</v>
      </c>
      <c r="L1882">
        <f t="shared" si="88"/>
        <v>846.4</v>
      </c>
      <c r="M1882" t="str">
        <f t="shared" si="89"/>
        <v>Oct-2017</v>
      </c>
    </row>
    <row r="1883" spans="1:13" x14ac:dyDescent="0.3">
      <c r="A1883" t="s">
        <v>2488</v>
      </c>
      <c r="B1883" s="1" t="s">
        <v>241</v>
      </c>
      <c r="C1883" s="1" t="s">
        <v>242</v>
      </c>
      <c r="D1883" s="1" t="s">
        <v>13</v>
      </c>
      <c r="E1883" s="5">
        <v>42123</v>
      </c>
      <c r="F1883" s="3" t="s">
        <v>14</v>
      </c>
      <c r="G1883" s="1" t="s">
        <v>243</v>
      </c>
      <c r="H1883" s="1">
        <v>80</v>
      </c>
      <c r="I1883" s="1">
        <v>76</v>
      </c>
      <c r="J1883" s="2">
        <v>0.05</v>
      </c>
      <c r="K1883">
        <f t="shared" si="87"/>
        <v>3.8000000000000003</v>
      </c>
      <c r="L1883">
        <f t="shared" si="88"/>
        <v>72.2</v>
      </c>
      <c r="M1883" t="str">
        <f t="shared" si="89"/>
        <v>Apr-2015</v>
      </c>
    </row>
    <row r="1884" spans="1:13" x14ac:dyDescent="0.3">
      <c r="A1884" t="s">
        <v>2489</v>
      </c>
      <c r="B1884" s="1" t="s">
        <v>91</v>
      </c>
      <c r="C1884" s="1" t="s">
        <v>92</v>
      </c>
      <c r="D1884" s="1" t="s">
        <v>35</v>
      </c>
      <c r="E1884" s="5">
        <v>41879</v>
      </c>
      <c r="F1884" s="3" t="s">
        <v>61</v>
      </c>
      <c r="G1884" s="1" t="s">
        <v>507</v>
      </c>
      <c r="H1884" s="1">
        <v>1000</v>
      </c>
      <c r="I1884" s="1">
        <v>740</v>
      </c>
      <c r="J1884" s="2">
        <v>0.26</v>
      </c>
      <c r="K1884">
        <f t="shared" si="87"/>
        <v>192.4</v>
      </c>
      <c r="L1884">
        <f t="shared" si="88"/>
        <v>547.6</v>
      </c>
      <c r="M1884" t="str">
        <f t="shared" si="89"/>
        <v>Aug-2014</v>
      </c>
    </row>
    <row r="1885" spans="1:13" x14ac:dyDescent="0.3">
      <c r="A1885" t="s">
        <v>2490</v>
      </c>
      <c r="B1885" s="1" t="s">
        <v>33</v>
      </c>
      <c r="C1885" s="1" t="s">
        <v>34</v>
      </c>
      <c r="D1885" s="1" t="s">
        <v>35</v>
      </c>
      <c r="E1885" s="5">
        <v>43128</v>
      </c>
      <c r="F1885" s="3" t="s">
        <v>14</v>
      </c>
      <c r="G1885" s="1" t="s">
        <v>451</v>
      </c>
      <c r="H1885" s="1">
        <v>80</v>
      </c>
      <c r="I1885" s="1">
        <v>80</v>
      </c>
      <c r="J1885" s="2">
        <v>0</v>
      </c>
      <c r="K1885">
        <f t="shared" si="87"/>
        <v>0</v>
      </c>
      <c r="L1885">
        <f t="shared" si="88"/>
        <v>80</v>
      </c>
      <c r="M1885" t="str">
        <f t="shared" si="89"/>
        <v>Jan-2018</v>
      </c>
    </row>
    <row r="1886" spans="1:13" x14ac:dyDescent="0.3">
      <c r="A1886" t="s">
        <v>2491</v>
      </c>
      <c r="B1886" s="1" t="s">
        <v>114</v>
      </c>
      <c r="C1886" s="1" t="s">
        <v>54</v>
      </c>
      <c r="D1886" s="1" t="s">
        <v>13</v>
      </c>
      <c r="E1886" s="5">
        <v>42080</v>
      </c>
      <c r="F1886" s="3" t="s">
        <v>14</v>
      </c>
      <c r="G1886" s="1" t="s">
        <v>885</v>
      </c>
      <c r="H1886" s="1">
        <v>80</v>
      </c>
      <c r="I1886" s="1">
        <v>61</v>
      </c>
      <c r="J1886" s="2">
        <v>0.23749999999999999</v>
      </c>
      <c r="K1886">
        <f t="shared" si="87"/>
        <v>14.487499999999999</v>
      </c>
      <c r="L1886">
        <f t="shared" si="88"/>
        <v>46.512500000000003</v>
      </c>
      <c r="M1886" t="str">
        <f t="shared" si="89"/>
        <v>Mar-2015</v>
      </c>
    </row>
    <row r="1887" spans="1:13" x14ac:dyDescent="0.3">
      <c r="A1887" t="s">
        <v>2492</v>
      </c>
      <c r="B1887" s="1" t="s">
        <v>81</v>
      </c>
      <c r="C1887" s="1" t="s">
        <v>82</v>
      </c>
      <c r="D1887" s="1" t="s">
        <v>13</v>
      </c>
      <c r="E1887" s="5">
        <v>42760</v>
      </c>
      <c r="F1887" s="3" t="s">
        <v>61</v>
      </c>
      <c r="G1887" s="1" t="s">
        <v>1232</v>
      </c>
      <c r="H1887" s="1">
        <v>1000</v>
      </c>
      <c r="I1887" s="1">
        <v>610</v>
      </c>
      <c r="J1887" s="2">
        <v>0.39</v>
      </c>
      <c r="K1887">
        <f t="shared" si="87"/>
        <v>237.9</v>
      </c>
      <c r="L1887">
        <f t="shared" si="88"/>
        <v>372.1</v>
      </c>
      <c r="M1887" t="str">
        <f t="shared" si="89"/>
        <v>Jan-2017</v>
      </c>
    </row>
    <row r="1888" spans="1:13" x14ac:dyDescent="0.3">
      <c r="A1888" t="s">
        <v>2493</v>
      </c>
      <c r="B1888" s="1" t="s">
        <v>103</v>
      </c>
      <c r="C1888" s="1" t="s">
        <v>71</v>
      </c>
      <c r="D1888" s="1" t="s">
        <v>35</v>
      </c>
      <c r="E1888" s="5">
        <v>42642</v>
      </c>
      <c r="F1888" s="3" t="s">
        <v>41</v>
      </c>
      <c r="G1888" s="1" t="s">
        <v>191</v>
      </c>
      <c r="H1888" s="1">
        <v>30</v>
      </c>
      <c r="I1888" s="1">
        <v>30</v>
      </c>
      <c r="J1888" s="2">
        <v>0</v>
      </c>
      <c r="K1888">
        <f t="shared" si="87"/>
        <v>0</v>
      </c>
      <c r="L1888">
        <f t="shared" si="88"/>
        <v>30</v>
      </c>
      <c r="M1888" t="str">
        <f t="shared" si="89"/>
        <v>Sep-2016</v>
      </c>
    </row>
    <row r="1889" spans="1:13" x14ac:dyDescent="0.3">
      <c r="A1889" t="s">
        <v>2494</v>
      </c>
      <c r="B1889" s="1" t="s">
        <v>157</v>
      </c>
      <c r="C1889" s="1" t="s">
        <v>108</v>
      </c>
      <c r="D1889" s="1" t="s">
        <v>19</v>
      </c>
      <c r="E1889" s="5">
        <v>43393</v>
      </c>
      <c r="F1889" s="3" t="s">
        <v>46</v>
      </c>
      <c r="G1889" s="1" t="s">
        <v>1022</v>
      </c>
      <c r="H1889" s="1">
        <v>500</v>
      </c>
      <c r="I1889" s="1">
        <v>390</v>
      </c>
      <c r="J1889" s="2">
        <v>0.22</v>
      </c>
      <c r="K1889">
        <f t="shared" si="87"/>
        <v>85.8</v>
      </c>
      <c r="L1889">
        <f t="shared" si="88"/>
        <v>304.2</v>
      </c>
      <c r="M1889" t="str">
        <f t="shared" si="89"/>
        <v>Oct-2018</v>
      </c>
    </row>
    <row r="1890" spans="1:13" x14ac:dyDescent="0.3">
      <c r="A1890" t="s">
        <v>2495</v>
      </c>
      <c r="B1890" s="1" t="s">
        <v>124</v>
      </c>
      <c r="C1890" s="1" t="s">
        <v>40</v>
      </c>
      <c r="D1890" s="1" t="s">
        <v>35</v>
      </c>
      <c r="E1890" s="5">
        <v>41696</v>
      </c>
      <c r="F1890" s="3" t="s">
        <v>14</v>
      </c>
      <c r="G1890" s="1" t="s">
        <v>2496</v>
      </c>
      <c r="H1890" s="1">
        <v>80</v>
      </c>
      <c r="I1890" s="1">
        <v>70</v>
      </c>
      <c r="J1890" s="2">
        <v>0.125</v>
      </c>
      <c r="K1890">
        <f t="shared" si="87"/>
        <v>8.75</v>
      </c>
      <c r="L1890">
        <f t="shared" si="88"/>
        <v>61.25</v>
      </c>
      <c r="M1890" t="str">
        <f t="shared" si="89"/>
        <v>Feb-2014</v>
      </c>
    </row>
    <row r="1891" spans="1:13" x14ac:dyDescent="0.3">
      <c r="A1891" t="s">
        <v>2497</v>
      </c>
      <c r="B1891" s="1" t="s">
        <v>150</v>
      </c>
      <c r="C1891" s="1" t="s">
        <v>151</v>
      </c>
      <c r="D1891" s="1" t="s">
        <v>13</v>
      </c>
      <c r="E1891" s="5">
        <v>41655</v>
      </c>
      <c r="F1891" s="3" t="s">
        <v>46</v>
      </c>
      <c r="G1891" s="1" t="s">
        <v>306</v>
      </c>
      <c r="H1891" s="1">
        <v>500</v>
      </c>
      <c r="I1891" s="1">
        <v>420</v>
      </c>
      <c r="J1891" s="2">
        <v>0.16</v>
      </c>
      <c r="K1891">
        <f t="shared" si="87"/>
        <v>67.2</v>
      </c>
      <c r="L1891">
        <f t="shared" si="88"/>
        <v>352.8</v>
      </c>
      <c r="M1891" t="str">
        <f t="shared" si="89"/>
        <v>Jan-2014</v>
      </c>
    </row>
    <row r="1892" spans="1:13" x14ac:dyDescent="0.3">
      <c r="A1892" t="s">
        <v>2498</v>
      </c>
      <c r="B1892" s="1" t="s">
        <v>95</v>
      </c>
      <c r="C1892" s="1" t="s">
        <v>96</v>
      </c>
      <c r="D1892" s="1" t="s">
        <v>13</v>
      </c>
      <c r="E1892" s="5">
        <v>42608</v>
      </c>
      <c r="F1892" s="3" t="s">
        <v>104</v>
      </c>
      <c r="G1892" s="1" t="s">
        <v>1275</v>
      </c>
      <c r="H1892" s="1">
        <v>70</v>
      </c>
      <c r="I1892" s="1">
        <v>63</v>
      </c>
      <c r="J1892" s="2">
        <v>0.1</v>
      </c>
      <c r="K1892">
        <f t="shared" si="87"/>
        <v>6.3000000000000007</v>
      </c>
      <c r="L1892">
        <f t="shared" si="88"/>
        <v>56.7</v>
      </c>
      <c r="M1892" t="str">
        <f t="shared" si="89"/>
        <v>Aug-2016</v>
      </c>
    </row>
    <row r="1893" spans="1:13" x14ac:dyDescent="0.3">
      <c r="A1893" t="s">
        <v>2499</v>
      </c>
      <c r="B1893" s="1" t="s">
        <v>221</v>
      </c>
      <c r="C1893" s="1" t="s">
        <v>40</v>
      </c>
      <c r="D1893" s="1" t="s">
        <v>35</v>
      </c>
      <c r="E1893" s="5">
        <v>41727</v>
      </c>
      <c r="F1893" s="3" t="s">
        <v>14</v>
      </c>
      <c r="G1893" s="1" t="s">
        <v>262</v>
      </c>
      <c r="H1893" s="1">
        <v>80</v>
      </c>
      <c r="I1893" s="1">
        <v>62</v>
      </c>
      <c r="J1893" s="2">
        <v>0.22500000000000001</v>
      </c>
      <c r="K1893">
        <f t="shared" si="87"/>
        <v>13.950000000000001</v>
      </c>
      <c r="L1893">
        <f t="shared" si="88"/>
        <v>48.05</v>
      </c>
      <c r="M1893" t="str">
        <f t="shared" si="89"/>
        <v>Mar-2014</v>
      </c>
    </row>
    <row r="1894" spans="1:13" x14ac:dyDescent="0.3">
      <c r="A1894" t="s">
        <v>2500</v>
      </c>
      <c r="B1894" s="1" t="s">
        <v>111</v>
      </c>
      <c r="C1894" s="1" t="s">
        <v>82</v>
      </c>
      <c r="D1894" s="1" t="s">
        <v>13</v>
      </c>
      <c r="E1894" s="5">
        <v>42483</v>
      </c>
      <c r="F1894" s="3" t="s">
        <v>122</v>
      </c>
      <c r="G1894" s="1" t="s">
        <v>826</v>
      </c>
      <c r="H1894" s="1">
        <v>50</v>
      </c>
      <c r="I1894" s="1">
        <v>49</v>
      </c>
      <c r="J1894" s="2">
        <v>0.02</v>
      </c>
      <c r="K1894">
        <f t="shared" si="87"/>
        <v>0.98</v>
      </c>
      <c r="L1894">
        <f t="shared" si="88"/>
        <v>48.02</v>
      </c>
      <c r="M1894" t="str">
        <f t="shared" si="89"/>
        <v>Apr-2016</v>
      </c>
    </row>
    <row r="1895" spans="1:13" x14ac:dyDescent="0.3">
      <c r="A1895" t="s">
        <v>2501</v>
      </c>
      <c r="B1895" s="1" t="s">
        <v>114</v>
      </c>
      <c r="C1895" s="1" t="s">
        <v>54</v>
      </c>
      <c r="D1895" s="1" t="s">
        <v>13</v>
      </c>
      <c r="E1895" s="5">
        <v>41964</v>
      </c>
      <c r="F1895" s="3" t="s">
        <v>55</v>
      </c>
      <c r="G1895" s="1" t="s">
        <v>168</v>
      </c>
      <c r="H1895" s="1">
        <v>800</v>
      </c>
      <c r="I1895" s="1">
        <v>592</v>
      </c>
      <c r="J1895" s="2">
        <v>0.26</v>
      </c>
      <c r="K1895">
        <f t="shared" si="87"/>
        <v>153.92000000000002</v>
      </c>
      <c r="L1895">
        <f t="shared" si="88"/>
        <v>438.08</v>
      </c>
      <c r="M1895" t="str">
        <f t="shared" si="89"/>
        <v>Nov-2014</v>
      </c>
    </row>
    <row r="1896" spans="1:13" x14ac:dyDescent="0.3">
      <c r="A1896" t="s">
        <v>2502</v>
      </c>
      <c r="B1896" s="1" t="s">
        <v>221</v>
      </c>
      <c r="C1896" s="1" t="s">
        <v>40</v>
      </c>
      <c r="D1896" s="1" t="s">
        <v>35</v>
      </c>
      <c r="E1896" s="5">
        <v>42305</v>
      </c>
      <c r="F1896" s="3" t="s">
        <v>30</v>
      </c>
      <c r="G1896" s="1" t="s">
        <v>1059</v>
      </c>
      <c r="H1896" s="1">
        <v>150</v>
      </c>
      <c r="I1896" s="1">
        <v>149</v>
      </c>
      <c r="J1896" s="2">
        <v>6.7000000000000002E-3</v>
      </c>
      <c r="K1896">
        <f t="shared" si="87"/>
        <v>0.99830000000000008</v>
      </c>
      <c r="L1896">
        <f t="shared" si="88"/>
        <v>148.0017</v>
      </c>
      <c r="M1896" t="str">
        <f t="shared" si="89"/>
        <v>Oct-2015</v>
      </c>
    </row>
    <row r="1897" spans="1:13" x14ac:dyDescent="0.3">
      <c r="A1897" t="s">
        <v>2503</v>
      </c>
      <c r="B1897" s="1" t="s">
        <v>227</v>
      </c>
      <c r="C1897" s="1" t="s">
        <v>228</v>
      </c>
      <c r="D1897" s="1" t="s">
        <v>24</v>
      </c>
      <c r="E1897" s="5">
        <v>41898</v>
      </c>
      <c r="F1897" s="3" t="s">
        <v>61</v>
      </c>
      <c r="G1897" s="1" t="s">
        <v>984</v>
      </c>
      <c r="H1897" s="1">
        <v>1000</v>
      </c>
      <c r="I1897" s="1">
        <v>900</v>
      </c>
      <c r="J1897" s="2">
        <v>0.1</v>
      </c>
      <c r="K1897">
        <f t="shared" si="87"/>
        <v>90</v>
      </c>
      <c r="L1897">
        <f t="shared" si="88"/>
        <v>810</v>
      </c>
      <c r="M1897" t="str">
        <f t="shared" si="89"/>
        <v>Sep-2014</v>
      </c>
    </row>
    <row r="1898" spans="1:13" x14ac:dyDescent="0.3">
      <c r="A1898" t="s">
        <v>2504</v>
      </c>
      <c r="B1898" s="1" t="s">
        <v>17</v>
      </c>
      <c r="C1898" s="1" t="s">
        <v>18</v>
      </c>
      <c r="D1898" s="1" t="s">
        <v>19</v>
      </c>
      <c r="E1898" s="5">
        <v>41818</v>
      </c>
      <c r="F1898" s="3" t="s">
        <v>25</v>
      </c>
      <c r="G1898" s="1" t="s">
        <v>478</v>
      </c>
      <c r="H1898" s="1">
        <v>700</v>
      </c>
      <c r="I1898" s="1">
        <v>651</v>
      </c>
      <c r="J1898" s="2">
        <v>7.0000000000000007E-2</v>
      </c>
      <c r="K1898">
        <f t="shared" si="87"/>
        <v>45.570000000000007</v>
      </c>
      <c r="L1898">
        <f t="shared" si="88"/>
        <v>605.42999999999995</v>
      </c>
      <c r="M1898" t="str">
        <f t="shared" si="89"/>
        <v>Jun-2014</v>
      </c>
    </row>
    <row r="1899" spans="1:13" x14ac:dyDescent="0.3">
      <c r="A1899" t="s">
        <v>2505</v>
      </c>
      <c r="B1899" s="1" t="s">
        <v>289</v>
      </c>
      <c r="C1899" s="1" t="s">
        <v>108</v>
      </c>
      <c r="D1899" s="1" t="s">
        <v>19</v>
      </c>
      <c r="E1899" s="5">
        <v>41847</v>
      </c>
      <c r="F1899" s="3" t="s">
        <v>36</v>
      </c>
      <c r="G1899" s="1" t="s">
        <v>346</v>
      </c>
      <c r="H1899" s="1">
        <v>50</v>
      </c>
      <c r="I1899" s="1">
        <v>48</v>
      </c>
      <c r="J1899" s="2">
        <v>0.04</v>
      </c>
      <c r="K1899">
        <f t="shared" si="87"/>
        <v>1.92</v>
      </c>
      <c r="L1899">
        <f t="shared" si="88"/>
        <v>46.08</v>
      </c>
      <c r="M1899" t="str">
        <f t="shared" si="89"/>
        <v>Jul-2014</v>
      </c>
    </row>
    <row r="1900" spans="1:13" x14ac:dyDescent="0.3">
      <c r="A1900" t="s">
        <v>2506</v>
      </c>
      <c r="B1900" s="1" t="s">
        <v>70</v>
      </c>
      <c r="C1900" s="1" t="s">
        <v>71</v>
      </c>
      <c r="D1900" s="1" t="s">
        <v>35</v>
      </c>
      <c r="E1900" s="5">
        <v>41667</v>
      </c>
      <c r="F1900" s="3" t="s">
        <v>55</v>
      </c>
      <c r="G1900" s="1" t="s">
        <v>417</v>
      </c>
      <c r="H1900" s="1">
        <v>800</v>
      </c>
      <c r="I1900" s="1">
        <v>592</v>
      </c>
      <c r="J1900" s="2">
        <v>0.26</v>
      </c>
      <c r="K1900">
        <f t="shared" si="87"/>
        <v>153.92000000000002</v>
      </c>
      <c r="L1900">
        <f t="shared" si="88"/>
        <v>438.08</v>
      </c>
      <c r="M1900" t="str">
        <f t="shared" si="89"/>
        <v>Jan-2014</v>
      </c>
    </row>
    <row r="1901" spans="1:13" x14ac:dyDescent="0.3">
      <c r="A1901" t="s">
        <v>2507</v>
      </c>
      <c r="B1901" s="1" t="s">
        <v>131</v>
      </c>
      <c r="C1901" s="1" t="s">
        <v>108</v>
      </c>
      <c r="D1901" s="1" t="s">
        <v>19</v>
      </c>
      <c r="E1901" s="5">
        <v>42477</v>
      </c>
      <c r="F1901" s="3" t="s">
        <v>30</v>
      </c>
      <c r="G1901" s="1" t="s">
        <v>536</v>
      </c>
      <c r="H1901" s="1">
        <v>150</v>
      </c>
      <c r="I1901" s="1">
        <v>137</v>
      </c>
      <c r="J1901" s="2">
        <v>8.6699999999999999E-2</v>
      </c>
      <c r="K1901">
        <f t="shared" si="87"/>
        <v>11.8779</v>
      </c>
      <c r="L1901">
        <f t="shared" si="88"/>
        <v>125.1221</v>
      </c>
      <c r="M1901" t="str">
        <f t="shared" si="89"/>
        <v>Apr-2016</v>
      </c>
    </row>
    <row r="1902" spans="1:13" x14ac:dyDescent="0.3">
      <c r="A1902" t="s">
        <v>2508</v>
      </c>
      <c r="B1902" s="1" t="s">
        <v>146</v>
      </c>
      <c r="C1902" s="1" t="s">
        <v>147</v>
      </c>
      <c r="D1902" s="1" t="s">
        <v>13</v>
      </c>
      <c r="E1902" s="5">
        <v>42998</v>
      </c>
      <c r="F1902" s="3" t="s">
        <v>46</v>
      </c>
      <c r="G1902" s="1" t="s">
        <v>1647</v>
      </c>
      <c r="H1902" s="1">
        <v>500</v>
      </c>
      <c r="I1902" s="1">
        <v>475</v>
      </c>
      <c r="J1902" s="2">
        <v>0.05</v>
      </c>
      <c r="K1902">
        <f t="shared" si="87"/>
        <v>23.75</v>
      </c>
      <c r="L1902">
        <f t="shared" si="88"/>
        <v>451.25</v>
      </c>
      <c r="M1902" t="str">
        <f t="shared" si="89"/>
        <v>Sep-2017</v>
      </c>
    </row>
    <row r="1903" spans="1:13" x14ac:dyDescent="0.3">
      <c r="A1903" t="s">
        <v>2509</v>
      </c>
      <c r="B1903" s="1" t="s">
        <v>95</v>
      </c>
      <c r="C1903" s="1" t="s">
        <v>96</v>
      </c>
      <c r="D1903" s="1" t="s">
        <v>13</v>
      </c>
      <c r="E1903" s="5">
        <v>41833</v>
      </c>
      <c r="F1903" s="3" t="s">
        <v>30</v>
      </c>
      <c r="G1903" s="1" t="s">
        <v>2138</v>
      </c>
      <c r="H1903" s="1">
        <v>150</v>
      </c>
      <c r="I1903" s="1">
        <v>105</v>
      </c>
      <c r="J1903" s="2">
        <v>0.3</v>
      </c>
      <c r="K1903">
        <f t="shared" si="87"/>
        <v>31.5</v>
      </c>
      <c r="L1903">
        <f t="shared" si="88"/>
        <v>73.5</v>
      </c>
      <c r="M1903" t="str">
        <f t="shared" si="89"/>
        <v>Jul-2014</v>
      </c>
    </row>
    <row r="1904" spans="1:13" x14ac:dyDescent="0.3">
      <c r="A1904" t="s">
        <v>2510</v>
      </c>
      <c r="B1904" s="1" t="s">
        <v>241</v>
      </c>
      <c r="C1904" s="1" t="s">
        <v>242</v>
      </c>
      <c r="D1904" s="1" t="s">
        <v>13</v>
      </c>
      <c r="E1904" s="5">
        <v>42540</v>
      </c>
      <c r="F1904" s="3" t="s">
        <v>25</v>
      </c>
      <c r="G1904" s="1" t="s">
        <v>243</v>
      </c>
      <c r="H1904" s="1">
        <v>700</v>
      </c>
      <c r="I1904" s="1">
        <v>602</v>
      </c>
      <c r="J1904" s="2">
        <v>0.14000000000000001</v>
      </c>
      <c r="K1904">
        <f t="shared" si="87"/>
        <v>84.28</v>
      </c>
      <c r="L1904">
        <f t="shared" si="88"/>
        <v>517.72</v>
      </c>
      <c r="M1904" t="str">
        <f t="shared" si="89"/>
        <v>Jun-2016</v>
      </c>
    </row>
    <row r="1905" spans="1:13" x14ac:dyDescent="0.3">
      <c r="A1905" t="s">
        <v>2511</v>
      </c>
      <c r="B1905" s="1" t="s">
        <v>91</v>
      </c>
      <c r="C1905" s="1" t="s">
        <v>92</v>
      </c>
      <c r="D1905" s="1" t="s">
        <v>35</v>
      </c>
      <c r="E1905" s="5">
        <v>42612</v>
      </c>
      <c r="F1905" s="3" t="s">
        <v>55</v>
      </c>
      <c r="G1905" s="1" t="s">
        <v>2351</v>
      </c>
      <c r="H1905" s="1">
        <v>800</v>
      </c>
      <c r="I1905" s="1">
        <v>672</v>
      </c>
      <c r="J1905" s="2">
        <v>0.16</v>
      </c>
      <c r="K1905">
        <f t="shared" si="87"/>
        <v>107.52</v>
      </c>
      <c r="L1905">
        <f t="shared" si="88"/>
        <v>564.48</v>
      </c>
      <c r="M1905" t="str">
        <f t="shared" si="89"/>
        <v>Aug-2016</v>
      </c>
    </row>
    <row r="1906" spans="1:13" x14ac:dyDescent="0.3">
      <c r="A1906" t="s">
        <v>2512</v>
      </c>
      <c r="B1906" s="1" t="s">
        <v>224</v>
      </c>
      <c r="C1906" s="1" t="s">
        <v>50</v>
      </c>
      <c r="D1906" s="1" t="s">
        <v>24</v>
      </c>
      <c r="E1906" s="5">
        <v>42693</v>
      </c>
      <c r="F1906" s="3" t="s">
        <v>41</v>
      </c>
      <c r="G1906" s="1" t="s">
        <v>1942</v>
      </c>
      <c r="H1906" s="1">
        <v>30</v>
      </c>
      <c r="I1906" s="1">
        <v>28</v>
      </c>
      <c r="J1906" s="2">
        <v>6.6699999999999995E-2</v>
      </c>
      <c r="K1906">
        <f t="shared" si="87"/>
        <v>1.8675999999999999</v>
      </c>
      <c r="L1906">
        <f t="shared" si="88"/>
        <v>26.132400000000001</v>
      </c>
      <c r="M1906" t="str">
        <f t="shared" si="89"/>
        <v>Nov-2016</v>
      </c>
    </row>
    <row r="1907" spans="1:13" x14ac:dyDescent="0.3">
      <c r="A1907" t="s">
        <v>2513</v>
      </c>
      <c r="B1907" s="1" t="s">
        <v>44</v>
      </c>
      <c r="C1907" s="1" t="s">
        <v>45</v>
      </c>
      <c r="D1907" s="1" t="s">
        <v>24</v>
      </c>
      <c r="E1907" s="5">
        <v>42610</v>
      </c>
      <c r="F1907" s="3" t="s">
        <v>25</v>
      </c>
      <c r="G1907" s="1" t="s">
        <v>1177</v>
      </c>
      <c r="H1907" s="1">
        <v>700</v>
      </c>
      <c r="I1907" s="1">
        <v>420</v>
      </c>
      <c r="J1907" s="2">
        <v>0.4</v>
      </c>
      <c r="K1907">
        <f t="shared" si="87"/>
        <v>168</v>
      </c>
      <c r="L1907">
        <f t="shared" si="88"/>
        <v>252</v>
      </c>
      <c r="M1907" t="str">
        <f t="shared" si="89"/>
        <v>Aug-2016</v>
      </c>
    </row>
    <row r="1908" spans="1:13" x14ac:dyDescent="0.3">
      <c r="A1908" t="s">
        <v>2514</v>
      </c>
      <c r="B1908" s="1" t="s">
        <v>289</v>
      </c>
      <c r="C1908" s="1" t="s">
        <v>108</v>
      </c>
      <c r="D1908" s="1" t="s">
        <v>19</v>
      </c>
      <c r="E1908" s="5">
        <v>41989</v>
      </c>
      <c r="F1908" s="3" t="s">
        <v>41</v>
      </c>
      <c r="G1908" s="1" t="s">
        <v>1129</v>
      </c>
      <c r="H1908" s="1">
        <v>30</v>
      </c>
      <c r="I1908" s="1">
        <v>29</v>
      </c>
      <c r="J1908" s="2">
        <v>3.3300000000000003E-2</v>
      </c>
      <c r="K1908">
        <f t="shared" si="87"/>
        <v>0.96570000000000011</v>
      </c>
      <c r="L1908">
        <f t="shared" si="88"/>
        <v>28.034299999999998</v>
      </c>
      <c r="M1908" t="str">
        <f t="shared" si="89"/>
        <v>Dec-2014</v>
      </c>
    </row>
    <row r="1909" spans="1:13" x14ac:dyDescent="0.3">
      <c r="A1909" t="s">
        <v>2515</v>
      </c>
      <c r="B1909" s="1" t="s">
        <v>255</v>
      </c>
      <c r="C1909" s="1" t="s">
        <v>256</v>
      </c>
      <c r="D1909" s="1" t="s">
        <v>13</v>
      </c>
      <c r="E1909" s="5">
        <v>42946</v>
      </c>
      <c r="F1909" s="3" t="s">
        <v>25</v>
      </c>
      <c r="G1909" s="1" t="s">
        <v>522</v>
      </c>
      <c r="H1909" s="1">
        <v>700</v>
      </c>
      <c r="I1909" s="1">
        <v>616</v>
      </c>
      <c r="J1909" s="2">
        <v>0.12</v>
      </c>
      <c r="K1909">
        <f t="shared" si="87"/>
        <v>73.92</v>
      </c>
      <c r="L1909">
        <f t="shared" si="88"/>
        <v>542.08000000000004</v>
      </c>
      <c r="M1909" t="str">
        <f t="shared" si="89"/>
        <v>Jul-2017</v>
      </c>
    </row>
    <row r="1910" spans="1:13" x14ac:dyDescent="0.3">
      <c r="A1910" t="s">
        <v>2516</v>
      </c>
      <c r="B1910" s="1" t="s">
        <v>434</v>
      </c>
      <c r="C1910" s="1" t="s">
        <v>435</v>
      </c>
      <c r="D1910" s="1" t="s">
        <v>24</v>
      </c>
      <c r="E1910" s="5">
        <v>42723</v>
      </c>
      <c r="F1910" s="3" t="s">
        <v>25</v>
      </c>
      <c r="G1910" s="1" t="s">
        <v>550</v>
      </c>
      <c r="H1910" s="1">
        <v>700</v>
      </c>
      <c r="I1910" s="1">
        <v>602</v>
      </c>
      <c r="J1910" s="2">
        <v>0.14000000000000001</v>
      </c>
      <c r="K1910">
        <f t="shared" si="87"/>
        <v>84.28</v>
      </c>
      <c r="L1910">
        <f t="shared" si="88"/>
        <v>517.72</v>
      </c>
      <c r="M1910" t="str">
        <f t="shared" si="89"/>
        <v>Dec-2016</v>
      </c>
    </row>
    <row r="1911" spans="1:13" x14ac:dyDescent="0.3">
      <c r="A1911" t="s">
        <v>2517</v>
      </c>
      <c r="B1911" s="1" t="s">
        <v>111</v>
      </c>
      <c r="C1911" s="1" t="s">
        <v>82</v>
      </c>
      <c r="D1911" s="1" t="s">
        <v>13</v>
      </c>
      <c r="E1911" s="5">
        <v>42081</v>
      </c>
      <c r="F1911" s="3" t="s">
        <v>55</v>
      </c>
      <c r="G1911" s="1" t="s">
        <v>610</v>
      </c>
      <c r="H1911" s="1">
        <v>800</v>
      </c>
      <c r="I1911" s="1">
        <v>704</v>
      </c>
      <c r="J1911" s="2">
        <v>0.12</v>
      </c>
      <c r="K1911">
        <f t="shared" si="87"/>
        <v>84.47999999999999</v>
      </c>
      <c r="L1911">
        <f t="shared" si="88"/>
        <v>619.52</v>
      </c>
      <c r="M1911" t="str">
        <f t="shared" si="89"/>
        <v>Mar-2015</v>
      </c>
    </row>
    <row r="1912" spans="1:13" x14ac:dyDescent="0.3">
      <c r="A1912" t="s">
        <v>2518</v>
      </c>
      <c r="B1912" s="1" t="s">
        <v>227</v>
      </c>
      <c r="C1912" s="1" t="s">
        <v>228</v>
      </c>
      <c r="D1912" s="1" t="s">
        <v>24</v>
      </c>
      <c r="E1912" s="5">
        <v>42628</v>
      </c>
      <c r="F1912" s="3" t="s">
        <v>72</v>
      </c>
      <c r="G1912" s="1" t="s">
        <v>836</v>
      </c>
      <c r="H1912" s="1">
        <v>500</v>
      </c>
      <c r="I1912" s="1">
        <v>500</v>
      </c>
      <c r="J1912" s="2">
        <v>0</v>
      </c>
      <c r="K1912">
        <f t="shared" si="87"/>
        <v>0</v>
      </c>
      <c r="L1912">
        <f t="shared" si="88"/>
        <v>500</v>
      </c>
      <c r="M1912" t="str">
        <f t="shared" si="89"/>
        <v>Sep-2016</v>
      </c>
    </row>
    <row r="1913" spans="1:13" x14ac:dyDescent="0.3">
      <c r="A1913" t="s">
        <v>2519</v>
      </c>
      <c r="B1913" s="1" t="s">
        <v>205</v>
      </c>
      <c r="C1913" s="1" t="s">
        <v>206</v>
      </c>
      <c r="D1913" s="1" t="s">
        <v>24</v>
      </c>
      <c r="E1913" s="5">
        <v>42727</v>
      </c>
      <c r="F1913" s="3" t="s">
        <v>30</v>
      </c>
      <c r="G1913" s="1" t="s">
        <v>1478</v>
      </c>
      <c r="H1913" s="1">
        <v>150</v>
      </c>
      <c r="I1913" s="1">
        <v>147</v>
      </c>
      <c r="J1913" s="2">
        <v>0.02</v>
      </c>
      <c r="K1913">
        <f t="shared" si="87"/>
        <v>2.94</v>
      </c>
      <c r="L1913">
        <f t="shared" si="88"/>
        <v>144.06</v>
      </c>
      <c r="M1913" t="str">
        <f t="shared" si="89"/>
        <v>Dec-2016</v>
      </c>
    </row>
    <row r="1914" spans="1:13" x14ac:dyDescent="0.3">
      <c r="A1914" t="s">
        <v>2520</v>
      </c>
      <c r="B1914" s="1" t="s">
        <v>17</v>
      </c>
      <c r="C1914" s="1" t="s">
        <v>18</v>
      </c>
      <c r="D1914" s="1" t="s">
        <v>19</v>
      </c>
      <c r="E1914" s="5">
        <v>43069</v>
      </c>
      <c r="F1914" s="3" t="s">
        <v>41</v>
      </c>
      <c r="G1914" s="1" t="s">
        <v>493</v>
      </c>
      <c r="H1914" s="1">
        <v>30</v>
      </c>
      <c r="I1914" s="1">
        <v>29</v>
      </c>
      <c r="J1914" s="2">
        <v>3.3300000000000003E-2</v>
      </c>
      <c r="K1914">
        <f t="shared" si="87"/>
        <v>0.96570000000000011</v>
      </c>
      <c r="L1914">
        <f t="shared" si="88"/>
        <v>28.034299999999998</v>
      </c>
      <c r="M1914" t="str">
        <f t="shared" si="89"/>
        <v>Nov-2017</v>
      </c>
    </row>
    <row r="1915" spans="1:13" x14ac:dyDescent="0.3">
      <c r="A1915" t="s">
        <v>2521</v>
      </c>
      <c r="B1915" s="1" t="s">
        <v>221</v>
      </c>
      <c r="C1915" s="1" t="s">
        <v>40</v>
      </c>
      <c r="D1915" s="1" t="s">
        <v>35</v>
      </c>
      <c r="E1915" s="5">
        <v>41843</v>
      </c>
      <c r="F1915" s="3" t="s">
        <v>46</v>
      </c>
      <c r="G1915" s="1" t="s">
        <v>262</v>
      </c>
      <c r="H1915" s="1">
        <v>500</v>
      </c>
      <c r="I1915" s="1">
        <v>455</v>
      </c>
      <c r="J1915" s="2">
        <v>0.09</v>
      </c>
      <c r="K1915">
        <f t="shared" si="87"/>
        <v>40.949999999999996</v>
      </c>
      <c r="L1915">
        <f t="shared" si="88"/>
        <v>414.05</v>
      </c>
      <c r="M1915" t="str">
        <f t="shared" si="89"/>
        <v>Jul-2014</v>
      </c>
    </row>
    <row r="1916" spans="1:13" x14ac:dyDescent="0.3">
      <c r="A1916" t="s">
        <v>2522</v>
      </c>
      <c r="B1916" s="1" t="s">
        <v>270</v>
      </c>
      <c r="C1916" s="1" t="s">
        <v>271</v>
      </c>
      <c r="D1916" s="1" t="s">
        <v>35</v>
      </c>
      <c r="E1916" s="5">
        <v>42168</v>
      </c>
      <c r="F1916" s="3" t="s">
        <v>115</v>
      </c>
      <c r="G1916" s="1" t="s">
        <v>272</v>
      </c>
      <c r="H1916" s="1">
        <v>250</v>
      </c>
      <c r="I1916" s="1">
        <v>250</v>
      </c>
      <c r="J1916" s="2">
        <v>0</v>
      </c>
      <c r="K1916">
        <f t="shared" si="87"/>
        <v>0</v>
      </c>
      <c r="L1916">
        <f t="shared" si="88"/>
        <v>250</v>
      </c>
      <c r="M1916" t="str">
        <f t="shared" si="89"/>
        <v>Jun-2015</v>
      </c>
    </row>
    <row r="1917" spans="1:13" x14ac:dyDescent="0.3">
      <c r="A1917" t="s">
        <v>2523</v>
      </c>
      <c r="B1917" s="1" t="s">
        <v>11</v>
      </c>
      <c r="C1917" s="1" t="s">
        <v>12</v>
      </c>
      <c r="D1917" s="1" t="s">
        <v>13</v>
      </c>
      <c r="E1917" s="5">
        <v>42963</v>
      </c>
      <c r="F1917" s="3" t="s">
        <v>55</v>
      </c>
      <c r="G1917" s="1" t="s">
        <v>193</v>
      </c>
      <c r="H1917" s="1">
        <v>800</v>
      </c>
      <c r="I1917" s="1">
        <v>688</v>
      </c>
      <c r="J1917" s="2">
        <v>0.14000000000000001</v>
      </c>
      <c r="K1917">
        <f t="shared" si="87"/>
        <v>96.320000000000007</v>
      </c>
      <c r="L1917">
        <f t="shared" si="88"/>
        <v>591.67999999999995</v>
      </c>
      <c r="M1917" t="str">
        <f t="shared" si="89"/>
        <v>Aug-2017</v>
      </c>
    </row>
    <row r="1918" spans="1:13" x14ac:dyDescent="0.3">
      <c r="A1918" t="s">
        <v>2524</v>
      </c>
      <c r="B1918" s="1" t="s">
        <v>22</v>
      </c>
      <c r="C1918" s="1" t="s">
        <v>23</v>
      </c>
      <c r="D1918" s="1" t="s">
        <v>24</v>
      </c>
      <c r="E1918" s="5">
        <v>42146</v>
      </c>
      <c r="F1918" s="3" t="s">
        <v>36</v>
      </c>
      <c r="G1918" s="1" t="s">
        <v>310</v>
      </c>
      <c r="H1918" s="1">
        <v>50</v>
      </c>
      <c r="I1918" s="1">
        <v>44</v>
      </c>
      <c r="J1918" s="2">
        <v>0.12</v>
      </c>
      <c r="K1918">
        <f t="shared" si="87"/>
        <v>5.2799999999999994</v>
      </c>
      <c r="L1918">
        <f t="shared" si="88"/>
        <v>38.72</v>
      </c>
      <c r="M1918" t="str">
        <f t="shared" si="89"/>
        <v>May-2015</v>
      </c>
    </row>
    <row r="1919" spans="1:13" x14ac:dyDescent="0.3">
      <c r="A1919" t="s">
        <v>2525</v>
      </c>
      <c r="B1919" s="1" t="s">
        <v>124</v>
      </c>
      <c r="C1919" s="1" t="s">
        <v>40</v>
      </c>
      <c r="D1919" s="1" t="s">
        <v>35</v>
      </c>
      <c r="E1919" s="5">
        <v>41755</v>
      </c>
      <c r="F1919" s="3" t="s">
        <v>72</v>
      </c>
      <c r="G1919" s="1" t="s">
        <v>863</v>
      </c>
      <c r="H1919" s="1">
        <v>500</v>
      </c>
      <c r="I1919" s="1">
        <v>495</v>
      </c>
      <c r="J1919" s="2">
        <v>0.01</v>
      </c>
      <c r="K1919">
        <f t="shared" si="87"/>
        <v>4.95</v>
      </c>
      <c r="L1919">
        <f t="shared" si="88"/>
        <v>490.05</v>
      </c>
      <c r="M1919" t="str">
        <f t="shared" si="89"/>
        <v>Apr-2014</v>
      </c>
    </row>
    <row r="1920" spans="1:13" x14ac:dyDescent="0.3">
      <c r="A1920" t="s">
        <v>2526</v>
      </c>
      <c r="B1920" s="1" t="s">
        <v>114</v>
      </c>
      <c r="C1920" s="1" t="s">
        <v>54</v>
      </c>
      <c r="D1920" s="1" t="s">
        <v>13</v>
      </c>
      <c r="E1920" s="5">
        <v>42550</v>
      </c>
      <c r="F1920" s="3" t="s">
        <v>41</v>
      </c>
      <c r="G1920" s="1" t="s">
        <v>476</v>
      </c>
      <c r="H1920" s="1">
        <v>30</v>
      </c>
      <c r="I1920" s="1">
        <v>30</v>
      </c>
      <c r="J1920" s="2">
        <v>0</v>
      </c>
      <c r="K1920">
        <f t="shared" si="87"/>
        <v>0</v>
      </c>
      <c r="L1920">
        <f t="shared" si="88"/>
        <v>30</v>
      </c>
      <c r="M1920" t="str">
        <f t="shared" si="89"/>
        <v>Jun-2016</v>
      </c>
    </row>
    <row r="1921" spans="1:13" x14ac:dyDescent="0.3">
      <c r="A1921" t="s">
        <v>2527</v>
      </c>
      <c r="B1921" s="1" t="s">
        <v>118</v>
      </c>
      <c r="C1921" s="1" t="s">
        <v>119</v>
      </c>
      <c r="D1921" s="1" t="s">
        <v>35</v>
      </c>
      <c r="E1921" s="5">
        <v>42478</v>
      </c>
      <c r="F1921" s="3" t="s">
        <v>61</v>
      </c>
      <c r="G1921" s="1" t="s">
        <v>847</v>
      </c>
      <c r="H1921" s="1">
        <v>1000</v>
      </c>
      <c r="I1921" s="1">
        <v>670</v>
      </c>
      <c r="J1921" s="2">
        <v>0.33</v>
      </c>
      <c r="K1921">
        <f t="shared" si="87"/>
        <v>221.10000000000002</v>
      </c>
      <c r="L1921">
        <f t="shared" si="88"/>
        <v>448.9</v>
      </c>
      <c r="M1921" t="str">
        <f t="shared" si="89"/>
        <v>Apr-2016</v>
      </c>
    </row>
    <row r="1922" spans="1:13" x14ac:dyDescent="0.3">
      <c r="A1922" t="s">
        <v>2528</v>
      </c>
      <c r="B1922" s="1" t="s">
        <v>44</v>
      </c>
      <c r="C1922" s="1" t="s">
        <v>45</v>
      </c>
      <c r="D1922" s="1" t="s">
        <v>24</v>
      </c>
      <c r="E1922" s="5">
        <v>41958</v>
      </c>
      <c r="F1922" s="3" t="s">
        <v>55</v>
      </c>
      <c r="G1922" s="1" t="s">
        <v>253</v>
      </c>
      <c r="H1922" s="1">
        <v>800</v>
      </c>
      <c r="I1922" s="1">
        <v>664</v>
      </c>
      <c r="J1922" s="2">
        <v>0.17</v>
      </c>
      <c r="K1922">
        <f t="shared" si="87"/>
        <v>112.88000000000001</v>
      </c>
      <c r="L1922">
        <f t="shared" si="88"/>
        <v>551.12</v>
      </c>
      <c r="M1922" t="str">
        <f t="shared" si="89"/>
        <v>Nov-2014</v>
      </c>
    </row>
    <row r="1923" spans="1:13" x14ac:dyDescent="0.3">
      <c r="A1923" t="s">
        <v>2529</v>
      </c>
      <c r="B1923" s="1" t="s">
        <v>39</v>
      </c>
      <c r="C1923" s="1" t="s">
        <v>40</v>
      </c>
      <c r="D1923" s="1" t="s">
        <v>35</v>
      </c>
      <c r="E1923" s="5">
        <v>42576</v>
      </c>
      <c r="F1923" s="3" t="s">
        <v>122</v>
      </c>
      <c r="G1923" s="1" t="s">
        <v>1631</v>
      </c>
      <c r="H1923" s="1">
        <v>50</v>
      </c>
      <c r="I1923" s="1">
        <v>40</v>
      </c>
      <c r="J1923" s="2">
        <v>0.2</v>
      </c>
      <c r="K1923">
        <f t="shared" si="87"/>
        <v>8</v>
      </c>
      <c r="L1923">
        <f t="shared" si="88"/>
        <v>32</v>
      </c>
      <c r="M1923" t="str">
        <f t="shared" si="89"/>
        <v>Jul-2016</v>
      </c>
    </row>
    <row r="1924" spans="1:13" x14ac:dyDescent="0.3">
      <c r="A1924" t="s">
        <v>2530</v>
      </c>
      <c r="B1924" s="1" t="s">
        <v>53</v>
      </c>
      <c r="C1924" s="1" t="s">
        <v>54</v>
      </c>
      <c r="D1924" s="1" t="s">
        <v>13</v>
      </c>
      <c r="E1924" s="5">
        <v>41661</v>
      </c>
      <c r="F1924" s="3" t="s">
        <v>61</v>
      </c>
      <c r="G1924" s="1" t="s">
        <v>56</v>
      </c>
      <c r="H1924" s="1">
        <v>1000</v>
      </c>
      <c r="I1924" s="1">
        <v>890</v>
      </c>
      <c r="J1924" s="2">
        <v>0.11</v>
      </c>
      <c r="K1924">
        <f t="shared" ref="K1924:K1987" si="90">I1924*J1924</f>
        <v>97.9</v>
      </c>
      <c r="L1924">
        <f t="shared" ref="L1924:L1987" si="91">I1924-K1924</f>
        <v>792.1</v>
      </c>
      <c r="M1924" t="str">
        <f t="shared" ref="M1924:M1987" si="92">TEXT(E1924, "mmm-yyyy")</f>
        <v>Jan-2014</v>
      </c>
    </row>
    <row r="1925" spans="1:13" x14ac:dyDescent="0.3">
      <c r="A1925" t="s">
        <v>2531</v>
      </c>
      <c r="B1925" s="1" t="s">
        <v>95</v>
      </c>
      <c r="C1925" s="1" t="s">
        <v>96</v>
      </c>
      <c r="D1925" s="1" t="s">
        <v>13</v>
      </c>
      <c r="E1925" s="5">
        <v>42450</v>
      </c>
      <c r="F1925" s="3" t="s">
        <v>41</v>
      </c>
      <c r="G1925" s="1" t="s">
        <v>216</v>
      </c>
      <c r="H1925" s="1">
        <v>30</v>
      </c>
      <c r="I1925" s="1">
        <v>20</v>
      </c>
      <c r="J1925" s="2">
        <v>0.33329999999999999</v>
      </c>
      <c r="K1925">
        <f t="shared" si="90"/>
        <v>6.6659999999999995</v>
      </c>
      <c r="L1925">
        <f t="shared" si="91"/>
        <v>13.334</v>
      </c>
      <c r="M1925" t="str">
        <f t="shared" si="92"/>
        <v>Mar-2016</v>
      </c>
    </row>
    <row r="1926" spans="1:13" x14ac:dyDescent="0.3">
      <c r="A1926" t="s">
        <v>2532</v>
      </c>
      <c r="B1926" s="1" t="s">
        <v>224</v>
      </c>
      <c r="C1926" s="1" t="s">
        <v>50</v>
      </c>
      <c r="D1926" s="1" t="s">
        <v>24</v>
      </c>
      <c r="E1926" s="5">
        <v>42721</v>
      </c>
      <c r="F1926" s="3" t="s">
        <v>115</v>
      </c>
      <c r="G1926" s="1" t="s">
        <v>413</v>
      </c>
      <c r="H1926" s="1">
        <v>250</v>
      </c>
      <c r="I1926" s="1">
        <v>245</v>
      </c>
      <c r="J1926" s="2">
        <v>0.02</v>
      </c>
      <c r="K1926">
        <f t="shared" si="90"/>
        <v>4.9000000000000004</v>
      </c>
      <c r="L1926">
        <f t="shared" si="91"/>
        <v>240.1</v>
      </c>
      <c r="M1926" t="str">
        <f t="shared" si="92"/>
        <v>Dec-2016</v>
      </c>
    </row>
    <row r="1927" spans="1:13" x14ac:dyDescent="0.3">
      <c r="A1927" t="s">
        <v>2533</v>
      </c>
      <c r="B1927" s="1" t="s">
        <v>187</v>
      </c>
      <c r="C1927" s="1" t="s">
        <v>188</v>
      </c>
      <c r="D1927" s="1" t="s">
        <v>13</v>
      </c>
      <c r="E1927" s="5">
        <v>42391</v>
      </c>
      <c r="F1927" s="3" t="s">
        <v>36</v>
      </c>
      <c r="G1927" s="1" t="s">
        <v>237</v>
      </c>
      <c r="H1927" s="1">
        <v>50</v>
      </c>
      <c r="I1927" s="1">
        <v>47</v>
      </c>
      <c r="J1927" s="2">
        <v>0.06</v>
      </c>
      <c r="K1927">
        <f t="shared" si="90"/>
        <v>2.82</v>
      </c>
      <c r="L1927">
        <f t="shared" si="91"/>
        <v>44.18</v>
      </c>
      <c r="M1927" t="str">
        <f t="shared" si="92"/>
        <v>Jan-2016</v>
      </c>
    </row>
    <row r="1928" spans="1:13" x14ac:dyDescent="0.3">
      <c r="A1928" t="s">
        <v>2534</v>
      </c>
      <c r="B1928" s="1" t="s">
        <v>224</v>
      </c>
      <c r="C1928" s="1" t="s">
        <v>50</v>
      </c>
      <c r="D1928" s="1" t="s">
        <v>24</v>
      </c>
      <c r="E1928" s="5">
        <v>42637</v>
      </c>
      <c r="F1928" s="3" t="s">
        <v>14</v>
      </c>
      <c r="G1928" s="1" t="s">
        <v>631</v>
      </c>
      <c r="H1928" s="1">
        <v>80</v>
      </c>
      <c r="I1928" s="1">
        <v>73</v>
      </c>
      <c r="J1928" s="2">
        <v>8.7499999999999994E-2</v>
      </c>
      <c r="K1928">
        <f t="shared" si="90"/>
        <v>6.3874999999999993</v>
      </c>
      <c r="L1928">
        <f t="shared" si="91"/>
        <v>66.612499999999997</v>
      </c>
      <c r="M1928" t="str">
        <f t="shared" si="92"/>
        <v>Sep-2016</v>
      </c>
    </row>
    <row r="1929" spans="1:13" x14ac:dyDescent="0.3">
      <c r="A1929" t="s">
        <v>2535</v>
      </c>
      <c r="B1929" s="1" t="s">
        <v>99</v>
      </c>
      <c r="C1929" s="1" t="s">
        <v>100</v>
      </c>
      <c r="D1929" s="1" t="s">
        <v>13</v>
      </c>
      <c r="E1929" s="5">
        <v>42336</v>
      </c>
      <c r="F1929" s="3" t="s">
        <v>72</v>
      </c>
      <c r="G1929" s="1" t="s">
        <v>752</v>
      </c>
      <c r="H1929" s="1">
        <v>500</v>
      </c>
      <c r="I1929" s="1">
        <v>490</v>
      </c>
      <c r="J1929" s="2">
        <v>0.02</v>
      </c>
      <c r="K1929">
        <f t="shared" si="90"/>
        <v>9.8000000000000007</v>
      </c>
      <c r="L1929">
        <f t="shared" si="91"/>
        <v>480.2</v>
      </c>
      <c r="M1929" t="str">
        <f t="shared" si="92"/>
        <v>Nov-2015</v>
      </c>
    </row>
    <row r="1930" spans="1:13" x14ac:dyDescent="0.3">
      <c r="A1930" t="s">
        <v>2536</v>
      </c>
      <c r="B1930" s="1" t="s">
        <v>187</v>
      </c>
      <c r="C1930" s="1" t="s">
        <v>188</v>
      </c>
      <c r="D1930" s="1" t="s">
        <v>13</v>
      </c>
      <c r="E1930" s="5">
        <v>42453</v>
      </c>
      <c r="F1930" s="3" t="s">
        <v>55</v>
      </c>
      <c r="G1930" s="1" t="s">
        <v>415</v>
      </c>
      <c r="H1930" s="1">
        <v>800</v>
      </c>
      <c r="I1930" s="1">
        <v>712</v>
      </c>
      <c r="J1930" s="2">
        <v>0.11</v>
      </c>
      <c r="K1930">
        <f t="shared" si="90"/>
        <v>78.320000000000007</v>
      </c>
      <c r="L1930">
        <f t="shared" si="91"/>
        <v>633.67999999999995</v>
      </c>
      <c r="M1930" t="str">
        <f t="shared" si="92"/>
        <v>Mar-2016</v>
      </c>
    </row>
    <row r="1931" spans="1:13" x14ac:dyDescent="0.3">
      <c r="A1931" t="s">
        <v>2537</v>
      </c>
      <c r="B1931" s="1" t="s">
        <v>49</v>
      </c>
      <c r="C1931" s="1" t="s">
        <v>50</v>
      </c>
      <c r="D1931" s="1" t="s">
        <v>24</v>
      </c>
      <c r="E1931" s="5">
        <v>43325</v>
      </c>
      <c r="F1931" s="3" t="s">
        <v>61</v>
      </c>
      <c r="G1931" s="1" t="s">
        <v>699</v>
      </c>
      <c r="H1931" s="1">
        <v>1000</v>
      </c>
      <c r="I1931" s="1">
        <v>920</v>
      </c>
      <c r="J1931" s="2">
        <v>0.08</v>
      </c>
      <c r="K1931">
        <f t="shared" si="90"/>
        <v>73.600000000000009</v>
      </c>
      <c r="L1931">
        <f t="shared" si="91"/>
        <v>846.4</v>
      </c>
      <c r="M1931" t="str">
        <f t="shared" si="92"/>
        <v>Aug-2018</v>
      </c>
    </row>
    <row r="1932" spans="1:13" x14ac:dyDescent="0.3">
      <c r="A1932" t="s">
        <v>2538</v>
      </c>
      <c r="B1932" s="1" t="s">
        <v>205</v>
      </c>
      <c r="C1932" s="1" t="s">
        <v>206</v>
      </c>
      <c r="D1932" s="1" t="s">
        <v>24</v>
      </c>
      <c r="E1932" s="5">
        <v>41807</v>
      </c>
      <c r="F1932" s="3" t="s">
        <v>72</v>
      </c>
      <c r="G1932" s="1" t="s">
        <v>759</v>
      </c>
      <c r="H1932" s="1">
        <v>500</v>
      </c>
      <c r="I1932" s="1">
        <v>495</v>
      </c>
      <c r="J1932" s="2">
        <v>0.01</v>
      </c>
      <c r="K1932">
        <f t="shared" si="90"/>
        <v>4.95</v>
      </c>
      <c r="L1932">
        <f t="shared" si="91"/>
        <v>490.05</v>
      </c>
      <c r="M1932" t="str">
        <f t="shared" si="92"/>
        <v>Jun-2014</v>
      </c>
    </row>
    <row r="1933" spans="1:13" x14ac:dyDescent="0.3">
      <c r="A1933" t="s">
        <v>2539</v>
      </c>
      <c r="B1933" s="1" t="s">
        <v>49</v>
      </c>
      <c r="C1933" s="1" t="s">
        <v>50</v>
      </c>
      <c r="D1933" s="1" t="s">
        <v>24</v>
      </c>
      <c r="E1933" s="5">
        <v>43311</v>
      </c>
      <c r="F1933" s="3" t="s">
        <v>36</v>
      </c>
      <c r="G1933" s="1" t="s">
        <v>918</v>
      </c>
      <c r="H1933" s="1">
        <v>50</v>
      </c>
      <c r="I1933" s="1">
        <v>45</v>
      </c>
      <c r="J1933" s="2">
        <v>0.1</v>
      </c>
      <c r="K1933">
        <f t="shared" si="90"/>
        <v>4.5</v>
      </c>
      <c r="L1933">
        <f t="shared" si="91"/>
        <v>40.5</v>
      </c>
      <c r="M1933" t="str">
        <f t="shared" si="92"/>
        <v>Jul-2018</v>
      </c>
    </row>
    <row r="1934" spans="1:13" x14ac:dyDescent="0.3">
      <c r="A1934" t="s">
        <v>2540</v>
      </c>
      <c r="B1934" s="1" t="s">
        <v>99</v>
      </c>
      <c r="C1934" s="1" t="s">
        <v>100</v>
      </c>
      <c r="D1934" s="1" t="s">
        <v>13</v>
      </c>
      <c r="E1934" s="5">
        <v>42571</v>
      </c>
      <c r="F1934" s="3" t="s">
        <v>72</v>
      </c>
      <c r="G1934" s="1" t="s">
        <v>1090</v>
      </c>
      <c r="H1934" s="1">
        <v>500</v>
      </c>
      <c r="I1934" s="1">
        <v>490</v>
      </c>
      <c r="J1934" s="2">
        <v>0.02</v>
      </c>
      <c r="K1934">
        <f t="shared" si="90"/>
        <v>9.8000000000000007</v>
      </c>
      <c r="L1934">
        <f t="shared" si="91"/>
        <v>480.2</v>
      </c>
      <c r="M1934" t="str">
        <f t="shared" si="92"/>
        <v>Jul-2016</v>
      </c>
    </row>
    <row r="1935" spans="1:13" x14ac:dyDescent="0.3">
      <c r="A1935" t="s">
        <v>2541</v>
      </c>
      <c r="B1935" s="1" t="s">
        <v>324</v>
      </c>
      <c r="C1935" s="1" t="s">
        <v>325</v>
      </c>
      <c r="D1935" s="1" t="s">
        <v>13</v>
      </c>
      <c r="E1935" s="5">
        <v>43125</v>
      </c>
      <c r="F1935" s="3" t="s">
        <v>115</v>
      </c>
      <c r="G1935" s="1" t="s">
        <v>453</v>
      </c>
      <c r="H1935" s="1">
        <v>250</v>
      </c>
      <c r="I1935" s="1">
        <v>238</v>
      </c>
      <c r="J1935" s="2">
        <v>4.8000000000000001E-2</v>
      </c>
      <c r="K1935">
        <f t="shared" si="90"/>
        <v>11.423999999999999</v>
      </c>
      <c r="L1935">
        <f t="shared" si="91"/>
        <v>226.57599999999999</v>
      </c>
      <c r="M1935" t="str">
        <f t="shared" si="92"/>
        <v>Jan-2018</v>
      </c>
    </row>
    <row r="1936" spans="1:13" x14ac:dyDescent="0.3">
      <c r="A1936" t="s">
        <v>2542</v>
      </c>
      <c r="B1936" s="1" t="s">
        <v>187</v>
      </c>
      <c r="C1936" s="1" t="s">
        <v>188</v>
      </c>
      <c r="D1936" s="1" t="s">
        <v>13</v>
      </c>
      <c r="E1936" s="5">
        <v>43425</v>
      </c>
      <c r="F1936" s="3" t="s">
        <v>61</v>
      </c>
      <c r="G1936" s="1" t="s">
        <v>791</v>
      </c>
      <c r="H1936" s="1">
        <v>1000</v>
      </c>
      <c r="I1936" s="1">
        <v>670</v>
      </c>
      <c r="J1936" s="2">
        <v>0.33</v>
      </c>
      <c r="K1936">
        <f t="shared" si="90"/>
        <v>221.10000000000002</v>
      </c>
      <c r="L1936">
        <f t="shared" si="91"/>
        <v>448.9</v>
      </c>
      <c r="M1936" t="str">
        <f t="shared" si="92"/>
        <v>Nov-2018</v>
      </c>
    </row>
    <row r="1937" spans="1:13" x14ac:dyDescent="0.3">
      <c r="A1937" t="s">
        <v>2543</v>
      </c>
      <c r="B1937" s="1" t="s">
        <v>70</v>
      </c>
      <c r="C1937" s="1" t="s">
        <v>71</v>
      </c>
      <c r="D1937" s="1" t="s">
        <v>35</v>
      </c>
      <c r="E1937" s="5">
        <v>41817</v>
      </c>
      <c r="F1937" s="3" t="s">
        <v>14</v>
      </c>
      <c r="G1937" s="1" t="s">
        <v>962</v>
      </c>
      <c r="H1937" s="1">
        <v>80</v>
      </c>
      <c r="I1937" s="1">
        <v>72</v>
      </c>
      <c r="J1937" s="2">
        <v>0.1</v>
      </c>
      <c r="K1937">
        <f t="shared" si="90"/>
        <v>7.2</v>
      </c>
      <c r="L1937">
        <f t="shared" si="91"/>
        <v>64.8</v>
      </c>
      <c r="M1937" t="str">
        <f t="shared" si="92"/>
        <v>Jun-2014</v>
      </c>
    </row>
    <row r="1938" spans="1:13" x14ac:dyDescent="0.3">
      <c r="A1938" t="s">
        <v>2544</v>
      </c>
      <c r="B1938" s="1" t="s">
        <v>170</v>
      </c>
      <c r="C1938" s="1" t="s">
        <v>171</v>
      </c>
      <c r="D1938" s="1" t="s">
        <v>13</v>
      </c>
      <c r="E1938" s="5">
        <v>43176</v>
      </c>
      <c r="F1938" s="3" t="s">
        <v>46</v>
      </c>
      <c r="G1938" s="1" t="s">
        <v>1864</v>
      </c>
      <c r="H1938" s="1">
        <v>500</v>
      </c>
      <c r="I1938" s="1">
        <v>310</v>
      </c>
      <c r="J1938" s="2">
        <v>0.38</v>
      </c>
      <c r="K1938">
        <f t="shared" si="90"/>
        <v>117.8</v>
      </c>
      <c r="L1938">
        <f t="shared" si="91"/>
        <v>192.2</v>
      </c>
      <c r="M1938" t="str">
        <f t="shared" si="92"/>
        <v>Mar-2018</v>
      </c>
    </row>
    <row r="1939" spans="1:13" x14ac:dyDescent="0.3">
      <c r="A1939" t="s">
        <v>2545</v>
      </c>
      <c r="B1939" s="1" t="s">
        <v>270</v>
      </c>
      <c r="C1939" s="1" t="s">
        <v>271</v>
      </c>
      <c r="D1939" s="1" t="s">
        <v>35</v>
      </c>
      <c r="E1939" s="5">
        <v>42138</v>
      </c>
      <c r="F1939" s="3" t="s">
        <v>14</v>
      </c>
      <c r="G1939" s="1" t="s">
        <v>272</v>
      </c>
      <c r="H1939" s="1">
        <v>80</v>
      </c>
      <c r="I1939" s="1">
        <v>80</v>
      </c>
      <c r="J1939" s="2">
        <v>0</v>
      </c>
      <c r="K1939">
        <f t="shared" si="90"/>
        <v>0</v>
      </c>
      <c r="L1939">
        <f t="shared" si="91"/>
        <v>80</v>
      </c>
      <c r="M1939" t="str">
        <f t="shared" si="92"/>
        <v>May-2015</v>
      </c>
    </row>
    <row r="1940" spans="1:13" x14ac:dyDescent="0.3">
      <c r="A1940" t="s">
        <v>2546</v>
      </c>
      <c r="B1940" s="1" t="s">
        <v>434</v>
      </c>
      <c r="C1940" s="1" t="s">
        <v>435</v>
      </c>
      <c r="D1940" s="1" t="s">
        <v>24</v>
      </c>
      <c r="E1940" s="5">
        <v>42580</v>
      </c>
      <c r="F1940" s="3" t="s">
        <v>104</v>
      </c>
      <c r="G1940" s="1" t="s">
        <v>436</v>
      </c>
      <c r="H1940" s="1">
        <v>70</v>
      </c>
      <c r="I1940" s="1">
        <v>57</v>
      </c>
      <c r="J1940" s="2">
        <v>0.1857</v>
      </c>
      <c r="K1940">
        <f t="shared" si="90"/>
        <v>10.584900000000001</v>
      </c>
      <c r="L1940">
        <f t="shared" si="91"/>
        <v>46.415099999999995</v>
      </c>
      <c r="M1940" t="str">
        <f t="shared" si="92"/>
        <v>Jul-2016</v>
      </c>
    </row>
    <row r="1941" spans="1:13" x14ac:dyDescent="0.3">
      <c r="A1941" t="s">
        <v>2547</v>
      </c>
      <c r="B1941" s="1" t="s">
        <v>182</v>
      </c>
      <c r="C1941" s="1" t="s">
        <v>108</v>
      </c>
      <c r="D1941" s="1" t="s">
        <v>19</v>
      </c>
      <c r="E1941" s="5">
        <v>41906</v>
      </c>
      <c r="F1941" s="3" t="s">
        <v>36</v>
      </c>
      <c r="G1941" s="1" t="s">
        <v>505</v>
      </c>
      <c r="H1941" s="1">
        <v>50</v>
      </c>
      <c r="I1941" s="1">
        <v>48</v>
      </c>
      <c r="J1941" s="2">
        <v>0.04</v>
      </c>
      <c r="K1941">
        <f t="shared" si="90"/>
        <v>1.92</v>
      </c>
      <c r="L1941">
        <f t="shared" si="91"/>
        <v>46.08</v>
      </c>
      <c r="M1941" t="str">
        <f t="shared" si="92"/>
        <v>Sep-2014</v>
      </c>
    </row>
    <row r="1942" spans="1:13" x14ac:dyDescent="0.3">
      <c r="A1942" t="s">
        <v>2548</v>
      </c>
      <c r="B1942" s="1" t="s">
        <v>99</v>
      </c>
      <c r="C1942" s="1" t="s">
        <v>100</v>
      </c>
      <c r="D1942" s="1" t="s">
        <v>13</v>
      </c>
      <c r="E1942" s="5">
        <v>41986</v>
      </c>
      <c r="F1942" s="3" t="s">
        <v>30</v>
      </c>
      <c r="G1942" s="1" t="s">
        <v>752</v>
      </c>
      <c r="H1942" s="1">
        <v>150</v>
      </c>
      <c r="I1942" s="1">
        <v>128</v>
      </c>
      <c r="J1942" s="2">
        <v>0.1467</v>
      </c>
      <c r="K1942">
        <f t="shared" si="90"/>
        <v>18.7776</v>
      </c>
      <c r="L1942">
        <f t="shared" si="91"/>
        <v>109.22239999999999</v>
      </c>
      <c r="M1942" t="str">
        <f t="shared" si="92"/>
        <v>Dec-2014</v>
      </c>
    </row>
    <row r="1943" spans="1:13" x14ac:dyDescent="0.3">
      <c r="A1943" t="s">
        <v>2549</v>
      </c>
      <c r="B1943" s="1" t="s">
        <v>227</v>
      </c>
      <c r="C1943" s="1" t="s">
        <v>228</v>
      </c>
      <c r="D1943" s="1" t="s">
        <v>24</v>
      </c>
      <c r="E1943" s="5">
        <v>43266</v>
      </c>
      <c r="F1943" s="3" t="s">
        <v>72</v>
      </c>
      <c r="G1943" s="1" t="s">
        <v>2378</v>
      </c>
      <c r="H1943" s="1">
        <v>500</v>
      </c>
      <c r="I1943" s="1">
        <v>490</v>
      </c>
      <c r="J1943" s="2">
        <v>0.02</v>
      </c>
      <c r="K1943">
        <f t="shared" si="90"/>
        <v>9.8000000000000007</v>
      </c>
      <c r="L1943">
        <f t="shared" si="91"/>
        <v>480.2</v>
      </c>
      <c r="M1943" t="str">
        <f t="shared" si="92"/>
        <v>Jun-2018</v>
      </c>
    </row>
    <row r="1944" spans="1:13" x14ac:dyDescent="0.3">
      <c r="A1944" t="s">
        <v>2550</v>
      </c>
      <c r="B1944" s="1" t="s">
        <v>99</v>
      </c>
      <c r="C1944" s="1" t="s">
        <v>100</v>
      </c>
      <c r="D1944" s="1" t="s">
        <v>13</v>
      </c>
      <c r="E1944" s="5">
        <v>42838</v>
      </c>
      <c r="F1944" s="3" t="s">
        <v>30</v>
      </c>
      <c r="G1944" s="1" t="s">
        <v>752</v>
      </c>
      <c r="H1944" s="1">
        <v>150</v>
      </c>
      <c r="I1944" s="1">
        <v>120</v>
      </c>
      <c r="J1944" s="2">
        <v>0.2</v>
      </c>
      <c r="K1944">
        <f t="shared" si="90"/>
        <v>24</v>
      </c>
      <c r="L1944">
        <f t="shared" si="91"/>
        <v>96</v>
      </c>
      <c r="M1944" t="str">
        <f t="shared" si="92"/>
        <v>Apr-2017</v>
      </c>
    </row>
    <row r="1945" spans="1:13" x14ac:dyDescent="0.3">
      <c r="A1945" t="s">
        <v>2551</v>
      </c>
      <c r="B1945" s="1" t="s">
        <v>11</v>
      </c>
      <c r="C1945" s="1" t="s">
        <v>12</v>
      </c>
      <c r="D1945" s="1" t="s">
        <v>13</v>
      </c>
      <c r="E1945" s="5">
        <v>41720</v>
      </c>
      <c r="F1945" s="3" t="s">
        <v>25</v>
      </c>
      <c r="G1945" s="1" t="s">
        <v>276</v>
      </c>
      <c r="H1945" s="1">
        <v>700</v>
      </c>
      <c r="I1945" s="1">
        <v>665</v>
      </c>
      <c r="J1945" s="2">
        <v>0.05</v>
      </c>
      <c r="K1945">
        <f t="shared" si="90"/>
        <v>33.25</v>
      </c>
      <c r="L1945">
        <f t="shared" si="91"/>
        <v>631.75</v>
      </c>
      <c r="M1945" t="str">
        <f t="shared" si="92"/>
        <v>Mar-2014</v>
      </c>
    </row>
    <row r="1946" spans="1:13" x14ac:dyDescent="0.3">
      <c r="A1946" t="s">
        <v>2552</v>
      </c>
      <c r="B1946" s="1" t="s">
        <v>59</v>
      </c>
      <c r="C1946" s="1" t="s">
        <v>60</v>
      </c>
      <c r="D1946" s="1" t="s">
        <v>13</v>
      </c>
      <c r="E1946" s="5">
        <v>43144</v>
      </c>
      <c r="F1946" s="3" t="s">
        <v>55</v>
      </c>
      <c r="G1946" s="1" t="s">
        <v>312</v>
      </c>
      <c r="H1946" s="1">
        <v>800</v>
      </c>
      <c r="I1946" s="1">
        <v>480</v>
      </c>
      <c r="J1946" s="2">
        <v>0.4</v>
      </c>
      <c r="K1946">
        <f t="shared" si="90"/>
        <v>192</v>
      </c>
      <c r="L1946">
        <f t="shared" si="91"/>
        <v>288</v>
      </c>
      <c r="M1946" t="str">
        <f t="shared" si="92"/>
        <v>Feb-2018</v>
      </c>
    </row>
    <row r="1947" spans="1:13" x14ac:dyDescent="0.3">
      <c r="A1947" t="s">
        <v>2553</v>
      </c>
      <c r="B1947" s="1" t="s">
        <v>95</v>
      </c>
      <c r="C1947" s="1" t="s">
        <v>96</v>
      </c>
      <c r="D1947" s="1" t="s">
        <v>13</v>
      </c>
      <c r="E1947" s="5">
        <v>43241</v>
      </c>
      <c r="F1947" s="3" t="s">
        <v>104</v>
      </c>
      <c r="G1947" s="1" t="s">
        <v>216</v>
      </c>
      <c r="H1947" s="1">
        <v>70</v>
      </c>
      <c r="I1947" s="1">
        <v>67</v>
      </c>
      <c r="J1947" s="2">
        <v>4.2900000000000001E-2</v>
      </c>
      <c r="K1947">
        <f t="shared" si="90"/>
        <v>2.8742999999999999</v>
      </c>
      <c r="L1947">
        <f t="shared" si="91"/>
        <v>64.125699999999995</v>
      </c>
      <c r="M1947" t="str">
        <f t="shared" si="92"/>
        <v>May-2018</v>
      </c>
    </row>
    <row r="1948" spans="1:13" x14ac:dyDescent="0.3">
      <c r="A1948" t="s">
        <v>2554</v>
      </c>
      <c r="B1948" s="1" t="s">
        <v>270</v>
      </c>
      <c r="C1948" s="1" t="s">
        <v>271</v>
      </c>
      <c r="D1948" s="1" t="s">
        <v>35</v>
      </c>
      <c r="E1948" s="5">
        <v>43034</v>
      </c>
      <c r="F1948" s="3" t="s">
        <v>61</v>
      </c>
      <c r="G1948" s="1" t="s">
        <v>715</v>
      </c>
      <c r="H1948" s="1">
        <v>1000</v>
      </c>
      <c r="I1948" s="1">
        <v>680</v>
      </c>
      <c r="J1948" s="2">
        <v>0.32</v>
      </c>
      <c r="K1948">
        <f t="shared" si="90"/>
        <v>217.6</v>
      </c>
      <c r="L1948">
        <f t="shared" si="91"/>
        <v>462.4</v>
      </c>
      <c r="M1948" t="str">
        <f t="shared" si="92"/>
        <v>Oct-2017</v>
      </c>
    </row>
    <row r="1949" spans="1:13" x14ac:dyDescent="0.3">
      <c r="A1949" t="s">
        <v>2555</v>
      </c>
      <c r="B1949" s="1" t="s">
        <v>127</v>
      </c>
      <c r="C1949" s="1" t="s">
        <v>128</v>
      </c>
      <c r="D1949" s="1" t="s">
        <v>13</v>
      </c>
      <c r="E1949" s="5">
        <v>42119</v>
      </c>
      <c r="F1949" s="3" t="s">
        <v>14</v>
      </c>
      <c r="G1949" s="1" t="s">
        <v>867</v>
      </c>
      <c r="H1949" s="1">
        <v>80</v>
      </c>
      <c r="I1949" s="1">
        <v>57</v>
      </c>
      <c r="J1949" s="2">
        <v>0.28749999999999998</v>
      </c>
      <c r="K1949">
        <f t="shared" si="90"/>
        <v>16.387499999999999</v>
      </c>
      <c r="L1949">
        <f t="shared" si="91"/>
        <v>40.612499999999997</v>
      </c>
      <c r="M1949" t="str">
        <f t="shared" si="92"/>
        <v>Apr-2015</v>
      </c>
    </row>
    <row r="1950" spans="1:13" x14ac:dyDescent="0.3">
      <c r="A1950" t="s">
        <v>2556</v>
      </c>
      <c r="B1950" s="1" t="s">
        <v>174</v>
      </c>
      <c r="C1950" s="1" t="s">
        <v>175</v>
      </c>
      <c r="D1950" s="1" t="s">
        <v>13</v>
      </c>
      <c r="E1950" s="5">
        <v>43088</v>
      </c>
      <c r="F1950" s="3" t="s">
        <v>104</v>
      </c>
      <c r="G1950" s="1" t="s">
        <v>176</v>
      </c>
      <c r="H1950" s="1">
        <v>70</v>
      </c>
      <c r="I1950" s="1">
        <v>69</v>
      </c>
      <c r="J1950" s="2">
        <v>1.43E-2</v>
      </c>
      <c r="K1950">
        <f t="shared" si="90"/>
        <v>0.98670000000000002</v>
      </c>
      <c r="L1950">
        <f t="shared" si="91"/>
        <v>68.013300000000001</v>
      </c>
      <c r="M1950" t="str">
        <f t="shared" si="92"/>
        <v>Dec-2017</v>
      </c>
    </row>
    <row r="1951" spans="1:13" x14ac:dyDescent="0.3">
      <c r="A1951" t="s">
        <v>2557</v>
      </c>
      <c r="B1951" s="1" t="s">
        <v>77</v>
      </c>
      <c r="C1951" s="1" t="s">
        <v>78</v>
      </c>
      <c r="D1951" s="1" t="s">
        <v>35</v>
      </c>
      <c r="E1951" s="5">
        <v>41781</v>
      </c>
      <c r="F1951" s="3" t="s">
        <v>41</v>
      </c>
      <c r="G1951" s="1" t="s">
        <v>162</v>
      </c>
      <c r="H1951" s="1">
        <v>30</v>
      </c>
      <c r="I1951" s="1">
        <v>29</v>
      </c>
      <c r="J1951" s="2">
        <v>3.3300000000000003E-2</v>
      </c>
      <c r="K1951">
        <f t="shared" si="90"/>
        <v>0.96570000000000011</v>
      </c>
      <c r="L1951">
        <f t="shared" si="91"/>
        <v>28.034299999999998</v>
      </c>
      <c r="M1951" t="str">
        <f t="shared" si="92"/>
        <v>May-2014</v>
      </c>
    </row>
    <row r="1952" spans="1:13" x14ac:dyDescent="0.3">
      <c r="A1952" t="s">
        <v>2558</v>
      </c>
      <c r="B1952" s="1" t="s">
        <v>91</v>
      </c>
      <c r="C1952" s="1" t="s">
        <v>92</v>
      </c>
      <c r="D1952" s="1" t="s">
        <v>35</v>
      </c>
      <c r="E1952" s="5">
        <v>42033</v>
      </c>
      <c r="F1952" s="3" t="s">
        <v>25</v>
      </c>
      <c r="G1952" s="1" t="s">
        <v>939</v>
      </c>
      <c r="H1952" s="1">
        <v>700</v>
      </c>
      <c r="I1952" s="1">
        <v>665</v>
      </c>
      <c r="J1952" s="2">
        <v>0.05</v>
      </c>
      <c r="K1952">
        <f t="shared" si="90"/>
        <v>33.25</v>
      </c>
      <c r="L1952">
        <f t="shared" si="91"/>
        <v>631.75</v>
      </c>
      <c r="M1952" t="str">
        <f t="shared" si="92"/>
        <v>Jan-2015</v>
      </c>
    </row>
    <row r="1953" spans="1:13" x14ac:dyDescent="0.3">
      <c r="A1953" t="s">
        <v>2559</v>
      </c>
      <c r="B1953" s="1" t="s">
        <v>127</v>
      </c>
      <c r="C1953" s="1" t="s">
        <v>128</v>
      </c>
      <c r="D1953" s="1" t="s">
        <v>13</v>
      </c>
      <c r="E1953" s="5">
        <v>43088</v>
      </c>
      <c r="F1953" s="3" t="s">
        <v>115</v>
      </c>
      <c r="G1953" s="1" t="s">
        <v>867</v>
      </c>
      <c r="H1953" s="1">
        <v>250</v>
      </c>
      <c r="I1953" s="1">
        <v>235</v>
      </c>
      <c r="J1953" s="2">
        <v>0.06</v>
      </c>
      <c r="K1953">
        <f t="shared" si="90"/>
        <v>14.1</v>
      </c>
      <c r="L1953">
        <f t="shared" si="91"/>
        <v>220.9</v>
      </c>
      <c r="M1953" t="str">
        <f t="shared" si="92"/>
        <v>Dec-2017</v>
      </c>
    </row>
    <row r="1954" spans="1:13" x14ac:dyDescent="0.3">
      <c r="A1954" t="s">
        <v>2560</v>
      </c>
      <c r="B1954" s="1" t="s">
        <v>131</v>
      </c>
      <c r="C1954" s="1" t="s">
        <v>108</v>
      </c>
      <c r="D1954" s="1" t="s">
        <v>19</v>
      </c>
      <c r="E1954" s="5">
        <v>42052</v>
      </c>
      <c r="F1954" s="3" t="s">
        <v>115</v>
      </c>
      <c r="G1954" s="1" t="s">
        <v>536</v>
      </c>
      <c r="H1954" s="1">
        <v>250</v>
      </c>
      <c r="I1954" s="1">
        <v>218</v>
      </c>
      <c r="J1954" s="2">
        <v>0.128</v>
      </c>
      <c r="K1954">
        <f t="shared" si="90"/>
        <v>27.904</v>
      </c>
      <c r="L1954">
        <f t="shared" si="91"/>
        <v>190.096</v>
      </c>
      <c r="M1954" t="str">
        <f t="shared" si="92"/>
        <v>Feb-2015</v>
      </c>
    </row>
    <row r="1955" spans="1:13" x14ac:dyDescent="0.3">
      <c r="A1955" t="s">
        <v>2561</v>
      </c>
      <c r="B1955" s="1" t="s">
        <v>434</v>
      </c>
      <c r="C1955" s="1" t="s">
        <v>435</v>
      </c>
      <c r="D1955" s="1" t="s">
        <v>24</v>
      </c>
      <c r="E1955" s="5">
        <v>42151</v>
      </c>
      <c r="F1955" s="3" t="s">
        <v>55</v>
      </c>
      <c r="G1955" s="1" t="s">
        <v>585</v>
      </c>
      <c r="H1955" s="1">
        <v>800</v>
      </c>
      <c r="I1955" s="1">
        <v>616</v>
      </c>
      <c r="J1955" s="2">
        <v>0.23</v>
      </c>
      <c r="K1955">
        <f t="shared" si="90"/>
        <v>141.68</v>
      </c>
      <c r="L1955">
        <f t="shared" si="91"/>
        <v>474.32</v>
      </c>
      <c r="M1955" t="str">
        <f t="shared" si="92"/>
        <v>May-2015</v>
      </c>
    </row>
    <row r="1956" spans="1:13" x14ac:dyDescent="0.3">
      <c r="A1956" t="s">
        <v>2562</v>
      </c>
      <c r="B1956" s="1" t="s">
        <v>124</v>
      </c>
      <c r="C1956" s="1" t="s">
        <v>40</v>
      </c>
      <c r="D1956" s="1" t="s">
        <v>35</v>
      </c>
      <c r="E1956" s="5">
        <v>41759</v>
      </c>
      <c r="F1956" s="3" t="s">
        <v>46</v>
      </c>
      <c r="G1956" s="1" t="s">
        <v>863</v>
      </c>
      <c r="H1956" s="1">
        <v>500</v>
      </c>
      <c r="I1956" s="1">
        <v>395</v>
      </c>
      <c r="J1956" s="2">
        <v>0.21</v>
      </c>
      <c r="K1956">
        <f t="shared" si="90"/>
        <v>82.95</v>
      </c>
      <c r="L1956">
        <f t="shared" si="91"/>
        <v>312.05</v>
      </c>
      <c r="M1956" t="str">
        <f t="shared" si="92"/>
        <v>Apr-2014</v>
      </c>
    </row>
    <row r="1957" spans="1:13" x14ac:dyDescent="0.3">
      <c r="A1957" t="s">
        <v>2563</v>
      </c>
      <c r="B1957" s="1" t="s">
        <v>64</v>
      </c>
      <c r="C1957" s="1" t="s">
        <v>65</v>
      </c>
      <c r="D1957" s="1" t="s">
        <v>35</v>
      </c>
      <c r="E1957" s="5">
        <v>43459</v>
      </c>
      <c r="F1957" s="3" t="s">
        <v>104</v>
      </c>
      <c r="G1957" s="1" t="s">
        <v>529</v>
      </c>
      <c r="H1957" s="1">
        <v>70</v>
      </c>
      <c r="I1957" s="1">
        <v>69</v>
      </c>
      <c r="J1957" s="2">
        <v>1.43E-2</v>
      </c>
      <c r="K1957">
        <f t="shared" si="90"/>
        <v>0.98670000000000002</v>
      </c>
      <c r="L1957">
        <f t="shared" si="91"/>
        <v>68.013300000000001</v>
      </c>
      <c r="M1957" t="str">
        <f t="shared" si="92"/>
        <v>Dec-2018</v>
      </c>
    </row>
    <row r="1958" spans="1:13" x14ac:dyDescent="0.3">
      <c r="A1958" t="s">
        <v>2564</v>
      </c>
      <c r="B1958" s="1" t="s">
        <v>221</v>
      </c>
      <c r="C1958" s="1" t="s">
        <v>40</v>
      </c>
      <c r="D1958" s="1" t="s">
        <v>35</v>
      </c>
      <c r="E1958" s="5">
        <v>42304</v>
      </c>
      <c r="F1958" s="3" t="s">
        <v>25</v>
      </c>
      <c r="G1958" s="1" t="s">
        <v>1179</v>
      </c>
      <c r="H1958" s="1">
        <v>700</v>
      </c>
      <c r="I1958" s="1">
        <v>609</v>
      </c>
      <c r="J1958" s="2">
        <v>0.13</v>
      </c>
      <c r="K1958">
        <f t="shared" si="90"/>
        <v>79.17</v>
      </c>
      <c r="L1958">
        <f t="shared" si="91"/>
        <v>529.83000000000004</v>
      </c>
      <c r="M1958" t="str">
        <f t="shared" si="92"/>
        <v>Oct-2015</v>
      </c>
    </row>
    <row r="1959" spans="1:13" x14ac:dyDescent="0.3">
      <c r="A1959" t="s">
        <v>2565</v>
      </c>
      <c r="B1959" s="1" t="s">
        <v>264</v>
      </c>
      <c r="C1959" s="1" t="s">
        <v>265</v>
      </c>
      <c r="D1959" s="1" t="s">
        <v>13</v>
      </c>
      <c r="E1959" s="5">
        <v>42298</v>
      </c>
      <c r="F1959" s="3" t="s">
        <v>46</v>
      </c>
      <c r="G1959" s="1" t="s">
        <v>266</v>
      </c>
      <c r="H1959" s="1">
        <v>500</v>
      </c>
      <c r="I1959" s="1">
        <v>455</v>
      </c>
      <c r="J1959" s="2">
        <v>0.09</v>
      </c>
      <c r="K1959">
        <f t="shared" si="90"/>
        <v>40.949999999999996</v>
      </c>
      <c r="L1959">
        <f t="shared" si="91"/>
        <v>414.05</v>
      </c>
      <c r="M1959" t="str">
        <f t="shared" si="92"/>
        <v>Oct-2015</v>
      </c>
    </row>
    <row r="1960" spans="1:13" x14ac:dyDescent="0.3">
      <c r="A1960" t="s">
        <v>2566</v>
      </c>
      <c r="B1960" s="1" t="s">
        <v>221</v>
      </c>
      <c r="C1960" s="1" t="s">
        <v>40</v>
      </c>
      <c r="D1960" s="1" t="s">
        <v>35</v>
      </c>
      <c r="E1960" s="5">
        <v>41756</v>
      </c>
      <c r="F1960" s="3" t="s">
        <v>14</v>
      </c>
      <c r="G1960" s="1" t="s">
        <v>2567</v>
      </c>
      <c r="H1960" s="1">
        <v>80</v>
      </c>
      <c r="I1960" s="1">
        <v>73</v>
      </c>
      <c r="J1960" s="2">
        <v>8.7499999999999994E-2</v>
      </c>
      <c r="K1960">
        <f t="shared" si="90"/>
        <v>6.3874999999999993</v>
      </c>
      <c r="L1960">
        <f t="shared" si="91"/>
        <v>66.612499999999997</v>
      </c>
      <c r="M1960" t="str">
        <f t="shared" si="92"/>
        <v>Apr-2014</v>
      </c>
    </row>
    <row r="1961" spans="1:13" x14ac:dyDescent="0.3">
      <c r="A1961" t="s">
        <v>2568</v>
      </c>
      <c r="B1961" s="1" t="s">
        <v>118</v>
      </c>
      <c r="C1961" s="1" t="s">
        <v>119</v>
      </c>
      <c r="D1961" s="1" t="s">
        <v>35</v>
      </c>
      <c r="E1961" s="5">
        <v>43125</v>
      </c>
      <c r="F1961" s="3" t="s">
        <v>41</v>
      </c>
      <c r="G1961" s="1" t="s">
        <v>1681</v>
      </c>
      <c r="H1961" s="1">
        <v>30</v>
      </c>
      <c r="I1961" s="1">
        <v>29</v>
      </c>
      <c r="J1961" s="2">
        <v>3.3300000000000003E-2</v>
      </c>
      <c r="K1961">
        <f t="shared" si="90"/>
        <v>0.96570000000000011</v>
      </c>
      <c r="L1961">
        <f t="shared" si="91"/>
        <v>28.034299999999998</v>
      </c>
      <c r="M1961" t="str">
        <f t="shared" si="92"/>
        <v>Jan-2018</v>
      </c>
    </row>
    <row r="1962" spans="1:13" x14ac:dyDescent="0.3">
      <c r="A1962" t="s">
        <v>2569</v>
      </c>
      <c r="B1962" s="1" t="s">
        <v>59</v>
      </c>
      <c r="C1962" s="1" t="s">
        <v>60</v>
      </c>
      <c r="D1962" s="1" t="s">
        <v>13</v>
      </c>
      <c r="E1962" s="5">
        <v>42155</v>
      </c>
      <c r="F1962" s="3" t="s">
        <v>46</v>
      </c>
      <c r="G1962" s="1" t="s">
        <v>697</v>
      </c>
      <c r="H1962" s="1">
        <v>500</v>
      </c>
      <c r="I1962" s="1">
        <v>385</v>
      </c>
      <c r="J1962" s="2">
        <v>0.23</v>
      </c>
      <c r="K1962">
        <f t="shared" si="90"/>
        <v>88.55</v>
      </c>
      <c r="L1962">
        <f t="shared" si="91"/>
        <v>296.45</v>
      </c>
      <c r="M1962" t="str">
        <f t="shared" si="92"/>
        <v>May-2015</v>
      </c>
    </row>
    <row r="1963" spans="1:13" x14ac:dyDescent="0.3">
      <c r="A1963" t="s">
        <v>2570</v>
      </c>
      <c r="B1963" s="1" t="s">
        <v>146</v>
      </c>
      <c r="C1963" s="1" t="s">
        <v>147</v>
      </c>
      <c r="D1963" s="1" t="s">
        <v>13</v>
      </c>
      <c r="E1963" s="5">
        <v>42078</v>
      </c>
      <c r="F1963" s="3" t="s">
        <v>55</v>
      </c>
      <c r="G1963" s="1" t="s">
        <v>1318</v>
      </c>
      <c r="H1963" s="1">
        <v>800</v>
      </c>
      <c r="I1963" s="1">
        <v>768</v>
      </c>
      <c r="J1963" s="2">
        <v>0.04</v>
      </c>
      <c r="K1963">
        <f t="shared" si="90"/>
        <v>30.72</v>
      </c>
      <c r="L1963">
        <f t="shared" si="91"/>
        <v>737.28</v>
      </c>
      <c r="M1963" t="str">
        <f t="shared" si="92"/>
        <v>Mar-2015</v>
      </c>
    </row>
    <row r="1964" spans="1:13" x14ac:dyDescent="0.3">
      <c r="A1964" t="s">
        <v>2571</v>
      </c>
      <c r="B1964" s="1" t="s">
        <v>2243</v>
      </c>
      <c r="C1964" s="1" t="s">
        <v>108</v>
      </c>
      <c r="D1964" s="1" t="s">
        <v>19</v>
      </c>
      <c r="E1964" s="5">
        <v>43216</v>
      </c>
      <c r="F1964" s="3" t="s">
        <v>104</v>
      </c>
      <c r="G1964" s="1" t="s">
        <v>2572</v>
      </c>
      <c r="H1964" s="1">
        <v>70</v>
      </c>
      <c r="I1964" s="1">
        <v>53</v>
      </c>
      <c r="J1964" s="2">
        <v>0.2429</v>
      </c>
      <c r="K1964">
        <f t="shared" si="90"/>
        <v>12.873699999999999</v>
      </c>
      <c r="L1964">
        <f t="shared" si="91"/>
        <v>40.126300000000001</v>
      </c>
      <c r="M1964" t="str">
        <f t="shared" si="92"/>
        <v>Apr-2018</v>
      </c>
    </row>
    <row r="1965" spans="1:13" x14ac:dyDescent="0.3">
      <c r="A1965" t="s">
        <v>2573</v>
      </c>
      <c r="B1965" s="1" t="s">
        <v>324</v>
      </c>
      <c r="C1965" s="1" t="s">
        <v>325</v>
      </c>
      <c r="D1965" s="1" t="s">
        <v>13</v>
      </c>
      <c r="E1965" s="5">
        <v>42934</v>
      </c>
      <c r="F1965" s="3" t="s">
        <v>115</v>
      </c>
      <c r="G1965" s="1" t="s">
        <v>365</v>
      </c>
      <c r="H1965" s="1">
        <v>250</v>
      </c>
      <c r="I1965" s="1">
        <v>248</v>
      </c>
      <c r="J1965" s="2">
        <v>8.0000000000000002E-3</v>
      </c>
      <c r="K1965">
        <f t="shared" si="90"/>
        <v>1.984</v>
      </c>
      <c r="L1965">
        <f t="shared" si="91"/>
        <v>246.01599999999999</v>
      </c>
      <c r="M1965" t="str">
        <f t="shared" si="92"/>
        <v>Jul-2017</v>
      </c>
    </row>
    <row r="1966" spans="1:13" x14ac:dyDescent="0.3">
      <c r="A1966" t="s">
        <v>2574</v>
      </c>
      <c r="B1966" s="1" t="s">
        <v>127</v>
      </c>
      <c r="C1966" s="1" t="s">
        <v>128</v>
      </c>
      <c r="D1966" s="1" t="s">
        <v>13</v>
      </c>
      <c r="E1966" s="5">
        <v>42602</v>
      </c>
      <c r="F1966" s="3" t="s">
        <v>115</v>
      </c>
      <c r="G1966" s="1" t="s">
        <v>1261</v>
      </c>
      <c r="H1966" s="1">
        <v>250</v>
      </c>
      <c r="I1966" s="1">
        <v>213</v>
      </c>
      <c r="J1966" s="2">
        <v>0.14799999999999999</v>
      </c>
      <c r="K1966">
        <f t="shared" si="90"/>
        <v>31.523999999999997</v>
      </c>
      <c r="L1966">
        <f t="shared" si="91"/>
        <v>181.476</v>
      </c>
      <c r="M1966" t="str">
        <f t="shared" si="92"/>
        <v>Aug-2016</v>
      </c>
    </row>
    <row r="1967" spans="1:13" x14ac:dyDescent="0.3">
      <c r="A1967" t="s">
        <v>2575</v>
      </c>
      <c r="B1967" s="1" t="s">
        <v>227</v>
      </c>
      <c r="C1967" s="1" t="s">
        <v>228</v>
      </c>
      <c r="D1967" s="1" t="s">
        <v>24</v>
      </c>
      <c r="E1967" s="5">
        <v>42699</v>
      </c>
      <c r="F1967" s="3" t="s">
        <v>122</v>
      </c>
      <c r="G1967" s="1" t="s">
        <v>685</v>
      </c>
      <c r="H1967" s="1">
        <v>50</v>
      </c>
      <c r="I1967" s="1">
        <v>36</v>
      </c>
      <c r="J1967" s="2">
        <v>0.28000000000000003</v>
      </c>
      <c r="K1967">
        <f t="shared" si="90"/>
        <v>10.080000000000002</v>
      </c>
      <c r="L1967">
        <f t="shared" si="91"/>
        <v>25.919999999999998</v>
      </c>
      <c r="M1967" t="str">
        <f t="shared" si="92"/>
        <v>Nov-2016</v>
      </c>
    </row>
    <row r="1968" spans="1:13" x14ac:dyDescent="0.3">
      <c r="A1968" t="s">
        <v>2576</v>
      </c>
      <c r="B1968" s="1" t="s">
        <v>131</v>
      </c>
      <c r="C1968" s="1" t="s">
        <v>108</v>
      </c>
      <c r="D1968" s="1" t="s">
        <v>19</v>
      </c>
      <c r="E1968" s="5">
        <v>42700</v>
      </c>
      <c r="F1968" s="3" t="s">
        <v>104</v>
      </c>
      <c r="G1968" s="1" t="s">
        <v>546</v>
      </c>
      <c r="H1968" s="1">
        <v>70</v>
      </c>
      <c r="I1968" s="1">
        <v>66</v>
      </c>
      <c r="J1968" s="2">
        <v>5.7099999999999998E-2</v>
      </c>
      <c r="K1968">
        <f t="shared" si="90"/>
        <v>3.7685999999999997</v>
      </c>
      <c r="L1968">
        <f t="shared" si="91"/>
        <v>62.231400000000001</v>
      </c>
      <c r="M1968" t="str">
        <f t="shared" si="92"/>
        <v>Nov-2016</v>
      </c>
    </row>
    <row r="1969" spans="1:13" x14ac:dyDescent="0.3">
      <c r="A1969" t="s">
        <v>2577</v>
      </c>
      <c r="B1969" s="1" t="s">
        <v>187</v>
      </c>
      <c r="C1969" s="1" t="s">
        <v>188</v>
      </c>
      <c r="D1969" s="1" t="s">
        <v>13</v>
      </c>
      <c r="E1969" s="5">
        <v>42569</v>
      </c>
      <c r="F1969" s="3" t="s">
        <v>46</v>
      </c>
      <c r="G1969" s="1" t="s">
        <v>237</v>
      </c>
      <c r="H1969" s="1">
        <v>500</v>
      </c>
      <c r="I1969" s="1">
        <v>445</v>
      </c>
      <c r="J1969" s="2">
        <v>0.11</v>
      </c>
      <c r="K1969">
        <f t="shared" si="90"/>
        <v>48.95</v>
      </c>
      <c r="L1969">
        <f t="shared" si="91"/>
        <v>396.05</v>
      </c>
      <c r="M1969" t="str">
        <f t="shared" si="92"/>
        <v>Jul-2016</v>
      </c>
    </row>
    <row r="1970" spans="1:13" x14ac:dyDescent="0.3">
      <c r="A1970" t="s">
        <v>2578</v>
      </c>
      <c r="B1970" s="1" t="s">
        <v>85</v>
      </c>
      <c r="C1970" s="1" t="s">
        <v>86</v>
      </c>
      <c r="D1970" s="1" t="s">
        <v>13</v>
      </c>
      <c r="E1970" s="5">
        <v>42762</v>
      </c>
      <c r="F1970" s="3" t="s">
        <v>36</v>
      </c>
      <c r="G1970" s="1" t="s">
        <v>363</v>
      </c>
      <c r="H1970" s="1">
        <v>50</v>
      </c>
      <c r="I1970" s="1">
        <v>30</v>
      </c>
      <c r="J1970" s="2">
        <v>0.4</v>
      </c>
      <c r="K1970">
        <f t="shared" si="90"/>
        <v>12</v>
      </c>
      <c r="L1970">
        <f t="shared" si="91"/>
        <v>18</v>
      </c>
      <c r="M1970" t="str">
        <f t="shared" si="92"/>
        <v>Jan-2017</v>
      </c>
    </row>
    <row r="1971" spans="1:13" x14ac:dyDescent="0.3">
      <c r="A1971" t="s">
        <v>2579</v>
      </c>
      <c r="B1971" s="1" t="s">
        <v>434</v>
      </c>
      <c r="C1971" s="1" t="s">
        <v>435</v>
      </c>
      <c r="D1971" s="1" t="s">
        <v>24</v>
      </c>
      <c r="E1971" s="5">
        <v>43339</v>
      </c>
      <c r="F1971" s="3" t="s">
        <v>115</v>
      </c>
      <c r="G1971" s="1" t="s">
        <v>585</v>
      </c>
      <c r="H1971" s="1">
        <v>250</v>
      </c>
      <c r="I1971" s="1">
        <v>243</v>
      </c>
      <c r="J1971" s="2">
        <v>2.8000000000000001E-2</v>
      </c>
      <c r="K1971">
        <f t="shared" si="90"/>
        <v>6.8040000000000003</v>
      </c>
      <c r="L1971">
        <f t="shared" si="91"/>
        <v>236.196</v>
      </c>
      <c r="M1971" t="str">
        <f t="shared" si="92"/>
        <v>Aug-2018</v>
      </c>
    </row>
    <row r="1972" spans="1:13" x14ac:dyDescent="0.3">
      <c r="A1972" t="s">
        <v>2580</v>
      </c>
      <c r="B1972" s="1" t="s">
        <v>124</v>
      </c>
      <c r="C1972" s="1" t="s">
        <v>40</v>
      </c>
      <c r="D1972" s="1" t="s">
        <v>35</v>
      </c>
      <c r="E1972" s="5">
        <v>41683</v>
      </c>
      <c r="F1972" s="3" t="s">
        <v>36</v>
      </c>
      <c r="G1972" s="1" t="s">
        <v>2496</v>
      </c>
      <c r="H1972" s="1">
        <v>50</v>
      </c>
      <c r="I1972" s="1">
        <v>45</v>
      </c>
      <c r="J1972" s="2">
        <v>0.1</v>
      </c>
      <c r="K1972">
        <f t="shared" si="90"/>
        <v>4.5</v>
      </c>
      <c r="L1972">
        <f t="shared" si="91"/>
        <v>40.5</v>
      </c>
      <c r="M1972" t="str">
        <f t="shared" si="92"/>
        <v>Feb-2014</v>
      </c>
    </row>
    <row r="1973" spans="1:13" x14ac:dyDescent="0.3">
      <c r="A1973" t="s">
        <v>2581</v>
      </c>
      <c r="B1973" s="1" t="s">
        <v>174</v>
      </c>
      <c r="C1973" s="1" t="s">
        <v>175</v>
      </c>
      <c r="D1973" s="1" t="s">
        <v>13</v>
      </c>
      <c r="E1973" s="5">
        <v>42544</v>
      </c>
      <c r="F1973" s="3" t="s">
        <v>122</v>
      </c>
      <c r="G1973" s="1" t="s">
        <v>1277</v>
      </c>
      <c r="H1973" s="1">
        <v>50</v>
      </c>
      <c r="I1973" s="1">
        <v>50</v>
      </c>
      <c r="J1973" s="2">
        <v>0</v>
      </c>
      <c r="K1973">
        <f t="shared" si="90"/>
        <v>0</v>
      </c>
      <c r="L1973">
        <f t="shared" si="91"/>
        <v>50</v>
      </c>
      <c r="M1973" t="str">
        <f t="shared" si="92"/>
        <v>Jun-2016</v>
      </c>
    </row>
    <row r="1974" spans="1:13" x14ac:dyDescent="0.3">
      <c r="A1974" t="s">
        <v>2582</v>
      </c>
      <c r="B1974" s="1" t="s">
        <v>241</v>
      </c>
      <c r="C1974" s="1" t="s">
        <v>242</v>
      </c>
      <c r="D1974" s="1" t="s">
        <v>13</v>
      </c>
      <c r="E1974" s="5">
        <v>41967</v>
      </c>
      <c r="F1974" s="3" t="s">
        <v>115</v>
      </c>
      <c r="G1974" s="1" t="s">
        <v>380</v>
      </c>
      <c r="H1974" s="1">
        <v>250</v>
      </c>
      <c r="I1974" s="1">
        <v>220</v>
      </c>
      <c r="J1974" s="2">
        <v>0.12</v>
      </c>
      <c r="K1974">
        <f t="shared" si="90"/>
        <v>26.4</v>
      </c>
      <c r="L1974">
        <f t="shared" si="91"/>
        <v>193.6</v>
      </c>
      <c r="M1974" t="str">
        <f t="shared" si="92"/>
        <v>Nov-2014</v>
      </c>
    </row>
    <row r="1975" spans="1:13" x14ac:dyDescent="0.3">
      <c r="A1975" t="s">
        <v>2583</v>
      </c>
      <c r="B1975" s="1" t="s">
        <v>81</v>
      </c>
      <c r="C1975" s="1" t="s">
        <v>82</v>
      </c>
      <c r="D1975" s="1" t="s">
        <v>13</v>
      </c>
      <c r="E1975" s="5">
        <v>42998</v>
      </c>
      <c r="F1975" s="3" t="s">
        <v>46</v>
      </c>
      <c r="G1975" s="1" t="s">
        <v>556</v>
      </c>
      <c r="H1975" s="1">
        <v>500</v>
      </c>
      <c r="I1975" s="1">
        <v>450</v>
      </c>
      <c r="J1975" s="2">
        <v>0.1</v>
      </c>
      <c r="K1975">
        <f t="shared" si="90"/>
        <v>45</v>
      </c>
      <c r="L1975">
        <f t="shared" si="91"/>
        <v>405</v>
      </c>
      <c r="M1975" t="str">
        <f t="shared" si="92"/>
        <v>Sep-2017</v>
      </c>
    </row>
    <row r="1976" spans="1:13" x14ac:dyDescent="0.3">
      <c r="A1976" t="s">
        <v>2584</v>
      </c>
      <c r="B1976" s="1" t="s">
        <v>64</v>
      </c>
      <c r="C1976" s="1" t="s">
        <v>65</v>
      </c>
      <c r="D1976" s="1" t="s">
        <v>35</v>
      </c>
      <c r="E1976" s="5">
        <v>41925</v>
      </c>
      <c r="F1976" s="3" t="s">
        <v>36</v>
      </c>
      <c r="G1976" s="1" t="s">
        <v>1717</v>
      </c>
      <c r="H1976" s="1">
        <v>50</v>
      </c>
      <c r="I1976" s="1">
        <v>48</v>
      </c>
      <c r="J1976" s="2">
        <v>0.04</v>
      </c>
      <c r="K1976">
        <f t="shared" si="90"/>
        <v>1.92</v>
      </c>
      <c r="L1976">
        <f t="shared" si="91"/>
        <v>46.08</v>
      </c>
      <c r="M1976" t="str">
        <f t="shared" si="92"/>
        <v>Oct-2014</v>
      </c>
    </row>
    <row r="1977" spans="1:13" x14ac:dyDescent="0.3">
      <c r="A1977" t="s">
        <v>2585</v>
      </c>
      <c r="B1977" s="1" t="s">
        <v>124</v>
      </c>
      <c r="C1977" s="1" t="s">
        <v>40</v>
      </c>
      <c r="D1977" s="1" t="s">
        <v>35</v>
      </c>
      <c r="E1977" s="5">
        <v>42354</v>
      </c>
      <c r="F1977" s="3" t="s">
        <v>14</v>
      </c>
      <c r="G1977" s="1" t="s">
        <v>1017</v>
      </c>
      <c r="H1977" s="1">
        <v>80</v>
      </c>
      <c r="I1977" s="1">
        <v>78</v>
      </c>
      <c r="J1977" s="2">
        <v>2.5000000000000001E-2</v>
      </c>
      <c r="K1977">
        <f t="shared" si="90"/>
        <v>1.9500000000000002</v>
      </c>
      <c r="L1977">
        <f t="shared" si="91"/>
        <v>76.05</v>
      </c>
      <c r="M1977" t="str">
        <f t="shared" si="92"/>
        <v>Dec-2015</v>
      </c>
    </row>
    <row r="1978" spans="1:13" x14ac:dyDescent="0.3">
      <c r="A1978" t="s">
        <v>2586</v>
      </c>
      <c r="B1978" s="1" t="s">
        <v>11</v>
      </c>
      <c r="C1978" s="1" t="s">
        <v>12</v>
      </c>
      <c r="D1978" s="1" t="s">
        <v>13</v>
      </c>
      <c r="E1978" s="5">
        <v>41868</v>
      </c>
      <c r="F1978" s="3" t="s">
        <v>30</v>
      </c>
      <c r="G1978" s="1" t="s">
        <v>1159</v>
      </c>
      <c r="H1978" s="1">
        <v>150</v>
      </c>
      <c r="I1978" s="1">
        <v>149</v>
      </c>
      <c r="J1978" s="2">
        <v>6.7000000000000002E-3</v>
      </c>
      <c r="K1978">
        <f t="shared" si="90"/>
        <v>0.99830000000000008</v>
      </c>
      <c r="L1978">
        <f t="shared" si="91"/>
        <v>148.0017</v>
      </c>
      <c r="M1978" t="str">
        <f t="shared" si="92"/>
        <v>Aug-2014</v>
      </c>
    </row>
    <row r="1979" spans="1:13" x14ac:dyDescent="0.3">
      <c r="A1979" t="s">
        <v>2587</v>
      </c>
      <c r="B1979" s="1" t="s">
        <v>33</v>
      </c>
      <c r="C1979" s="1" t="s">
        <v>34</v>
      </c>
      <c r="D1979" s="1" t="s">
        <v>35</v>
      </c>
      <c r="E1979" s="5">
        <v>42725</v>
      </c>
      <c r="F1979" s="3" t="s">
        <v>55</v>
      </c>
      <c r="G1979" s="1" t="s">
        <v>160</v>
      </c>
      <c r="H1979" s="1">
        <v>800</v>
      </c>
      <c r="I1979" s="1">
        <v>592</v>
      </c>
      <c r="J1979" s="2">
        <v>0.26</v>
      </c>
      <c r="K1979">
        <f t="shared" si="90"/>
        <v>153.92000000000002</v>
      </c>
      <c r="L1979">
        <f t="shared" si="91"/>
        <v>438.08</v>
      </c>
      <c r="M1979" t="str">
        <f t="shared" si="92"/>
        <v>Dec-2016</v>
      </c>
    </row>
    <row r="1980" spans="1:13" x14ac:dyDescent="0.3">
      <c r="A1980" t="s">
        <v>2588</v>
      </c>
      <c r="B1980" s="1" t="s">
        <v>146</v>
      </c>
      <c r="C1980" s="1" t="s">
        <v>147</v>
      </c>
      <c r="D1980" s="1" t="s">
        <v>13</v>
      </c>
      <c r="E1980" s="5">
        <v>42631</v>
      </c>
      <c r="F1980" s="3" t="s">
        <v>55</v>
      </c>
      <c r="G1980" s="1" t="s">
        <v>1624</v>
      </c>
      <c r="H1980" s="1">
        <v>800</v>
      </c>
      <c r="I1980" s="1">
        <v>800</v>
      </c>
      <c r="J1980" s="2">
        <v>0</v>
      </c>
      <c r="K1980">
        <f t="shared" si="90"/>
        <v>0</v>
      </c>
      <c r="L1980">
        <f t="shared" si="91"/>
        <v>800</v>
      </c>
      <c r="M1980" t="str">
        <f t="shared" si="92"/>
        <v>Sep-2016</v>
      </c>
    </row>
    <row r="1981" spans="1:13" x14ac:dyDescent="0.3">
      <c r="A1981" t="s">
        <v>2589</v>
      </c>
      <c r="B1981" s="1" t="s">
        <v>227</v>
      </c>
      <c r="C1981" s="1" t="s">
        <v>228</v>
      </c>
      <c r="D1981" s="1" t="s">
        <v>24</v>
      </c>
      <c r="E1981" s="5">
        <v>41691</v>
      </c>
      <c r="F1981" s="3" t="s">
        <v>104</v>
      </c>
      <c r="G1981" s="1" t="s">
        <v>870</v>
      </c>
      <c r="H1981" s="1">
        <v>70</v>
      </c>
      <c r="I1981" s="1">
        <v>63</v>
      </c>
      <c r="J1981" s="2">
        <v>0.1</v>
      </c>
      <c r="K1981">
        <f t="shared" si="90"/>
        <v>6.3000000000000007</v>
      </c>
      <c r="L1981">
        <f t="shared" si="91"/>
        <v>56.7</v>
      </c>
      <c r="M1981" t="str">
        <f t="shared" si="92"/>
        <v>Feb-2014</v>
      </c>
    </row>
    <row r="1982" spans="1:13" x14ac:dyDescent="0.3">
      <c r="A1982" t="s">
        <v>2590</v>
      </c>
      <c r="B1982" s="1" t="s">
        <v>107</v>
      </c>
      <c r="C1982" s="1" t="s">
        <v>108</v>
      </c>
      <c r="D1982" s="1" t="s">
        <v>19</v>
      </c>
      <c r="E1982" s="5">
        <v>42483</v>
      </c>
      <c r="F1982" s="3" t="s">
        <v>25</v>
      </c>
      <c r="G1982" s="1" t="s">
        <v>946</v>
      </c>
      <c r="H1982" s="1">
        <v>700</v>
      </c>
      <c r="I1982" s="1">
        <v>651</v>
      </c>
      <c r="J1982" s="2">
        <v>7.0000000000000007E-2</v>
      </c>
      <c r="K1982">
        <f t="shared" si="90"/>
        <v>45.570000000000007</v>
      </c>
      <c r="L1982">
        <f t="shared" si="91"/>
        <v>605.42999999999995</v>
      </c>
      <c r="M1982" t="str">
        <f t="shared" si="92"/>
        <v>Apr-2016</v>
      </c>
    </row>
    <row r="1983" spans="1:13" x14ac:dyDescent="0.3">
      <c r="A1983" t="s">
        <v>2591</v>
      </c>
      <c r="B1983" s="1" t="s">
        <v>107</v>
      </c>
      <c r="C1983" s="1" t="s">
        <v>108</v>
      </c>
      <c r="D1983" s="1" t="s">
        <v>19</v>
      </c>
      <c r="E1983" s="5">
        <v>42178</v>
      </c>
      <c r="F1983" s="3" t="s">
        <v>14</v>
      </c>
      <c r="G1983" s="1" t="s">
        <v>894</v>
      </c>
      <c r="H1983" s="1">
        <v>80</v>
      </c>
      <c r="I1983" s="1">
        <v>54</v>
      </c>
      <c r="J1983" s="2">
        <v>0.32500000000000001</v>
      </c>
      <c r="K1983">
        <f t="shared" si="90"/>
        <v>17.55</v>
      </c>
      <c r="L1983">
        <f t="shared" si="91"/>
        <v>36.450000000000003</v>
      </c>
      <c r="M1983" t="str">
        <f t="shared" si="92"/>
        <v>Jun-2015</v>
      </c>
    </row>
    <row r="1984" spans="1:13" x14ac:dyDescent="0.3">
      <c r="A1984" t="s">
        <v>2592</v>
      </c>
      <c r="B1984" s="1" t="s">
        <v>49</v>
      </c>
      <c r="C1984" s="1" t="s">
        <v>50</v>
      </c>
      <c r="D1984" s="1" t="s">
        <v>24</v>
      </c>
      <c r="E1984" s="5">
        <v>41962</v>
      </c>
      <c r="F1984" s="3" t="s">
        <v>122</v>
      </c>
      <c r="G1984" s="1" t="s">
        <v>398</v>
      </c>
      <c r="H1984" s="1">
        <v>50</v>
      </c>
      <c r="I1984" s="1">
        <v>50</v>
      </c>
      <c r="J1984" s="2">
        <v>0</v>
      </c>
      <c r="K1984">
        <f t="shared" si="90"/>
        <v>0</v>
      </c>
      <c r="L1984">
        <f t="shared" si="91"/>
        <v>50</v>
      </c>
      <c r="M1984" t="str">
        <f t="shared" si="92"/>
        <v>Nov-2014</v>
      </c>
    </row>
    <row r="1985" spans="1:13" x14ac:dyDescent="0.3">
      <c r="A1985" t="s">
        <v>2593</v>
      </c>
      <c r="B1985" s="1" t="s">
        <v>91</v>
      </c>
      <c r="C1985" s="1" t="s">
        <v>92</v>
      </c>
      <c r="D1985" s="1" t="s">
        <v>35</v>
      </c>
      <c r="E1985" s="5">
        <v>42420</v>
      </c>
      <c r="F1985" s="3" t="s">
        <v>46</v>
      </c>
      <c r="G1985" s="1" t="s">
        <v>93</v>
      </c>
      <c r="H1985" s="1">
        <v>500</v>
      </c>
      <c r="I1985" s="1">
        <v>320</v>
      </c>
      <c r="J1985" s="2">
        <v>0.36</v>
      </c>
      <c r="K1985">
        <f t="shared" si="90"/>
        <v>115.19999999999999</v>
      </c>
      <c r="L1985">
        <f t="shared" si="91"/>
        <v>204.8</v>
      </c>
      <c r="M1985" t="str">
        <f t="shared" si="92"/>
        <v>Feb-2016</v>
      </c>
    </row>
    <row r="1986" spans="1:13" x14ac:dyDescent="0.3">
      <c r="A1986" t="s">
        <v>2594</v>
      </c>
      <c r="B1986" s="1" t="s">
        <v>146</v>
      </c>
      <c r="C1986" s="1" t="s">
        <v>147</v>
      </c>
      <c r="D1986" s="1" t="s">
        <v>13</v>
      </c>
      <c r="E1986" s="5">
        <v>42333</v>
      </c>
      <c r="F1986" s="3" t="s">
        <v>36</v>
      </c>
      <c r="G1986" s="1" t="s">
        <v>1334</v>
      </c>
      <c r="H1986" s="1">
        <v>50</v>
      </c>
      <c r="I1986" s="1">
        <v>43</v>
      </c>
      <c r="J1986" s="2">
        <v>0.14000000000000001</v>
      </c>
      <c r="K1986">
        <f t="shared" si="90"/>
        <v>6.0200000000000005</v>
      </c>
      <c r="L1986">
        <f t="shared" si="91"/>
        <v>36.979999999999997</v>
      </c>
      <c r="M1986" t="str">
        <f t="shared" si="92"/>
        <v>Nov-2015</v>
      </c>
    </row>
    <row r="1987" spans="1:13" x14ac:dyDescent="0.3">
      <c r="A1987" t="s">
        <v>2595</v>
      </c>
      <c r="B1987" s="1" t="s">
        <v>118</v>
      </c>
      <c r="C1987" s="1" t="s">
        <v>119</v>
      </c>
      <c r="D1987" s="1" t="s">
        <v>35</v>
      </c>
      <c r="E1987" s="5">
        <v>42849</v>
      </c>
      <c r="F1987" s="3" t="s">
        <v>14</v>
      </c>
      <c r="G1987" s="1" t="s">
        <v>909</v>
      </c>
      <c r="H1987" s="1">
        <v>80</v>
      </c>
      <c r="I1987" s="1">
        <v>78</v>
      </c>
      <c r="J1987" s="2">
        <v>2.5000000000000001E-2</v>
      </c>
      <c r="K1987">
        <f t="shared" si="90"/>
        <v>1.9500000000000002</v>
      </c>
      <c r="L1987">
        <f t="shared" si="91"/>
        <v>76.05</v>
      </c>
      <c r="M1987" t="str">
        <f t="shared" si="92"/>
        <v>Apr-2017</v>
      </c>
    </row>
    <row r="1988" spans="1:13" x14ac:dyDescent="0.3">
      <c r="A1988" t="s">
        <v>2596</v>
      </c>
      <c r="B1988" s="1" t="s">
        <v>53</v>
      </c>
      <c r="C1988" s="1" t="s">
        <v>54</v>
      </c>
      <c r="D1988" s="1" t="s">
        <v>13</v>
      </c>
      <c r="E1988" s="5">
        <v>42912</v>
      </c>
      <c r="F1988" s="3" t="s">
        <v>115</v>
      </c>
      <c r="G1988" s="1" t="s">
        <v>795</v>
      </c>
      <c r="H1988" s="1">
        <v>250</v>
      </c>
      <c r="I1988" s="1">
        <v>248</v>
      </c>
      <c r="J1988" s="2">
        <v>8.0000000000000002E-3</v>
      </c>
      <c r="K1988">
        <f t="shared" ref="K1988:K2051" si="93">I1988*J1988</f>
        <v>1.984</v>
      </c>
      <c r="L1988">
        <f t="shared" ref="L1988:L2051" si="94">I1988-K1988</f>
        <v>246.01599999999999</v>
      </c>
      <c r="M1988" t="str">
        <f t="shared" ref="M1988:M2051" si="95">TEXT(E1988, "mmm-yyyy")</f>
        <v>Jun-2017</v>
      </c>
    </row>
    <row r="1989" spans="1:13" x14ac:dyDescent="0.3">
      <c r="A1989" t="s">
        <v>2597</v>
      </c>
      <c r="B1989" s="1" t="s">
        <v>44</v>
      </c>
      <c r="C1989" s="1" t="s">
        <v>45</v>
      </c>
      <c r="D1989" s="1" t="s">
        <v>24</v>
      </c>
      <c r="E1989" s="5">
        <v>42210</v>
      </c>
      <c r="F1989" s="3" t="s">
        <v>41</v>
      </c>
      <c r="G1989" s="1" t="s">
        <v>1070</v>
      </c>
      <c r="H1989" s="1">
        <v>30</v>
      </c>
      <c r="I1989" s="1">
        <v>27</v>
      </c>
      <c r="J1989" s="2">
        <v>0.1</v>
      </c>
      <c r="K1989">
        <f t="shared" si="93"/>
        <v>2.7</v>
      </c>
      <c r="L1989">
        <f t="shared" si="94"/>
        <v>24.3</v>
      </c>
      <c r="M1989" t="str">
        <f t="shared" si="95"/>
        <v>Jul-2015</v>
      </c>
    </row>
    <row r="1990" spans="1:13" x14ac:dyDescent="0.3">
      <c r="A1990" t="s">
        <v>2598</v>
      </c>
      <c r="B1990" s="1" t="s">
        <v>255</v>
      </c>
      <c r="C1990" s="1" t="s">
        <v>256</v>
      </c>
      <c r="D1990" s="1" t="s">
        <v>13</v>
      </c>
      <c r="E1990" s="5">
        <v>41654</v>
      </c>
      <c r="F1990" s="3" t="s">
        <v>72</v>
      </c>
      <c r="G1990" s="1" t="s">
        <v>805</v>
      </c>
      <c r="H1990" s="1">
        <v>500</v>
      </c>
      <c r="I1990" s="1">
        <v>495</v>
      </c>
      <c r="J1990" s="2">
        <v>0.01</v>
      </c>
      <c r="K1990">
        <f t="shared" si="93"/>
        <v>4.95</v>
      </c>
      <c r="L1990">
        <f t="shared" si="94"/>
        <v>490.05</v>
      </c>
      <c r="M1990" t="str">
        <f t="shared" si="95"/>
        <v>Jan-2014</v>
      </c>
    </row>
    <row r="1991" spans="1:13" x14ac:dyDescent="0.3">
      <c r="A1991" t="s">
        <v>2599</v>
      </c>
      <c r="B1991" s="1" t="s">
        <v>91</v>
      </c>
      <c r="C1991" s="1" t="s">
        <v>92</v>
      </c>
      <c r="D1991" s="1" t="s">
        <v>35</v>
      </c>
      <c r="E1991" s="5">
        <v>41756</v>
      </c>
      <c r="F1991" s="3" t="s">
        <v>55</v>
      </c>
      <c r="G1991" s="1" t="s">
        <v>285</v>
      </c>
      <c r="H1991" s="1">
        <v>800</v>
      </c>
      <c r="I1991" s="1">
        <v>480</v>
      </c>
      <c r="J1991" s="2">
        <v>0.4</v>
      </c>
      <c r="K1991">
        <f t="shared" si="93"/>
        <v>192</v>
      </c>
      <c r="L1991">
        <f t="shared" si="94"/>
        <v>288</v>
      </c>
      <c r="M1991" t="str">
        <f t="shared" si="95"/>
        <v>Apr-2014</v>
      </c>
    </row>
    <row r="1992" spans="1:13" x14ac:dyDescent="0.3">
      <c r="A1992" t="s">
        <v>2600</v>
      </c>
      <c r="B1992" s="1" t="s">
        <v>157</v>
      </c>
      <c r="C1992" s="1" t="s">
        <v>108</v>
      </c>
      <c r="D1992" s="1" t="s">
        <v>19</v>
      </c>
      <c r="E1992" s="5">
        <v>42077</v>
      </c>
      <c r="F1992" s="3" t="s">
        <v>115</v>
      </c>
      <c r="G1992" s="1" t="s">
        <v>158</v>
      </c>
      <c r="H1992" s="1">
        <v>250</v>
      </c>
      <c r="I1992" s="1">
        <v>215</v>
      </c>
      <c r="J1992" s="2">
        <v>0.14000000000000001</v>
      </c>
      <c r="K1992">
        <f t="shared" si="93"/>
        <v>30.1</v>
      </c>
      <c r="L1992">
        <f t="shared" si="94"/>
        <v>184.9</v>
      </c>
      <c r="M1992" t="str">
        <f t="shared" si="95"/>
        <v>Mar-2015</v>
      </c>
    </row>
    <row r="1993" spans="1:13" x14ac:dyDescent="0.3">
      <c r="A1993" t="s">
        <v>2601</v>
      </c>
      <c r="B1993" s="1" t="s">
        <v>99</v>
      </c>
      <c r="C1993" s="1" t="s">
        <v>100</v>
      </c>
      <c r="D1993" s="1" t="s">
        <v>13</v>
      </c>
      <c r="E1993" s="5">
        <v>42511</v>
      </c>
      <c r="F1993" s="3" t="s">
        <v>46</v>
      </c>
      <c r="G1993" s="1" t="s">
        <v>1090</v>
      </c>
      <c r="H1993" s="1">
        <v>500</v>
      </c>
      <c r="I1993" s="1">
        <v>420</v>
      </c>
      <c r="J1993" s="2">
        <v>0.16</v>
      </c>
      <c r="K1993">
        <f t="shared" si="93"/>
        <v>67.2</v>
      </c>
      <c r="L1993">
        <f t="shared" si="94"/>
        <v>352.8</v>
      </c>
      <c r="M1993" t="str">
        <f t="shared" si="95"/>
        <v>May-2016</v>
      </c>
    </row>
    <row r="1994" spans="1:13" x14ac:dyDescent="0.3">
      <c r="A1994" t="s">
        <v>2602</v>
      </c>
      <c r="B1994" s="1" t="s">
        <v>324</v>
      </c>
      <c r="C1994" s="1" t="s">
        <v>325</v>
      </c>
      <c r="D1994" s="1" t="s">
        <v>13</v>
      </c>
      <c r="E1994" s="5">
        <v>43069</v>
      </c>
      <c r="F1994" s="3" t="s">
        <v>55</v>
      </c>
      <c r="G1994" s="1" t="s">
        <v>1468</v>
      </c>
      <c r="H1994" s="1">
        <v>800</v>
      </c>
      <c r="I1994" s="1">
        <v>648</v>
      </c>
      <c r="J1994" s="2">
        <v>0.19</v>
      </c>
      <c r="K1994">
        <f t="shared" si="93"/>
        <v>123.12</v>
      </c>
      <c r="L1994">
        <f t="shared" si="94"/>
        <v>524.88</v>
      </c>
      <c r="M1994" t="str">
        <f t="shared" si="95"/>
        <v>Nov-2017</v>
      </c>
    </row>
    <row r="1995" spans="1:13" x14ac:dyDescent="0.3">
      <c r="A1995" t="s">
        <v>2603</v>
      </c>
      <c r="B1995" s="1" t="s">
        <v>81</v>
      </c>
      <c r="C1995" s="1" t="s">
        <v>82</v>
      </c>
      <c r="D1995" s="1" t="s">
        <v>13</v>
      </c>
      <c r="E1995" s="5">
        <v>42542</v>
      </c>
      <c r="F1995" s="3" t="s">
        <v>36</v>
      </c>
      <c r="G1995" s="1" t="s">
        <v>1232</v>
      </c>
      <c r="H1995" s="1">
        <v>50</v>
      </c>
      <c r="I1995" s="1">
        <v>49</v>
      </c>
      <c r="J1995" s="2">
        <v>0.02</v>
      </c>
      <c r="K1995">
        <f t="shared" si="93"/>
        <v>0.98</v>
      </c>
      <c r="L1995">
        <f t="shared" si="94"/>
        <v>48.02</v>
      </c>
      <c r="M1995" t="str">
        <f t="shared" si="95"/>
        <v>Jun-2016</v>
      </c>
    </row>
    <row r="1996" spans="1:13" x14ac:dyDescent="0.3">
      <c r="A1996" t="s">
        <v>2604</v>
      </c>
      <c r="B1996" s="1" t="s">
        <v>59</v>
      </c>
      <c r="C1996" s="1" t="s">
        <v>60</v>
      </c>
      <c r="D1996" s="1" t="s">
        <v>13</v>
      </c>
      <c r="E1996" s="5">
        <v>43270</v>
      </c>
      <c r="F1996" s="3" t="s">
        <v>46</v>
      </c>
      <c r="G1996" s="1" t="s">
        <v>1842</v>
      </c>
      <c r="H1996" s="1">
        <v>500</v>
      </c>
      <c r="I1996" s="1">
        <v>465</v>
      </c>
      <c r="J1996" s="2">
        <v>7.0000000000000007E-2</v>
      </c>
      <c r="K1996">
        <f t="shared" si="93"/>
        <v>32.550000000000004</v>
      </c>
      <c r="L1996">
        <f t="shared" si="94"/>
        <v>432.45</v>
      </c>
      <c r="M1996" t="str">
        <f t="shared" si="95"/>
        <v>Jun-2018</v>
      </c>
    </row>
    <row r="1997" spans="1:13" x14ac:dyDescent="0.3">
      <c r="A1997" t="s">
        <v>2605</v>
      </c>
      <c r="B1997" s="1" t="s">
        <v>224</v>
      </c>
      <c r="C1997" s="1" t="s">
        <v>50</v>
      </c>
      <c r="D1997" s="1" t="s">
        <v>24</v>
      </c>
      <c r="E1997" s="5">
        <v>43309</v>
      </c>
      <c r="F1997" s="3" t="s">
        <v>115</v>
      </c>
      <c r="G1997" s="1" t="s">
        <v>1038</v>
      </c>
      <c r="H1997" s="1">
        <v>250</v>
      </c>
      <c r="I1997" s="1">
        <v>215</v>
      </c>
      <c r="J1997" s="2">
        <v>0.14000000000000001</v>
      </c>
      <c r="K1997">
        <f t="shared" si="93"/>
        <v>30.1</v>
      </c>
      <c r="L1997">
        <f t="shared" si="94"/>
        <v>184.9</v>
      </c>
      <c r="M1997" t="str">
        <f t="shared" si="95"/>
        <v>Jul-2018</v>
      </c>
    </row>
    <row r="1998" spans="1:13" x14ac:dyDescent="0.3">
      <c r="A1998" t="s">
        <v>2606</v>
      </c>
      <c r="B1998" s="1" t="s">
        <v>111</v>
      </c>
      <c r="C1998" s="1" t="s">
        <v>82</v>
      </c>
      <c r="D1998" s="1" t="s">
        <v>13</v>
      </c>
      <c r="E1998" s="5">
        <v>41842</v>
      </c>
      <c r="F1998" s="3" t="s">
        <v>30</v>
      </c>
      <c r="G1998" s="1" t="s">
        <v>372</v>
      </c>
      <c r="H1998" s="1">
        <v>150</v>
      </c>
      <c r="I1998" s="1">
        <v>149</v>
      </c>
      <c r="J1998" s="2">
        <v>6.7000000000000002E-3</v>
      </c>
      <c r="K1998">
        <f t="shared" si="93"/>
        <v>0.99830000000000008</v>
      </c>
      <c r="L1998">
        <f t="shared" si="94"/>
        <v>148.0017</v>
      </c>
      <c r="M1998" t="str">
        <f t="shared" si="95"/>
        <v>Jul-2014</v>
      </c>
    </row>
    <row r="1999" spans="1:13" x14ac:dyDescent="0.3">
      <c r="A1999" t="s">
        <v>2607</v>
      </c>
      <c r="B1999" s="1" t="s">
        <v>124</v>
      </c>
      <c r="C1999" s="1" t="s">
        <v>40</v>
      </c>
      <c r="D1999" s="1" t="s">
        <v>35</v>
      </c>
      <c r="E1999" s="5">
        <v>42360</v>
      </c>
      <c r="F1999" s="3" t="s">
        <v>122</v>
      </c>
      <c r="G1999" s="1" t="s">
        <v>569</v>
      </c>
      <c r="H1999" s="1">
        <v>50</v>
      </c>
      <c r="I1999" s="1">
        <v>38</v>
      </c>
      <c r="J1999" s="2">
        <v>0.24</v>
      </c>
      <c r="K1999">
        <f t="shared" si="93"/>
        <v>9.1199999999999992</v>
      </c>
      <c r="L1999">
        <f t="shared" si="94"/>
        <v>28.880000000000003</v>
      </c>
      <c r="M1999" t="str">
        <f t="shared" si="95"/>
        <v>Dec-2015</v>
      </c>
    </row>
    <row r="2000" spans="1:13" x14ac:dyDescent="0.3">
      <c r="A2000" t="s">
        <v>2608</v>
      </c>
      <c r="B2000" s="1" t="s">
        <v>77</v>
      </c>
      <c r="C2000" s="1" t="s">
        <v>78</v>
      </c>
      <c r="D2000" s="1" t="s">
        <v>35</v>
      </c>
      <c r="E2000" s="5">
        <v>43392</v>
      </c>
      <c r="F2000" s="3" t="s">
        <v>61</v>
      </c>
      <c r="G2000" s="1" t="s">
        <v>1093</v>
      </c>
      <c r="H2000" s="1">
        <v>1000</v>
      </c>
      <c r="I2000" s="1">
        <v>670</v>
      </c>
      <c r="J2000" s="2">
        <v>0.33</v>
      </c>
      <c r="K2000">
        <f t="shared" si="93"/>
        <v>221.10000000000002</v>
      </c>
      <c r="L2000">
        <f t="shared" si="94"/>
        <v>448.9</v>
      </c>
      <c r="M2000" t="str">
        <f t="shared" si="95"/>
        <v>Oct-2018</v>
      </c>
    </row>
    <row r="2001" spans="1:13" x14ac:dyDescent="0.3">
      <c r="A2001" t="s">
        <v>2609</v>
      </c>
      <c r="B2001" s="1" t="s">
        <v>77</v>
      </c>
      <c r="C2001" s="1" t="s">
        <v>78</v>
      </c>
      <c r="D2001" s="1" t="s">
        <v>35</v>
      </c>
      <c r="E2001" s="5">
        <v>42936</v>
      </c>
      <c r="F2001" s="3" t="s">
        <v>61</v>
      </c>
      <c r="G2001" s="1" t="s">
        <v>2439</v>
      </c>
      <c r="H2001" s="1">
        <v>1000</v>
      </c>
      <c r="I2001" s="1">
        <v>590</v>
      </c>
      <c r="J2001" s="2">
        <v>0.41</v>
      </c>
      <c r="K2001">
        <f t="shared" si="93"/>
        <v>241.89999999999998</v>
      </c>
      <c r="L2001">
        <f t="shared" si="94"/>
        <v>348.1</v>
      </c>
      <c r="M2001" t="str">
        <f t="shared" si="95"/>
        <v>Jul-2017</v>
      </c>
    </row>
    <row r="2002" spans="1:13" x14ac:dyDescent="0.3">
      <c r="A2002" t="s">
        <v>2610</v>
      </c>
      <c r="B2002" s="1" t="s">
        <v>270</v>
      </c>
      <c r="C2002" s="1" t="s">
        <v>271</v>
      </c>
      <c r="D2002" s="1" t="s">
        <v>35</v>
      </c>
      <c r="E2002" s="5">
        <v>42944</v>
      </c>
      <c r="F2002" s="3" t="s">
        <v>122</v>
      </c>
      <c r="G2002" s="1" t="s">
        <v>713</v>
      </c>
      <c r="H2002" s="1">
        <v>50</v>
      </c>
      <c r="I2002" s="1">
        <v>49</v>
      </c>
      <c r="J2002" s="2">
        <v>0.02</v>
      </c>
      <c r="K2002">
        <f t="shared" si="93"/>
        <v>0.98</v>
      </c>
      <c r="L2002">
        <f t="shared" si="94"/>
        <v>48.02</v>
      </c>
      <c r="M2002" t="str">
        <f t="shared" si="95"/>
        <v>Jul-2017</v>
      </c>
    </row>
    <row r="2003" spans="1:13" x14ac:dyDescent="0.3">
      <c r="A2003" t="s">
        <v>2611</v>
      </c>
      <c r="B2003" s="1" t="s">
        <v>157</v>
      </c>
      <c r="C2003" s="1" t="s">
        <v>108</v>
      </c>
      <c r="D2003" s="1" t="s">
        <v>19</v>
      </c>
      <c r="E2003" s="5">
        <v>42151</v>
      </c>
      <c r="F2003" s="3" t="s">
        <v>41</v>
      </c>
      <c r="G2003" s="1" t="s">
        <v>925</v>
      </c>
      <c r="H2003" s="1">
        <v>30</v>
      </c>
      <c r="I2003" s="1">
        <v>20</v>
      </c>
      <c r="J2003" s="2">
        <v>0.33329999999999999</v>
      </c>
      <c r="K2003">
        <f t="shared" si="93"/>
        <v>6.6659999999999995</v>
      </c>
      <c r="L2003">
        <f t="shared" si="94"/>
        <v>13.334</v>
      </c>
      <c r="M2003" t="str">
        <f t="shared" si="95"/>
        <v>May-2015</v>
      </c>
    </row>
    <row r="2004" spans="1:13" x14ac:dyDescent="0.3">
      <c r="A2004" t="s">
        <v>2612</v>
      </c>
      <c r="B2004" s="1" t="s">
        <v>146</v>
      </c>
      <c r="C2004" s="1" t="s">
        <v>147</v>
      </c>
      <c r="D2004" s="1" t="s">
        <v>13</v>
      </c>
      <c r="E2004" s="5">
        <v>41755</v>
      </c>
      <c r="F2004" s="3" t="s">
        <v>46</v>
      </c>
      <c r="G2004" s="1" t="s">
        <v>1006</v>
      </c>
      <c r="H2004" s="1">
        <v>500</v>
      </c>
      <c r="I2004" s="1">
        <v>450</v>
      </c>
      <c r="J2004" s="2">
        <v>0.1</v>
      </c>
      <c r="K2004">
        <f t="shared" si="93"/>
        <v>45</v>
      </c>
      <c r="L2004">
        <f t="shared" si="94"/>
        <v>405</v>
      </c>
      <c r="M2004" t="str">
        <f t="shared" si="95"/>
        <v>Apr-2014</v>
      </c>
    </row>
    <row r="2005" spans="1:13" x14ac:dyDescent="0.3">
      <c r="A2005" t="s">
        <v>2613</v>
      </c>
      <c r="B2005" s="1" t="s">
        <v>264</v>
      </c>
      <c r="C2005" s="1" t="s">
        <v>265</v>
      </c>
      <c r="D2005" s="1" t="s">
        <v>13</v>
      </c>
      <c r="E2005" s="5">
        <v>42417</v>
      </c>
      <c r="F2005" s="3" t="s">
        <v>72</v>
      </c>
      <c r="G2005" s="1" t="s">
        <v>599</v>
      </c>
      <c r="H2005" s="1">
        <v>500</v>
      </c>
      <c r="I2005" s="1">
        <v>490</v>
      </c>
      <c r="J2005" s="2">
        <v>0.02</v>
      </c>
      <c r="K2005">
        <f t="shared" si="93"/>
        <v>9.8000000000000007</v>
      </c>
      <c r="L2005">
        <f t="shared" si="94"/>
        <v>480.2</v>
      </c>
      <c r="M2005" t="str">
        <f t="shared" si="95"/>
        <v>Feb-2016</v>
      </c>
    </row>
    <row r="2006" spans="1:13" x14ac:dyDescent="0.3">
      <c r="A2006" t="s">
        <v>2614</v>
      </c>
      <c r="B2006" s="1" t="s">
        <v>170</v>
      </c>
      <c r="C2006" s="1" t="s">
        <v>171</v>
      </c>
      <c r="D2006" s="1" t="s">
        <v>13</v>
      </c>
      <c r="E2006" s="5">
        <v>41965</v>
      </c>
      <c r="F2006" s="3" t="s">
        <v>115</v>
      </c>
      <c r="G2006" s="1" t="s">
        <v>1100</v>
      </c>
      <c r="H2006" s="1">
        <v>250</v>
      </c>
      <c r="I2006" s="1">
        <v>103</v>
      </c>
      <c r="J2006" s="2">
        <v>0.58799999999999997</v>
      </c>
      <c r="K2006">
        <f t="shared" si="93"/>
        <v>60.564</v>
      </c>
      <c r="L2006">
        <f t="shared" si="94"/>
        <v>42.436</v>
      </c>
      <c r="M2006" t="str">
        <f t="shared" si="95"/>
        <v>Nov-2014</v>
      </c>
    </row>
    <row r="2007" spans="1:13" x14ac:dyDescent="0.3">
      <c r="A2007" t="s">
        <v>2615</v>
      </c>
      <c r="B2007" s="1" t="s">
        <v>146</v>
      </c>
      <c r="C2007" s="1" t="s">
        <v>147</v>
      </c>
      <c r="D2007" s="1" t="s">
        <v>13</v>
      </c>
      <c r="E2007" s="5">
        <v>41811</v>
      </c>
      <c r="F2007" s="3" t="s">
        <v>41</v>
      </c>
      <c r="G2007" s="1" t="s">
        <v>1006</v>
      </c>
      <c r="H2007" s="1">
        <v>30</v>
      </c>
      <c r="I2007" s="1">
        <v>26</v>
      </c>
      <c r="J2007" s="2">
        <v>0.1333</v>
      </c>
      <c r="K2007">
        <f t="shared" si="93"/>
        <v>3.4658000000000002</v>
      </c>
      <c r="L2007">
        <f t="shared" si="94"/>
        <v>22.534199999999998</v>
      </c>
      <c r="M2007" t="str">
        <f t="shared" si="95"/>
        <v>Jun-2014</v>
      </c>
    </row>
    <row r="2008" spans="1:13" x14ac:dyDescent="0.3">
      <c r="A2008" t="s">
        <v>2616</v>
      </c>
      <c r="B2008" s="1" t="s">
        <v>103</v>
      </c>
      <c r="C2008" s="1" t="s">
        <v>71</v>
      </c>
      <c r="D2008" s="1" t="s">
        <v>35</v>
      </c>
      <c r="E2008" s="5">
        <v>43034</v>
      </c>
      <c r="F2008" s="3" t="s">
        <v>61</v>
      </c>
      <c r="G2008" s="1" t="s">
        <v>497</v>
      </c>
      <c r="H2008" s="1">
        <v>1000</v>
      </c>
      <c r="I2008" s="1">
        <v>570</v>
      </c>
      <c r="J2008" s="2">
        <v>0.43</v>
      </c>
      <c r="K2008">
        <f t="shared" si="93"/>
        <v>245.1</v>
      </c>
      <c r="L2008">
        <f t="shared" si="94"/>
        <v>324.89999999999998</v>
      </c>
      <c r="M2008" t="str">
        <f t="shared" si="95"/>
        <v>Oct-2017</v>
      </c>
    </row>
    <row r="2009" spans="1:13" x14ac:dyDescent="0.3">
      <c r="A2009" t="s">
        <v>2617</v>
      </c>
      <c r="B2009" s="1" t="s">
        <v>187</v>
      </c>
      <c r="C2009" s="1" t="s">
        <v>188</v>
      </c>
      <c r="D2009" s="1" t="s">
        <v>13</v>
      </c>
      <c r="E2009" s="5">
        <v>42421</v>
      </c>
      <c r="F2009" s="3" t="s">
        <v>36</v>
      </c>
      <c r="G2009" s="1" t="s">
        <v>683</v>
      </c>
      <c r="H2009" s="1">
        <v>50</v>
      </c>
      <c r="I2009" s="1">
        <v>50</v>
      </c>
      <c r="J2009" s="2">
        <v>0</v>
      </c>
      <c r="K2009">
        <f t="shared" si="93"/>
        <v>0</v>
      </c>
      <c r="L2009">
        <f t="shared" si="94"/>
        <v>50</v>
      </c>
      <c r="M2009" t="str">
        <f t="shared" si="95"/>
        <v>Feb-2016</v>
      </c>
    </row>
    <row r="2010" spans="1:13" x14ac:dyDescent="0.3">
      <c r="A2010" t="s">
        <v>2618</v>
      </c>
      <c r="B2010" s="1" t="s">
        <v>131</v>
      </c>
      <c r="C2010" s="1" t="s">
        <v>108</v>
      </c>
      <c r="D2010" s="1" t="s">
        <v>19</v>
      </c>
      <c r="E2010" s="5">
        <v>41880</v>
      </c>
      <c r="F2010" s="3" t="s">
        <v>14</v>
      </c>
      <c r="G2010" s="1" t="s">
        <v>212</v>
      </c>
      <c r="H2010" s="1">
        <v>80</v>
      </c>
      <c r="I2010" s="1">
        <v>79</v>
      </c>
      <c r="J2010" s="2">
        <v>1.2500000000000001E-2</v>
      </c>
      <c r="K2010">
        <f t="shared" si="93"/>
        <v>0.98750000000000004</v>
      </c>
      <c r="L2010">
        <f t="shared" si="94"/>
        <v>78.012500000000003</v>
      </c>
      <c r="M2010" t="str">
        <f t="shared" si="95"/>
        <v>Aug-2014</v>
      </c>
    </row>
    <row r="2011" spans="1:13" x14ac:dyDescent="0.3">
      <c r="A2011" t="s">
        <v>2619</v>
      </c>
      <c r="B2011" s="1" t="s">
        <v>150</v>
      </c>
      <c r="C2011" s="1" t="s">
        <v>151</v>
      </c>
      <c r="D2011" s="1" t="s">
        <v>13</v>
      </c>
      <c r="E2011" s="5">
        <v>43424</v>
      </c>
      <c r="F2011" s="3" t="s">
        <v>41</v>
      </c>
      <c r="G2011" s="1" t="s">
        <v>824</v>
      </c>
      <c r="H2011" s="1">
        <v>30</v>
      </c>
      <c r="I2011" s="1">
        <v>27</v>
      </c>
      <c r="J2011" s="2">
        <v>0.1</v>
      </c>
      <c r="K2011">
        <f t="shared" si="93"/>
        <v>2.7</v>
      </c>
      <c r="L2011">
        <f t="shared" si="94"/>
        <v>24.3</v>
      </c>
      <c r="M2011" t="str">
        <f t="shared" si="95"/>
        <v>Nov-2018</v>
      </c>
    </row>
    <row r="2012" spans="1:13" x14ac:dyDescent="0.3">
      <c r="A2012" t="s">
        <v>2620</v>
      </c>
      <c r="B2012" s="1" t="s">
        <v>205</v>
      </c>
      <c r="C2012" s="1" t="s">
        <v>206</v>
      </c>
      <c r="D2012" s="1" t="s">
        <v>24</v>
      </c>
      <c r="E2012" s="5">
        <v>43233</v>
      </c>
      <c r="F2012" s="3" t="s">
        <v>61</v>
      </c>
      <c r="G2012" s="1" t="s">
        <v>1872</v>
      </c>
      <c r="H2012" s="1">
        <v>1000</v>
      </c>
      <c r="I2012" s="1">
        <v>800</v>
      </c>
      <c r="J2012" s="2">
        <v>0.2</v>
      </c>
      <c r="K2012">
        <f t="shared" si="93"/>
        <v>160</v>
      </c>
      <c r="L2012">
        <f t="shared" si="94"/>
        <v>640</v>
      </c>
      <c r="M2012" t="str">
        <f t="shared" si="95"/>
        <v>May-2018</v>
      </c>
    </row>
    <row r="2013" spans="1:13" x14ac:dyDescent="0.3">
      <c r="A2013" t="s">
        <v>2621</v>
      </c>
      <c r="B2013" s="1" t="s">
        <v>170</v>
      </c>
      <c r="C2013" s="1" t="s">
        <v>171</v>
      </c>
      <c r="D2013" s="1" t="s">
        <v>13</v>
      </c>
      <c r="E2013" s="5">
        <v>42997</v>
      </c>
      <c r="F2013" s="3" t="s">
        <v>36</v>
      </c>
      <c r="G2013" s="1" t="s">
        <v>172</v>
      </c>
      <c r="H2013" s="1">
        <v>50</v>
      </c>
      <c r="I2013" s="1">
        <v>46</v>
      </c>
      <c r="J2013" s="2">
        <v>0.08</v>
      </c>
      <c r="K2013">
        <f t="shared" si="93"/>
        <v>3.68</v>
      </c>
      <c r="L2013">
        <f t="shared" si="94"/>
        <v>42.32</v>
      </c>
      <c r="M2013" t="str">
        <f t="shared" si="95"/>
        <v>Sep-2017</v>
      </c>
    </row>
    <row r="2014" spans="1:13" x14ac:dyDescent="0.3">
      <c r="A2014" t="s">
        <v>2622</v>
      </c>
      <c r="B2014" s="1" t="s">
        <v>131</v>
      </c>
      <c r="C2014" s="1" t="s">
        <v>108</v>
      </c>
      <c r="D2014" s="1" t="s">
        <v>19</v>
      </c>
      <c r="E2014" s="5">
        <v>43342</v>
      </c>
      <c r="F2014" s="3" t="s">
        <v>55</v>
      </c>
      <c r="G2014" s="1" t="s">
        <v>546</v>
      </c>
      <c r="H2014" s="1">
        <v>800</v>
      </c>
      <c r="I2014" s="1">
        <v>440</v>
      </c>
      <c r="J2014" s="2">
        <v>0.45</v>
      </c>
      <c r="K2014">
        <f t="shared" si="93"/>
        <v>198</v>
      </c>
      <c r="L2014">
        <f t="shared" si="94"/>
        <v>242</v>
      </c>
      <c r="M2014" t="str">
        <f t="shared" si="95"/>
        <v>Aug-2018</v>
      </c>
    </row>
    <row r="2015" spans="1:13" x14ac:dyDescent="0.3">
      <c r="A2015" t="s">
        <v>2623</v>
      </c>
      <c r="B2015" s="1" t="s">
        <v>17</v>
      </c>
      <c r="C2015" s="1" t="s">
        <v>18</v>
      </c>
      <c r="D2015" s="1" t="s">
        <v>19</v>
      </c>
      <c r="E2015" s="5">
        <v>43209</v>
      </c>
      <c r="F2015" s="3" t="s">
        <v>14</v>
      </c>
      <c r="G2015" s="1" t="s">
        <v>776</v>
      </c>
      <c r="H2015" s="1">
        <v>80</v>
      </c>
      <c r="I2015" s="1">
        <v>71</v>
      </c>
      <c r="J2015" s="2">
        <v>0.1125</v>
      </c>
      <c r="K2015">
        <f t="shared" si="93"/>
        <v>7.9874999999999998</v>
      </c>
      <c r="L2015">
        <f t="shared" si="94"/>
        <v>63.012500000000003</v>
      </c>
      <c r="M2015" t="str">
        <f t="shared" si="95"/>
        <v>Apr-2018</v>
      </c>
    </row>
    <row r="2016" spans="1:13" x14ac:dyDescent="0.3">
      <c r="A2016" t="s">
        <v>2624</v>
      </c>
      <c r="B2016" s="1" t="s">
        <v>131</v>
      </c>
      <c r="C2016" s="1" t="s">
        <v>108</v>
      </c>
      <c r="D2016" s="1" t="s">
        <v>19</v>
      </c>
      <c r="E2016" s="5">
        <v>42673</v>
      </c>
      <c r="F2016" s="3" t="s">
        <v>55</v>
      </c>
      <c r="G2016" s="1" t="s">
        <v>536</v>
      </c>
      <c r="H2016" s="1">
        <v>800</v>
      </c>
      <c r="I2016" s="1">
        <v>512</v>
      </c>
      <c r="J2016" s="2">
        <v>0.36</v>
      </c>
      <c r="K2016">
        <f t="shared" si="93"/>
        <v>184.32</v>
      </c>
      <c r="L2016">
        <f t="shared" si="94"/>
        <v>327.68</v>
      </c>
      <c r="M2016" t="str">
        <f t="shared" si="95"/>
        <v>Oct-2016</v>
      </c>
    </row>
    <row r="2017" spans="1:13" x14ac:dyDescent="0.3">
      <c r="A2017" t="s">
        <v>2625</v>
      </c>
      <c r="B2017" s="1" t="s">
        <v>44</v>
      </c>
      <c r="C2017" s="1" t="s">
        <v>45</v>
      </c>
      <c r="D2017" s="1" t="s">
        <v>24</v>
      </c>
      <c r="E2017" s="5">
        <v>42301</v>
      </c>
      <c r="F2017" s="3" t="s">
        <v>14</v>
      </c>
      <c r="G2017" s="1" t="s">
        <v>431</v>
      </c>
      <c r="H2017" s="1">
        <v>80</v>
      </c>
      <c r="I2017" s="1">
        <v>77</v>
      </c>
      <c r="J2017" s="2">
        <v>3.7499999999999999E-2</v>
      </c>
      <c r="K2017">
        <f t="shared" si="93"/>
        <v>2.8874999999999997</v>
      </c>
      <c r="L2017">
        <f t="shared" si="94"/>
        <v>74.112499999999997</v>
      </c>
      <c r="M2017" t="str">
        <f t="shared" si="95"/>
        <v>Oct-2015</v>
      </c>
    </row>
    <row r="2018" spans="1:13" x14ac:dyDescent="0.3">
      <c r="A2018" t="s">
        <v>2626</v>
      </c>
      <c r="B2018" s="1" t="s">
        <v>270</v>
      </c>
      <c r="C2018" s="1" t="s">
        <v>271</v>
      </c>
      <c r="D2018" s="1" t="s">
        <v>35</v>
      </c>
      <c r="E2018" s="5">
        <v>42426</v>
      </c>
      <c r="F2018" s="3" t="s">
        <v>72</v>
      </c>
      <c r="G2018" s="1" t="s">
        <v>272</v>
      </c>
      <c r="H2018" s="1">
        <v>500</v>
      </c>
      <c r="I2018" s="1">
        <v>490</v>
      </c>
      <c r="J2018" s="2">
        <v>0.02</v>
      </c>
      <c r="K2018">
        <f t="shared" si="93"/>
        <v>9.8000000000000007</v>
      </c>
      <c r="L2018">
        <f t="shared" si="94"/>
        <v>480.2</v>
      </c>
      <c r="M2018" t="str">
        <f t="shared" si="95"/>
        <v>Feb-2016</v>
      </c>
    </row>
    <row r="2019" spans="1:13" x14ac:dyDescent="0.3">
      <c r="A2019" t="s">
        <v>2627</v>
      </c>
      <c r="B2019" s="1" t="s">
        <v>53</v>
      </c>
      <c r="C2019" s="1" t="s">
        <v>54</v>
      </c>
      <c r="D2019" s="1" t="s">
        <v>13</v>
      </c>
      <c r="E2019" s="5">
        <v>43397</v>
      </c>
      <c r="F2019" s="3" t="s">
        <v>61</v>
      </c>
      <c r="G2019" s="1" t="s">
        <v>56</v>
      </c>
      <c r="H2019" s="1">
        <v>1000</v>
      </c>
      <c r="I2019" s="1">
        <v>920</v>
      </c>
      <c r="J2019" s="2">
        <v>0.08</v>
      </c>
      <c r="K2019">
        <f t="shared" si="93"/>
        <v>73.600000000000009</v>
      </c>
      <c r="L2019">
        <f t="shared" si="94"/>
        <v>846.4</v>
      </c>
      <c r="M2019" t="str">
        <f t="shared" si="95"/>
        <v>Oct-2018</v>
      </c>
    </row>
    <row r="2020" spans="1:13" x14ac:dyDescent="0.3">
      <c r="A2020" t="s">
        <v>2628</v>
      </c>
      <c r="B2020" s="1" t="s">
        <v>59</v>
      </c>
      <c r="C2020" s="1" t="s">
        <v>60</v>
      </c>
      <c r="D2020" s="1" t="s">
        <v>13</v>
      </c>
      <c r="E2020" s="5">
        <v>43203</v>
      </c>
      <c r="F2020" s="3" t="s">
        <v>61</v>
      </c>
      <c r="G2020" s="1" t="s">
        <v>697</v>
      </c>
      <c r="H2020" s="1">
        <v>1000</v>
      </c>
      <c r="I2020" s="1">
        <v>740</v>
      </c>
      <c r="J2020" s="2">
        <v>0.26</v>
      </c>
      <c r="K2020">
        <f t="shared" si="93"/>
        <v>192.4</v>
      </c>
      <c r="L2020">
        <f t="shared" si="94"/>
        <v>547.6</v>
      </c>
      <c r="M2020" t="str">
        <f t="shared" si="95"/>
        <v>Apr-2018</v>
      </c>
    </row>
    <row r="2021" spans="1:13" x14ac:dyDescent="0.3">
      <c r="A2021" t="s">
        <v>2629</v>
      </c>
      <c r="B2021" s="1" t="s">
        <v>95</v>
      </c>
      <c r="C2021" s="1" t="s">
        <v>96</v>
      </c>
      <c r="D2021" s="1" t="s">
        <v>13</v>
      </c>
      <c r="E2021" s="5">
        <v>41660</v>
      </c>
      <c r="F2021" s="3" t="s">
        <v>46</v>
      </c>
      <c r="G2021" s="1" t="s">
        <v>731</v>
      </c>
      <c r="H2021" s="1">
        <v>500</v>
      </c>
      <c r="I2021" s="1">
        <v>450</v>
      </c>
      <c r="J2021" s="2">
        <v>0.1</v>
      </c>
      <c r="K2021">
        <f t="shared" si="93"/>
        <v>45</v>
      </c>
      <c r="L2021">
        <f t="shared" si="94"/>
        <v>405</v>
      </c>
      <c r="M2021" t="str">
        <f t="shared" si="95"/>
        <v>Jan-2014</v>
      </c>
    </row>
    <row r="2022" spans="1:13" x14ac:dyDescent="0.3">
      <c r="A2022" t="s">
        <v>2630</v>
      </c>
      <c r="B2022" s="1" t="s">
        <v>221</v>
      </c>
      <c r="C2022" s="1" t="s">
        <v>40</v>
      </c>
      <c r="D2022" s="1" t="s">
        <v>35</v>
      </c>
      <c r="E2022" s="5">
        <v>42507</v>
      </c>
      <c r="F2022" s="3" t="s">
        <v>41</v>
      </c>
      <c r="G2022" s="1" t="s">
        <v>2425</v>
      </c>
      <c r="H2022" s="1">
        <v>30</v>
      </c>
      <c r="I2022" s="1">
        <v>30</v>
      </c>
      <c r="J2022" s="2">
        <v>0</v>
      </c>
      <c r="K2022">
        <f t="shared" si="93"/>
        <v>0</v>
      </c>
      <c r="L2022">
        <f t="shared" si="94"/>
        <v>30</v>
      </c>
      <c r="M2022" t="str">
        <f t="shared" si="95"/>
        <v>May-2016</v>
      </c>
    </row>
    <row r="2023" spans="1:13" x14ac:dyDescent="0.3">
      <c r="A2023" t="s">
        <v>2631</v>
      </c>
      <c r="B2023" s="1" t="s">
        <v>111</v>
      </c>
      <c r="C2023" s="1" t="s">
        <v>82</v>
      </c>
      <c r="D2023" s="1" t="s">
        <v>13</v>
      </c>
      <c r="E2023" s="5">
        <v>42634</v>
      </c>
      <c r="F2023" s="3" t="s">
        <v>104</v>
      </c>
      <c r="G2023" s="1" t="s">
        <v>826</v>
      </c>
      <c r="H2023" s="1">
        <v>70</v>
      </c>
      <c r="I2023" s="1">
        <v>56</v>
      </c>
      <c r="J2023" s="2">
        <v>0.2</v>
      </c>
      <c r="K2023">
        <f t="shared" si="93"/>
        <v>11.200000000000001</v>
      </c>
      <c r="L2023">
        <f t="shared" si="94"/>
        <v>44.8</v>
      </c>
      <c r="M2023" t="str">
        <f t="shared" si="95"/>
        <v>Sep-2016</v>
      </c>
    </row>
    <row r="2024" spans="1:13" x14ac:dyDescent="0.3">
      <c r="A2024" t="s">
        <v>2632</v>
      </c>
      <c r="B2024" s="1" t="s">
        <v>2170</v>
      </c>
      <c r="C2024" s="1" t="s">
        <v>18</v>
      </c>
      <c r="D2024" s="1" t="s">
        <v>19</v>
      </c>
      <c r="E2024" s="5">
        <v>42875</v>
      </c>
      <c r="F2024" s="3" t="s">
        <v>61</v>
      </c>
      <c r="G2024" s="1" t="s">
        <v>2363</v>
      </c>
      <c r="H2024" s="1">
        <v>1000</v>
      </c>
      <c r="I2024" s="1">
        <v>560</v>
      </c>
      <c r="J2024" s="2">
        <v>0.44</v>
      </c>
      <c r="K2024">
        <f t="shared" si="93"/>
        <v>246.4</v>
      </c>
      <c r="L2024">
        <f t="shared" si="94"/>
        <v>313.60000000000002</v>
      </c>
      <c r="M2024" t="str">
        <f t="shared" si="95"/>
        <v>May-2017</v>
      </c>
    </row>
    <row r="2025" spans="1:13" x14ac:dyDescent="0.3">
      <c r="A2025" t="s">
        <v>2633</v>
      </c>
      <c r="B2025" s="1" t="s">
        <v>111</v>
      </c>
      <c r="C2025" s="1" t="s">
        <v>82</v>
      </c>
      <c r="D2025" s="1" t="s">
        <v>13</v>
      </c>
      <c r="E2025" s="5">
        <v>43450</v>
      </c>
      <c r="F2025" s="3" t="s">
        <v>122</v>
      </c>
      <c r="G2025" s="1" t="s">
        <v>372</v>
      </c>
      <c r="H2025" s="1">
        <v>50</v>
      </c>
      <c r="I2025" s="1">
        <v>48</v>
      </c>
      <c r="J2025" s="2">
        <v>0.04</v>
      </c>
      <c r="K2025">
        <f t="shared" si="93"/>
        <v>1.92</v>
      </c>
      <c r="L2025">
        <f t="shared" si="94"/>
        <v>46.08</v>
      </c>
      <c r="M2025" t="str">
        <f t="shared" si="95"/>
        <v>Dec-2018</v>
      </c>
    </row>
    <row r="2026" spans="1:13" x14ac:dyDescent="0.3">
      <c r="A2026" t="s">
        <v>2634</v>
      </c>
      <c r="B2026" s="1" t="s">
        <v>77</v>
      </c>
      <c r="C2026" s="1" t="s">
        <v>78</v>
      </c>
      <c r="D2026" s="1" t="s">
        <v>35</v>
      </c>
      <c r="E2026" s="5">
        <v>42054</v>
      </c>
      <c r="F2026" s="3" t="s">
        <v>46</v>
      </c>
      <c r="G2026" s="1" t="s">
        <v>1093</v>
      </c>
      <c r="H2026" s="1">
        <v>500</v>
      </c>
      <c r="I2026" s="1">
        <v>490</v>
      </c>
      <c r="J2026" s="2">
        <v>0.02</v>
      </c>
      <c r="K2026">
        <f t="shared" si="93"/>
        <v>9.8000000000000007</v>
      </c>
      <c r="L2026">
        <f t="shared" si="94"/>
        <v>480.2</v>
      </c>
      <c r="M2026" t="str">
        <f t="shared" si="95"/>
        <v>Feb-2015</v>
      </c>
    </row>
    <row r="2027" spans="1:13" x14ac:dyDescent="0.3">
      <c r="A2027" t="s">
        <v>2635</v>
      </c>
      <c r="B2027" s="1" t="s">
        <v>53</v>
      </c>
      <c r="C2027" s="1" t="s">
        <v>54</v>
      </c>
      <c r="D2027" s="1" t="s">
        <v>13</v>
      </c>
      <c r="E2027" s="5">
        <v>41926</v>
      </c>
      <c r="F2027" s="3" t="s">
        <v>72</v>
      </c>
      <c r="G2027" s="1" t="s">
        <v>404</v>
      </c>
      <c r="H2027" s="1">
        <v>500</v>
      </c>
      <c r="I2027" s="1">
        <v>500</v>
      </c>
      <c r="J2027" s="2">
        <v>0</v>
      </c>
      <c r="K2027">
        <f t="shared" si="93"/>
        <v>0</v>
      </c>
      <c r="L2027">
        <f t="shared" si="94"/>
        <v>500</v>
      </c>
      <c r="M2027" t="str">
        <f t="shared" si="95"/>
        <v>Oct-2014</v>
      </c>
    </row>
    <row r="2028" spans="1:13" x14ac:dyDescent="0.3">
      <c r="A2028" t="s">
        <v>2636</v>
      </c>
      <c r="B2028" s="1" t="s">
        <v>157</v>
      </c>
      <c r="C2028" s="1" t="s">
        <v>108</v>
      </c>
      <c r="D2028" s="1" t="s">
        <v>19</v>
      </c>
      <c r="E2028" s="5">
        <v>41965</v>
      </c>
      <c r="F2028" s="3" t="s">
        <v>72</v>
      </c>
      <c r="G2028" s="1" t="s">
        <v>1286</v>
      </c>
      <c r="H2028" s="1">
        <v>500</v>
      </c>
      <c r="I2028" s="1">
        <v>490</v>
      </c>
      <c r="J2028" s="2">
        <v>0.02</v>
      </c>
      <c r="K2028">
        <f t="shared" si="93"/>
        <v>9.8000000000000007</v>
      </c>
      <c r="L2028">
        <f t="shared" si="94"/>
        <v>480.2</v>
      </c>
      <c r="M2028" t="str">
        <f t="shared" si="95"/>
        <v>Nov-2014</v>
      </c>
    </row>
    <row r="2029" spans="1:13" x14ac:dyDescent="0.3">
      <c r="A2029" t="s">
        <v>2637</v>
      </c>
      <c r="B2029" s="1" t="s">
        <v>2191</v>
      </c>
      <c r="C2029" s="1" t="s">
        <v>108</v>
      </c>
      <c r="D2029" s="1" t="s">
        <v>19</v>
      </c>
      <c r="E2029" s="5">
        <v>43274</v>
      </c>
      <c r="F2029" s="3" t="s">
        <v>30</v>
      </c>
      <c r="G2029" s="1" t="s">
        <v>2638</v>
      </c>
      <c r="H2029" s="1">
        <v>150</v>
      </c>
      <c r="I2029" s="1">
        <v>101</v>
      </c>
      <c r="J2029" s="2">
        <v>0.32669999999999999</v>
      </c>
      <c r="K2029">
        <f t="shared" si="93"/>
        <v>32.996699999999997</v>
      </c>
      <c r="L2029">
        <f t="shared" si="94"/>
        <v>68.003299999999996</v>
      </c>
      <c r="M2029" t="str">
        <f t="shared" si="95"/>
        <v>Jun-2018</v>
      </c>
    </row>
    <row r="2030" spans="1:13" x14ac:dyDescent="0.3">
      <c r="A2030" t="s">
        <v>2639</v>
      </c>
      <c r="B2030" s="1" t="s">
        <v>49</v>
      </c>
      <c r="C2030" s="1" t="s">
        <v>50</v>
      </c>
      <c r="D2030" s="1" t="s">
        <v>24</v>
      </c>
      <c r="E2030" s="5">
        <v>41808</v>
      </c>
      <c r="F2030" s="3" t="s">
        <v>104</v>
      </c>
      <c r="G2030" s="1" t="s">
        <v>398</v>
      </c>
      <c r="H2030" s="1">
        <v>70</v>
      </c>
      <c r="I2030" s="1">
        <v>69</v>
      </c>
      <c r="J2030" s="2">
        <v>1.43E-2</v>
      </c>
      <c r="K2030">
        <f t="shared" si="93"/>
        <v>0.98670000000000002</v>
      </c>
      <c r="L2030">
        <f t="shared" si="94"/>
        <v>68.013300000000001</v>
      </c>
      <c r="M2030" t="str">
        <f t="shared" si="95"/>
        <v>Jun-2014</v>
      </c>
    </row>
    <row r="2031" spans="1:13" x14ac:dyDescent="0.3">
      <c r="A2031" t="s">
        <v>2640</v>
      </c>
      <c r="B2031" s="1" t="s">
        <v>154</v>
      </c>
      <c r="C2031" s="1" t="s">
        <v>108</v>
      </c>
      <c r="D2031" s="1" t="s">
        <v>19</v>
      </c>
      <c r="E2031" s="5">
        <v>41843</v>
      </c>
      <c r="F2031" s="3" t="s">
        <v>55</v>
      </c>
      <c r="G2031" s="1" t="s">
        <v>1185</v>
      </c>
      <c r="H2031" s="1">
        <v>800</v>
      </c>
      <c r="I2031" s="1">
        <v>696</v>
      </c>
      <c r="J2031" s="2">
        <v>0.13</v>
      </c>
      <c r="K2031">
        <f t="shared" si="93"/>
        <v>90.48</v>
      </c>
      <c r="L2031">
        <f t="shared" si="94"/>
        <v>605.52</v>
      </c>
      <c r="M2031" t="str">
        <f t="shared" si="95"/>
        <v>Jul-2014</v>
      </c>
    </row>
    <row r="2032" spans="1:13" x14ac:dyDescent="0.3">
      <c r="A2032" t="s">
        <v>2641</v>
      </c>
      <c r="B2032" s="1" t="s">
        <v>11</v>
      </c>
      <c r="C2032" s="1" t="s">
        <v>12</v>
      </c>
      <c r="D2032" s="1" t="s">
        <v>13</v>
      </c>
      <c r="E2032" s="5">
        <v>42934</v>
      </c>
      <c r="F2032" s="3" t="s">
        <v>104</v>
      </c>
      <c r="G2032" s="1" t="s">
        <v>137</v>
      </c>
      <c r="H2032" s="1">
        <v>70</v>
      </c>
      <c r="I2032" s="1">
        <v>69</v>
      </c>
      <c r="J2032" s="2">
        <v>1.43E-2</v>
      </c>
      <c r="K2032">
        <f t="shared" si="93"/>
        <v>0.98670000000000002</v>
      </c>
      <c r="L2032">
        <f t="shared" si="94"/>
        <v>68.013300000000001</v>
      </c>
      <c r="M2032" t="str">
        <f t="shared" si="95"/>
        <v>Jul-2017</v>
      </c>
    </row>
    <row r="2033" spans="1:13" x14ac:dyDescent="0.3">
      <c r="A2033" t="s">
        <v>2642</v>
      </c>
      <c r="B2033" s="1" t="s">
        <v>33</v>
      </c>
      <c r="C2033" s="1" t="s">
        <v>34</v>
      </c>
      <c r="D2033" s="1" t="s">
        <v>35</v>
      </c>
      <c r="E2033" s="5">
        <v>42211</v>
      </c>
      <c r="F2033" s="3" t="s">
        <v>55</v>
      </c>
      <c r="G2033" s="1" t="s">
        <v>1131</v>
      </c>
      <c r="H2033" s="1">
        <v>800</v>
      </c>
      <c r="I2033" s="1">
        <v>520</v>
      </c>
      <c r="J2033" s="2">
        <v>0.35</v>
      </c>
      <c r="K2033">
        <f t="shared" si="93"/>
        <v>182</v>
      </c>
      <c r="L2033">
        <f t="shared" si="94"/>
        <v>338</v>
      </c>
      <c r="M2033" t="str">
        <f t="shared" si="95"/>
        <v>Jul-2015</v>
      </c>
    </row>
    <row r="2034" spans="1:13" x14ac:dyDescent="0.3">
      <c r="A2034" t="s">
        <v>2643</v>
      </c>
      <c r="B2034" s="1" t="s">
        <v>81</v>
      </c>
      <c r="C2034" s="1" t="s">
        <v>82</v>
      </c>
      <c r="D2034" s="1" t="s">
        <v>13</v>
      </c>
      <c r="E2034" s="5">
        <v>42272</v>
      </c>
      <c r="F2034" s="3" t="s">
        <v>122</v>
      </c>
      <c r="G2034" s="1" t="s">
        <v>1493</v>
      </c>
      <c r="H2034" s="1">
        <v>50</v>
      </c>
      <c r="I2034" s="1">
        <v>44</v>
      </c>
      <c r="J2034" s="2">
        <v>0.12</v>
      </c>
      <c r="K2034">
        <f t="shared" si="93"/>
        <v>5.2799999999999994</v>
      </c>
      <c r="L2034">
        <f t="shared" si="94"/>
        <v>38.72</v>
      </c>
      <c r="M2034" t="str">
        <f t="shared" si="95"/>
        <v>Sep-2015</v>
      </c>
    </row>
    <row r="2035" spans="1:13" x14ac:dyDescent="0.3">
      <c r="A2035" t="s">
        <v>2644</v>
      </c>
      <c r="B2035" s="1" t="s">
        <v>118</v>
      </c>
      <c r="C2035" s="1" t="s">
        <v>119</v>
      </c>
      <c r="D2035" s="1" t="s">
        <v>35</v>
      </c>
      <c r="E2035" s="5">
        <v>42416</v>
      </c>
      <c r="F2035" s="3" t="s">
        <v>14</v>
      </c>
      <c r="G2035" s="1" t="s">
        <v>120</v>
      </c>
      <c r="H2035" s="1">
        <v>80</v>
      </c>
      <c r="I2035" s="1">
        <v>77</v>
      </c>
      <c r="J2035" s="2">
        <v>3.7499999999999999E-2</v>
      </c>
      <c r="K2035">
        <f t="shared" si="93"/>
        <v>2.8874999999999997</v>
      </c>
      <c r="L2035">
        <f t="shared" si="94"/>
        <v>74.112499999999997</v>
      </c>
      <c r="M2035" t="str">
        <f t="shared" si="95"/>
        <v>Feb-2016</v>
      </c>
    </row>
    <row r="2036" spans="1:13" x14ac:dyDescent="0.3">
      <c r="A2036" t="s">
        <v>2645</v>
      </c>
      <c r="B2036" s="1" t="s">
        <v>91</v>
      </c>
      <c r="C2036" s="1" t="s">
        <v>92</v>
      </c>
      <c r="D2036" s="1" t="s">
        <v>35</v>
      </c>
      <c r="E2036" s="5">
        <v>41939</v>
      </c>
      <c r="F2036" s="3" t="s">
        <v>25</v>
      </c>
      <c r="G2036" s="1" t="s">
        <v>199</v>
      </c>
      <c r="H2036" s="1">
        <v>700</v>
      </c>
      <c r="I2036" s="1">
        <v>455</v>
      </c>
      <c r="J2036" s="2">
        <v>0.35</v>
      </c>
      <c r="K2036">
        <f t="shared" si="93"/>
        <v>159.25</v>
      </c>
      <c r="L2036">
        <f t="shared" si="94"/>
        <v>295.75</v>
      </c>
      <c r="M2036" t="str">
        <f t="shared" si="95"/>
        <v>Oct-2014</v>
      </c>
    </row>
    <row r="2037" spans="1:13" x14ac:dyDescent="0.3">
      <c r="A2037" t="s">
        <v>2646</v>
      </c>
      <c r="B2037" s="1" t="s">
        <v>44</v>
      </c>
      <c r="C2037" s="1" t="s">
        <v>45</v>
      </c>
      <c r="D2037" s="1" t="s">
        <v>24</v>
      </c>
      <c r="E2037" s="5">
        <v>43360</v>
      </c>
      <c r="F2037" s="3" t="s">
        <v>46</v>
      </c>
      <c r="G2037" s="1" t="s">
        <v>1102</v>
      </c>
      <c r="H2037" s="1">
        <v>500</v>
      </c>
      <c r="I2037" s="1">
        <v>485</v>
      </c>
      <c r="J2037" s="2">
        <v>0.03</v>
      </c>
      <c r="K2037">
        <f t="shared" si="93"/>
        <v>14.549999999999999</v>
      </c>
      <c r="L2037">
        <f t="shared" si="94"/>
        <v>470.45</v>
      </c>
      <c r="M2037" t="str">
        <f t="shared" si="95"/>
        <v>Sep-2018</v>
      </c>
    </row>
    <row r="2038" spans="1:13" x14ac:dyDescent="0.3">
      <c r="A2038" t="s">
        <v>2647</v>
      </c>
      <c r="B2038" s="1" t="s">
        <v>39</v>
      </c>
      <c r="C2038" s="1" t="s">
        <v>40</v>
      </c>
      <c r="D2038" s="1" t="s">
        <v>35</v>
      </c>
      <c r="E2038" s="5">
        <v>42596</v>
      </c>
      <c r="F2038" s="3" t="s">
        <v>72</v>
      </c>
      <c r="G2038" s="1" t="s">
        <v>1304</v>
      </c>
      <c r="H2038" s="1">
        <v>500</v>
      </c>
      <c r="I2038" s="1">
        <v>500</v>
      </c>
      <c r="J2038" s="2">
        <v>0</v>
      </c>
      <c r="K2038">
        <f t="shared" si="93"/>
        <v>0</v>
      </c>
      <c r="L2038">
        <f t="shared" si="94"/>
        <v>500</v>
      </c>
      <c r="M2038" t="str">
        <f t="shared" si="95"/>
        <v>Aug-2016</v>
      </c>
    </row>
    <row r="2039" spans="1:13" x14ac:dyDescent="0.3">
      <c r="A2039" t="s">
        <v>2648</v>
      </c>
      <c r="B2039" s="1" t="s">
        <v>154</v>
      </c>
      <c r="C2039" s="1" t="s">
        <v>108</v>
      </c>
      <c r="D2039" s="1" t="s">
        <v>19</v>
      </c>
      <c r="E2039" s="5">
        <v>42231</v>
      </c>
      <c r="F2039" s="3" t="s">
        <v>30</v>
      </c>
      <c r="G2039" s="1" t="s">
        <v>155</v>
      </c>
      <c r="H2039" s="1">
        <v>150</v>
      </c>
      <c r="I2039" s="1">
        <v>119</v>
      </c>
      <c r="J2039" s="2">
        <v>0.20669999999999999</v>
      </c>
      <c r="K2039">
        <f t="shared" si="93"/>
        <v>24.597300000000001</v>
      </c>
      <c r="L2039">
        <f t="shared" si="94"/>
        <v>94.402699999999996</v>
      </c>
      <c r="M2039" t="str">
        <f t="shared" si="95"/>
        <v>Aug-2015</v>
      </c>
    </row>
    <row r="2040" spans="1:13" x14ac:dyDescent="0.3">
      <c r="A2040" t="s">
        <v>2649</v>
      </c>
      <c r="B2040" s="1" t="s">
        <v>44</v>
      </c>
      <c r="C2040" s="1" t="s">
        <v>45</v>
      </c>
      <c r="D2040" s="1" t="s">
        <v>24</v>
      </c>
      <c r="E2040" s="5">
        <v>42203</v>
      </c>
      <c r="F2040" s="3" t="s">
        <v>104</v>
      </c>
      <c r="G2040" s="1" t="s">
        <v>1070</v>
      </c>
      <c r="H2040" s="1">
        <v>70</v>
      </c>
      <c r="I2040" s="1">
        <v>60</v>
      </c>
      <c r="J2040" s="2">
        <v>0.1429</v>
      </c>
      <c r="K2040">
        <f t="shared" si="93"/>
        <v>8.5739999999999998</v>
      </c>
      <c r="L2040">
        <f t="shared" si="94"/>
        <v>51.426000000000002</v>
      </c>
      <c r="M2040" t="str">
        <f t="shared" si="95"/>
        <v>Jul-2015</v>
      </c>
    </row>
    <row r="2041" spans="1:13" x14ac:dyDescent="0.3">
      <c r="A2041" t="s">
        <v>2650</v>
      </c>
      <c r="B2041" s="1" t="s">
        <v>33</v>
      </c>
      <c r="C2041" s="1" t="s">
        <v>34</v>
      </c>
      <c r="D2041" s="1" t="s">
        <v>35</v>
      </c>
      <c r="E2041" s="5">
        <v>42083</v>
      </c>
      <c r="F2041" s="3" t="s">
        <v>122</v>
      </c>
      <c r="G2041" s="1" t="s">
        <v>75</v>
      </c>
      <c r="H2041" s="1">
        <v>50</v>
      </c>
      <c r="I2041" s="1">
        <v>45</v>
      </c>
      <c r="J2041" s="2">
        <v>0.1</v>
      </c>
      <c r="K2041">
        <f t="shared" si="93"/>
        <v>4.5</v>
      </c>
      <c r="L2041">
        <f t="shared" si="94"/>
        <v>40.5</v>
      </c>
      <c r="M2041" t="str">
        <f t="shared" si="95"/>
        <v>Mar-2015</v>
      </c>
    </row>
    <row r="2042" spans="1:13" x14ac:dyDescent="0.3">
      <c r="A2042" t="s">
        <v>2651</v>
      </c>
      <c r="B2042" s="1" t="s">
        <v>11</v>
      </c>
      <c r="C2042" s="1" t="s">
        <v>12</v>
      </c>
      <c r="D2042" s="1" t="s">
        <v>13</v>
      </c>
      <c r="E2042" s="5">
        <v>43464</v>
      </c>
      <c r="F2042" s="3" t="s">
        <v>55</v>
      </c>
      <c r="G2042" s="1" t="s">
        <v>293</v>
      </c>
      <c r="H2042" s="1">
        <v>800</v>
      </c>
      <c r="I2042" s="1">
        <v>744</v>
      </c>
      <c r="J2042" s="2">
        <v>7.0000000000000007E-2</v>
      </c>
      <c r="K2042">
        <f t="shared" si="93"/>
        <v>52.080000000000005</v>
      </c>
      <c r="L2042">
        <f t="shared" si="94"/>
        <v>691.92</v>
      </c>
      <c r="M2042" t="str">
        <f t="shared" si="95"/>
        <v>Dec-2018</v>
      </c>
    </row>
    <row r="2043" spans="1:13" x14ac:dyDescent="0.3">
      <c r="A2043" t="s">
        <v>2652</v>
      </c>
      <c r="B2043" s="1" t="s">
        <v>2243</v>
      </c>
      <c r="C2043" s="1" t="s">
        <v>108</v>
      </c>
      <c r="D2043" s="1" t="s">
        <v>19</v>
      </c>
      <c r="E2043" s="5">
        <v>42455</v>
      </c>
      <c r="F2043" s="3" t="s">
        <v>46</v>
      </c>
      <c r="G2043" s="1" t="s">
        <v>2310</v>
      </c>
      <c r="H2043" s="1">
        <v>500</v>
      </c>
      <c r="I2043" s="1">
        <v>470</v>
      </c>
      <c r="J2043" s="2">
        <v>0.06</v>
      </c>
      <c r="K2043">
        <f t="shared" si="93"/>
        <v>28.2</v>
      </c>
      <c r="L2043">
        <f t="shared" si="94"/>
        <v>441.8</v>
      </c>
      <c r="M2043" t="str">
        <f t="shared" si="95"/>
        <v>Mar-2016</v>
      </c>
    </row>
    <row r="2044" spans="1:13" x14ac:dyDescent="0.3">
      <c r="A2044" t="s">
        <v>2653</v>
      </c>
      <c r="B2044" s="1" t="s">
        <v>49</v>
      </c>
      <c r="C2044" s="1" t="s">
        <v>50</v>
      </c>
      <c r="D2044" s="1" t="s">
        <v>24</v>
      </c>
      <c r="E2044" s="5">
        <v>41661</v>
      </c>
      <c r="F2044" s="3" t="s">
        <v>104</v>
      </c>
      <c r="G2044" s="1" t="s">
        <v>68</v>
      </c>
      <c r="H2044" s="1">
        <v>70</v>
      </c>
      <c r="I2044" s="1">
        <v>61</v>
      </c>
      <c r="J2044" s="2">
        <v>0.12859999999999999</v>
      </c>
      <c r="K2044">
        <f t="shared" si="93"/>
        <v>7.8445999999999998</v>
      </c>
      <c r="L2044">
        <f t="shared" si="94"/>
        <v>53.1554</v>
      </c>
      <c r="M2044" t="str">
        <f t="shared" si="95"/>
        <v>Jan-2014</v>
      </c>
    </row>
    <row r="2045" spans="1:13" x14ac:dyDescent="0.3">
      <c r="A2045" t="s">
        <v>2654</v>
      </c>
      <c r="B2045" s="1" t="s">
        <v>91</v>
      </c>
      <c r="C2045" s="1" t="s">
        <v>92</v>
      </c>
      <c r="D2045" s="1" t="s">
        <v>35</v>
      </c>
      <c r="E2045" s="5">
        <v>42606</v>
      </c>
      <c r="F2045" s="3" t="s">
        <v>25</v>
      </c>
      <c r="G2045" s="1" t="s">
        <v>507</v>
      </c>
      <c r="H2045" s="1">
        <v>700</v>
      </c>
      <c r="I2045" s="1">
        <v>546</v>
      </c>
      <c r="J2045" s="2">
        <v>0.22</v>
      </c>
      <c r="K2045">
        <f t="shared" si="93"/>
        <v>120.12</v>
      </c>
      <c r="L2045">
        <f t="shared" si="94"/>
        <v>425.88</v>
      </c>
      <c r="M2045" t="str">
        <f t="shared" si="95"/>
        <v>Aug-2016</v>
      </c>
    </row>
    <row r="2046" spans="1:13" x14ac:dyDescent="0.3">
      <c r="A2046" t="s">
        <v>2655</v>
      </c>
      <c r="B2046" s="1" t="s">
        <v>33</v>
      </c>
      <c r="C2046" s="1" t="s">
        <v>34</v>
      </c>
      <c r="D2046" s="1" t="s">
        <v>35</v>
      </c>
      <c r="E2046" s="5">
        <v>41788</v>
      </c>
      <c r="F2046" s="3" t="s">
        <v>72</v>
      </c>
      <c r="G2046" s="1" t="s">
        <v>37</v>
      </c>
      <c r="H2046" s="1">
        <v>500</v>
      </c>
      <c r="I2046" s="1">
        <v>495</v>
      </c>
      <c r="J2046" s="2">
        <v>0.01</v>
      </c>
      <c r="K2046">
        <f t="shared" si="93"/>
        <v>4.95</v>
      </c>
      <c r="L2046">
        <f t="shared" si="94"/>
        <v>490.05</v>
      </c>
      <c r="M2046" t="str">
        <f t="shared" si="95"/>
        <v>May-2014</v>
      </c>
    </row>
    <row r="2047" spans="1:13" x14ac:dyDescent="0.3">
      <c r="A2047" t="s">
        <v>2656</v>
      </c>
      <c r="B2047" s="1" t="s">
        <v>224</v>
      </c>
      <c r="C2047" s="1" t="s">
        <v>50</v>
      </c>
      <c r="D2047" s="1" t="s">
        <v>24</v>
      </c>
      <c r="E2047" s="5">
        <v>42969</v>
      </c>
      <c r="F2047" s="3" t="s">
        <v>55</v>
      </c>
      <c r="G2047" s="1" t="s">
        <v>225</v>
      </c>
      <c r="H2047" s="1">
        <v>800</v>
      </c>
      <c r="I2047" s="1">
        <v>592</v>
      </c>
      <c r="J2047" s="2">
        <v>0.26</v>
      </c>
      <c r="K2047">
        <f t="shared" si="93"/>
        <v>153.92000000000002</v>
      </c>
      <c r="L2047">
        <f t="shared" si="94"/>
        <v>438.08</v>
      </c>
      <c r="M2047" t="str">
        <f t="shared" si="95"/>
        <v>Aug-2017</v>
      </c>
    </row>
    <row r="2048" spans="1:13" x14ac:dyDescent="0.3">
      <c r="A2048" t="s">
        <v>2657</v>
      </c>
      <c r="B2048" s="1" t="s">
        <v>187</v>
      </c>
      <c r="C2048" s="1" t="s">
        <v>188</v>
      </c>
      <c r="D2048" s="1" t="s">
        <v>13</v>
      </c>
      <c r="E2048" s="5">
        <v>42998</v>
      </c>
      <c r="F2048" s="3" t="s">
        <v>14</v>
      </c>
      <c r="G2048" s="1" t="s">
        <v>1150</v>
      </c>
      <c r="H2048" s="1">
        <v>80</v>
      </c>
      <c r="I2048" s="1">
        <v>64</v>
      </c>
      <c r="J2048" s="2">
        <v>0.2</v>
      </c>
      <c r="K2048">
        <f t="shared" si="93"/>
        <v>12.8</v>
      </c>
      <c r="L2048">
        <f t="shared" si="94"/>
        <v>51.2</v>
      </c>
      <c r="M2048" t="str">
        <f t="shared" si="95"/>
        <v>Sep-2017</v>
      </c>
    </row>
    <row r="2049" spans="1:13" x14ac:dyDescent="0.3">
      <c r="A2049" t="s">
        <v>2658</v>
      </c>
      <c r="B2049" s="1" t="s">
        <v>221</v>
      </c>
      <c r="C2049" s="1" t="s">
        <v>40</v>
      </c>
      <c r="D2049" s="1" t="s">
        <v>35</v>
      </c>
      <c r="E2049" s="5">
        <v>43182</v>
      </c>
      <c r="F2049" s="3" t="s">
        <v>25</v>
      </c>
      <c r="G2049" s="1" t="s">
        <v>1920</v>
      </c>
      <c r="H2049" s="1">
        <v>700</v>
      </c>
      <c r="I2049" s="1">
        <v>693</v>
      </c>
      <c r="J2049" s="2">
        <v>0.01</v>
      </c>
      <c r="K2049">
        <f t="shared" si="93"/>
        <v>6.93</v>
      </c>
      <c r="L2049">
        <f t="shared" si="94"/>
        <v>686.07</v>
      </c>
      <c r="M2049" t="str">
        <f t="shared" si="95"/>
        <v>Mar-2018</v>
      </c>
    </row>
    <row r="2050" spans="1:13" x14ac:dyDescent="0.3">
      <c r="A2050" t="s">
        <v>2659</v>
      </c>
      <c r="B2050" s="1" t="s">
        <v>150</v>
      </c>
      <c r="C2050" s="1" t="s">
        <v>151</v>
      </c>
      <c r="D2050" s="1" t="s">
        <v>13</v>
      </c>
      <c r="E2050" s="5">
        <v>43008</v>
      </c>
      <c r="F2050" s="3" t="s">
        <v>122</v>
      </c>
      <c r="G2050" s="1" t="s">
        <v>409</v>
      </c>
      <c r="H2050" s="1">
        <v>50</v>
      </c>
      <c r="I2050" s="1">
        <v>38</v>
      </c>
      <c r="J2050" s="2">
        <v>0.24</v>
      </c>
      <c r="K2050">
        <f t="shared" si="93"/>
        <v>9.1199999999999992</v>
      </c>
      <c r="L2050">
        <f t="shared" si="94"/>
        <v>28.880000000000003</v>
      </c>
      <c r="M2050" t="str">
        <f t="shared" si="95"/>
        <v>Sep-2017</v>
      </c>
    </row>
    <row r="2051" spans="1:13" x14ac:dyDescent="0.3">
      <c r="A2051" t="s">
        <v>2660</v>
      </c>
      <c r="B2051" s="1" t="s">
        <v>224</v>
      </c>
      <c r="C2051" s="1" t="s">
        <v>50</v>
      </c>
      <c r="D2051" s="1" t="s">
        <v>24</v>
      </c>
      <c r="E2051" s="5">
        <v>42674</v>
      </c>
      <c r="F2051" s="3" t="s">
        <v>30</v>
      </c>
      <c r="G2051" s="1" t="s">
        <v>2661</v>
      </c>
      <c r="H2051" s="1">
        <v>150</v>
      </c>
      <c r="I2051" s="1">
        <v>140</v>
      </c>
      <c r="J2051" s="2">
        <v>6.6699999999999995E-2</v>
      </c>
      <c r="K2051">
        <f t="shared" si="93"/>
        <v>9.3379999999999992</v>
      </c>
      <c r="L2051">
        <f t="shared" si="94"/>
        <v>130.66200000000001</v>
      </c>
      <c r="M2051" t="str">
        <f t="shared" si="95"/>
        <v>Oct-2016</v>
      </c>
    </row>
    <row r="2052" spans="1:13" x14ac:dyDescent="0.3">
      <c r="A2052" t="s">
        <v>2662</v>
      </c>
      <c r="B2052" s="1" t="s">
        <v>111</v>
      </c>
      <c r="C2052" s="1" t="s">
        <v>82</v>
      </c>
      <c r="D2052" s="1" t="s">
        <v>13</v>
      </c>
      <c r="E2052" s="5">
        <v>41752</v>
      </c>
      <c r="F2052" s="3" t="s">
        <v>41</v>
      </c>
      <c r="G2052" s="1" t="s">
        <v>372</v>
      </c>
      <c r="H2052" s="1">
        <v>30</v>
      </c>
      <c r="I2052" s="1">
        <v>24</v>
      </c>
      <c r="J2052" s="2">
        <v>0.2</v>
      </c>
      <c r="K2052">
        <f t="shared" ref="K2052:K2115" si="96">I2052*J2052</f>
        <v>4.8000000000000007</v>
      </c>
      <c r="L2052">
        <f t="shared" ref="L2052:L2115" si="97">I2052-K2052</f>
        <v>19.2</v>
      </c>
      <c r="M2052" t="str">
        <f t="shared" ref="M2052:M2115" si="98">TEXT(E2052, "mmm-yyyy")</f>
        <v>Apr-2014</v>
      </c>
    </row>
    <row r="2053" spans="1:13" x14ac:dyDescent="0.3">
      <c r="A2053" t="s">
        <v>2663</v>
      </c>
      <c r="B2053" s="1" t="s">
        <v>22</v>
      </c>
      <c r="C2053" s="1" t="s">
        <v>23</v>
      </c>
      <c r="D2053" s="1" t="s">
        <v>24</v>
      </c>
      <c r="E2053" s="5">
        <v>43271</v>
      </c>
      <c r="F2053" s="3" t="s">
        <v>14</v>
      </c>
      <c r="G2053" s="1" t="s">
        <v>624</v>
      </c>
      <c r="H2053" s="1">
        <v>80</v>
      </c>
      <c r="I2053" s="1">
        <v>74</v>
      </c>
      <c r="J2053" s="2">
        <v>7.4999999999999997E-2</v>
      </c>
      <c r="K2053">
        <f t="shared" si="96"/>
        <v>5.55</v>
      </c>
      <c r="L2053">
        <f t="shared" si="97"/>
        <v>68.45</v>
      </c>
      <c r="M2053" t="str">
        <f t="shared" si="98"/>
        <v>Jun-2018</v>
      </c>
    </row>
    <row r="2054" spans="1:13" x14ac:dyDescent="0.3">
      <c r="A2054" t="s">
        <v>2664</v>
      </c>
      <c r="B2054" s="1" t="s">
        <v>400</v>
      </c>
      <c r="C2054" s="1" t="s">
        <v>401</v>
      </c>
      <c r="D2054" s="1" t="s">
        <v>13</v>
      </c>
      <c r="E2054" s="5">
        <v>42783</v>
      </c>
      <c r="F2054" s="3" t="s">
        <v>104</v>
      </c>
      <c r="G2054" s="1" t="s">
        <v>1281</v>
      </c>
      <c r="H2054" s="1">
        <v>70</v>
      </c>
      <c r="I2054" s="1">
        <v>62</v>
      </c>
      <c r="J2054" s="2">
        <v>0.1143</v>
      </c>
      <c r="K2054">
        <f t="shared" si="96"/>
        <v>7.0865999999999998</v>
      </c>
      <c r="L2054">
        <f t="shared" si="97"/>
        <v>54.913400000000003</v>
      </c>
      <c r="M2054" t="str">
        <f t="shared" si="98"/>
        <v>Feb-2017</v>
      </c>
    </row>
    <row r="2055" spans="1:13" x14ac:dyDescent="0.3">
      <c r="A2055" t="s">
        <v>2665</v>
      </c>
      <c r="B2055" s="1" t="s">
        <v>70</v>
      </c>
      <c r="C2055" s="1" t="s">
        <v>71</v>
      </c>
      <c r="D2055" s="1" t="s">
        <v>35</v>
      </c>
      <c r="E2055" s="5">
        <v>41712</v>
      </c>
      <c r="F2055" s="3" t="s">
        <v>14</v>
      </c>
      <c r="G2055" s="1" t="s">
        <v>142</v>
      </c>
      <c r="H2055" s="1">
        <v>80</v>
      </c>
      <c r="I2055" s="1">
        <v>76</v>
      </c>
      <c r="J2055" s="2">
        <v>0.05</v>
      </c>
      <c r="K2055">
        <f t="shared" si="96"/>
        <v>3.8000000000000003</v>
      </c>
      <c r="L2055">
        <f t="shared" si="97"/>
        <v>72.2</v>
      </c>
      <c r="M2055" t="str">
        <f t="shared" si="98"/>
        <v>Mar-2014</v>
      </c>
    </row>
    <row r="2056" spans="1:13" x14ac:dyDescent="0.3">
      <c r="A2056" t="s">
        <v>2666</v>
      </c>
      <c r="B2056" s="1" t="s">
        <v>154</v>
      </c>
      <c r="C2056" s="1" t="s">
        <v>108</v>
      </c>
      <c r="D2056" s="1" t="s">
        <v>19</v>
      </c>
      <c r="E2056" s="5">
        <v>41873</v>
      </c>
      <c r="F2056" s="3" t="s">
        <v>36</v>
      </c>
      <c r="G2056" s="1" t="s">
        <v>2667</v>
      </c>
      <c r="H2056" s="1">
        <v>50</v>
      </c>
      <c r="I2056" s="1">
        <v>45</v>
      </c>
      <c r="J2056" s="2">
        <v>0.1</v>
      </c>
      <c r="K2056">
        <f t="shared" si="96"/>
        <v>4.5</v>
      </c>
      <c r="L2056">
        <f t="shared" si="97"/>
        <v>40.5</v>
      </c>
      <c r="M2056" t="str">
        <f t="shared" si="98"/>
        <v>Aug-2014</v>
      </c>
    </row>
    <row r="2057" spans="1:13" x14ac:dyDescent="0.3">
      <c r="A2057" t="s">
        <v>2668</v>
      </c>
      <c r="B2057" s="1" t="s">
        <v>2191</v>
      </c>
      <c r="C2057" s="1" t="s">
        <v>108</v>
      </c>
      <c r="D2057" s="1" t="s">
        <v>19</v>
      </c>
      <c r="E2057" s="5">
        <v>42018</v>
      </c>
      <c r="F2057" s="3" t="s">
        <v>61</v>
      </c>
      <c r="G2057" s="1" t="s">
        <v>2201</v>
      </c>
      <c r="H2057" s="1">
        <v>1000</v>
      </c>
      <c r="I2057" s="1">
        <v>670</v>
      </c>
      <c r="J2057" s="2">
        <v>0.33</v>
      </c>
      <c r="K2057">
        <f t="shared" si="96"/>
        <v>221.10000000000002</v>
      </c>
      <c r="L2057">
        <f t="shared" si="97"/>
        <v>448.9</v>
      </c>
      <c r="M2057" t="str">
        <f t="shared" si="98"/>
        <v>Jan-2015</v>
      </c>
    </row>
    <row r="2058" spans="1:13" x14ac:dyDescent="0.3">
      <c r="A2058" t="s">
        <v>2669</v>
      </c>
      <c r="B2058" s="1" t="s">
        <v>174</v>
      </c>
      <c r="C2058" s="1" t="s">
        <v>175</v>
      </c>
      <c r="D2058" s="1" t="s">
        <v>13</v>
      </c>
      <c r="E2058" s="5">
        <v>41869</v>
      </c>
      <c r="F2058" s="3" t="s">
        <v>104</v>
      </c>
      <c r="G2058" s="1" t="s">
        <v>1277</v>
      </c>
      <c r="H2058" s="1">
        <v>70</v>
      </c>
      <c r="I2058" s="1">
        <v>67</v>
      </c>
      <c r="J2058" s="2">
        <v>4.2900000000000001E-2</v>
      </c>
      <c r="K2058">
        <f t="shared" si="96"/>
        <v>2.8742999999999999</v>
      </c>
      <c r="L2058">
        <f t="shared" si="97"/>
        <v>64.125699999999995</v>
      </c>
      <c r="M2058" t="str">
        <f t="shared" si="98"/>
        <v>Aug-2014</v>
      </c>
    </row>
    <row r="2059" spans="1:13" x14ac:dyDescent="0.3">
      <c r="A2059" t="s">
        <v>2670</v>
      </c>
      <c r="B2059" s="1" t="s">
        <v>2191</v>
      </c>
      <c r="C2059" s="1" t="s">
        <v>108</v>
      </c>
      <c r="D2059" s="1" t="s">
        <v>19</v>
      </c>
      <c r="E2059" s="5">
        <v>42596</v>
      </c>
      <c r="F2059" s="3" t="s">
        <v>36</v>
      </c>
      <c r="G2059" s="1" t="s">
        <v>2192</v>
      </c>
      <c r="H2059" s="1">
        <v>50</v>
      </c>
      <c r="I2059" s="1">
        <v>46</v>
      </c>
      <c r="J2059" s="2">
        <v>0.08</v>
      </c>
      <c r="K2059">
        <f t="shared" si="96"/>
        <v>3.68</v>
      </c>
      <c r="L2059">
        <f t="shared" si="97"/>
        <v>42.32</v>
      </c>
      <c r="M2059" t="str">
        <f t="shared" si="98"/>
        <v>Aug-2016</v>
      </c>
    </row>
    <row r="2060" spans="1:13" x14ac:dyDescent="0.3">
      <c r="A2060" t="s">
        <v>2671</v>
      </c>
      <c r="B2060" s="1" t="s">
        <v>91</v>
      </c>
      <c r="C2060" s="1" t="s">
        <v>92</v>
      </c>
      <c r="D2060" s="1" t="s">
        <v>35</v>
      </c>
      <c r="E2060" s="5">
        <v>42790</v>
      </c>
      <c r="F2060" s="3" t="s">
        <v>55</v>
      </c>
      <c r="G2060" s="1" t="s">
        <v>900</v>
      </c>
      <c r="H2060" s="1">
        <v>800</v>
      </c>
      <c r="I2060" s="1">
        <v>752</v>
      </c>
      <c r="J2060" s="2">
        <v>0.06</v>
      </c>
      <c r="K2060">
        <f t="shared" si="96"/>
        <v>45.12</v>
      </c>
      <c r="L2060">
        <f t="shared" si="97"/>
        <v>706.88</v>
      </c>
      <c r="M2060" t="str">
        <f t="shared" si="98"/>
        <v>Feb-2017</v>
      </c>
    </row>
    <row r="2061" spans="1:13" x14ac:dyDescent="0.3">
      <c r="A2061" t="s">
        <v>2672</v>
      </c>
      <c r="B2061" s="1" t="s">
        <v>434</v>
      </c>
      <c r="C2061" s="1" t="s">
        <v>435</v>
      </c>
      <c r="D2061" s="1" t="s">
        <v>24</v>
      </c>
      <c r="E2061" s="5">
        <v>42112</v>
      </c>
      <c r="F2061" s="3" t="s">
        <v>72</v>
      </c>
      <c r="G2061" s="1" t="s">
        <v>828</v>
      </c>
      <c r="H2061" s="1">
        <v>500</v>
      </c>
      <c r="I2061" s="1">
        <v>490</v>
      </c>
      <c r="J2061" s="2">
        <v>0.02</v>
      </c>
      <c r="K2061">
        <f t="shared" si="96"/>
        <v>9.8000000000000007</v>
      </c>
      <c r="L2061">
        <f t="shared" si="97"/>
        <v>480.2</v>
      </c>
      <c r="M2061" t="str">
        <f t="shared" si="98"/>
        <v>Apr-2015</v>
      </c>
    </row>
    <row r="2062" spans="1:13" x14ac:dyDescent="0.3">
      <c r="A2062" t="s">
        <v>2673</v>
      </c>
      <c r="B2062" s="1" t="s">
        <v>28</v>
      </c>
      <c r="C2062" s="1" t="s">
        <v>29</v>
      </c>
      <c r="D2062" s="1" t="s">
        <v>13</v>
      </c>
      <c r="E2062" s="5">
        <v>42839</v>
      </c>
      <c r="F2062" s="3" t="s">
        <v>30</v>
      </c>
      <c r="G2062" s="1" t="s">
        <v>249</v>
      </c>
      <c r="H2062" s="1">
        <v>150</v>
      </c>
      <c r="I2062" s="1">
        <v>147</v>
      </c>
      <c r="J2062" s="2">
        <v>0.02</v>
      </c>
      <c r="K2062">
        <f t="shared" si="96"/>
        <v>2.94</v>
      </c>
      <c r="L2062">
        <f t="shared" si="97"/>
        <v>144.06</v>
      </c>
      <c r="M2062" t="str">
        <f t="shared" si="98"/>
        <v>Apr-2017</v>
      </c>
    </row>
    <row r="2063" spans="1:13" x14ac:dyDescent="0.3">
      <c r="A2063" t="s">
        <v>2674</v>
      </c>
      <c r="B2063" s="1" t="s">
        <v>95</v>
      </c>
      <c r="C2063" s="1" t="s">
        <v>96</v>
      </c>
      <c r="D2063" s="1" t="s">
        <v>13</v>
      </c>
      <c r="E2063" s="5">
        <v>42301</v>
      </c>
      <c r="F2063" s="3" t="s">
        <v>72</v>
      </c>
      <c r="G2063" s="1" t="s">
        <v>731</v>
      </c>
      <c r="H2063" s="1">
        <v>500</v>
      </c>
      <c r="I2063" s="1">
        <v>495</v>
      </c>
      <c r="J2063" s="2">
        <v>0.01</v>
      </c>
      <c r="K2063">
        <f t="shared" si="96"/>
        <v>4.95</v>
      </c>
      <c r="L2063">
        <f t="shared" si="97"/>
        <v>490.05</v>
      </c>
      <c r="M2063" t="str">
        <f t="shared" si="98"/>
        <v>Oct-2015</v>
      </c>
    </row>
    <row r="2064" spans="1:13" x14ac:dyDescent="0.3">
      <c r="A2064" t="s">
        <v>2675</v>
      </c>
      <c r="B2064" s="1" t="s">
        <v>111</v>
      </c>
      <c r="C2064" s="1" t="s">
        <v>82</v>
      </c>
      <c r="D2064" s="1" t="s">
        <v>13</v>
      </c>
      <c r="E2064" s="5">
        <v>42024</v>
      </c>
      <c r="F2064" s="3" t="s">
        <v>72</v>
      </c>
      <c r="G2064" s="1" t="s">
        <v>1688</v>
      </c>
      <c r="H2064" s="1">
        <v>500</v>
      </c>
      <c r="I2064" s="1">
        <v>500</v>
      </c>
      <c r="J2064" s="2">
        <v>0</v>
      </c>
      <c r="K2064">
        <f t="shared" si="96"/>
        <v>0</v>
      </c>
      <c r="L2064">
        <f t="shared" si="97"/>
        <v>500</v>
      </c>
      <c r="M2064" t="str">
        <f t="shared" si="98"/>
        <v>Jan-2015</v>
      </c>
    </row>
    <row r="2065" spans="1:13" x14ac:dyDescent="0.3">
      <c r="A2065" t="s">
        <v>2676</v>
      </c>
      <c r="B2065" s="1" t="s">
        <v>255</v>
      </c>
      <c r="C2065" s="1" t="s">
        <v>256</v>
      </c>
      <c r="D2065" s="1" t="s">
        <v>13</v>
      </c>
      <c r="E2065" s="5">
        <v>42854</v>
      </c>
      <c r="F2065" s="3" t="s">
        <v>61</v>
      </c>
      <c r="G2065" s="1" t="s">
        <v>805</v>
      </c>
      <c r="H2065" s="1">
        <v>1000</v>
      </c>
      <c r="I2065" s="1">
        <v>680</v>
      </c>
      <c r="J2065" s="2">
        <v>0.32</v>
      </c>
      <c r="K2065">
        <f t="shared" si="96"/>
        <v>217.6</v>
      </c>
      <c r="L2065">
        <f t="shared" si="97"/>
        <v>462.4</v>
      </c>
      <c r="M2065" t="str">
        <f t="shared" si="98"/>
        <v>Apr-2017</v>
      </c>
    </row>
    <row r="2066" spans="1:13" x14ac:dyDescent="0.3">
      <c r="A2066" t="s">
        <v>2677</v>
      </c>
      <c r="B2066" s="1" t="s">
        <v>2243</v>
      </c>
      <c r="C2066" s="1" t="s">
        <v>108</v>
      </c>
      <c r="D2066" s="1" t="s">
        <v>19</v>
      </c>
      <c r="E2066" s="5">
        <v>43062</v>
      </c>
      <c r="F2066" s="3" t="s">
        <v>41</v>
      </c>
      <c r="G2066" s="1" t="s">
        <v>2310</v>
      </c>
      <c r="H2066" s="1">
        <v>30</v>
      </c>
      <c r="I2066" s="1">
        <v>27</v>
      </c>
      <c r="J2066" s="2">
        <v>0.1</v>
      </c>
      <c r="K2066">
        <f t="shared" si="96"/>
        <v>2.7</v>
      </c>
      <c r="L2066">
        <f t="shared" si="97"/>
        <v>24.3</v>
      </c>
      <c r="M2066" t="str">
        <f t="shared" si="98"/>
        <v>Nov-2017</v>
      </c>
    </row>
    <row r="2067" spans="1:13" x14ac:dyDescent="0.3">
      <c r="A2067" t="s">
        <v>2678</v>
      </c>
      <c r="B2067" s="1" t="s">
        <v>224</v>
      </c>
      <c r="C2067" s="1" t="s">
        <v>50</v>
      </c>
      <c r="D2067" s="1" t="s">
        <v>24</v>
      </c>
      <c r="E2067" s="5">
        <v>42944</v>
      </c>
      <c r="F2067" s="3" t="s">
        <v>122</v>
      </c>
      <c r="G2067" s="1" t="s">
        <v>225</v>
      </c>
      <c r="H2067" s="1">
        <v>50</v>
      </c>
      <c r="I2067" s="1">
        <v>44</v>
      </c>
      <c r="J2067" s="2">
        <v>0.12</v>
      </c>
      <c r="K2067">
        <f t="shared" si="96"/>
        <v>5.2799999999999994</v>
      </c>
      <c r="L2067">
        <f t="shared" si="97"/>
        <v>38.72</v>
      </c>
      <c r="M2067" t="str">
        <f t="shared" si="98"/>
        <v>Jul-2017</v>
      </c>
    </row>
    <row r="2068" spans="1:13" x14ac:dyDescent="0.3">
      <c r="A2068" t="s">
        <v>2679</v>
      </c>
      <c r="B2068" s="1" t="s">
        <v>289</v>
      </c>
      <c r="C2068" s="1" t="s">
        <v>108</v>
      </c>
      <c r="D2068" s="1" t="s">
        <v>19</v>
      </c>
      <c r="E2068" s="5">
        <v>43067</v>
      </c>
      <c r="F2068" s="3" t="s">
        <v>14</v>
      </c>
      <c r="G2068" s="1" t="s">
        <v>1129</v>
      </c>
      <c r="H2068" s="1">
        <v>80</v>
      </c>
      <c r="I2068" s="1">
        <v>80</v>
      </c>
      <c r="J2068" s="2">
        <v>0</v>
      </c>
      <c r="K2068">
        <f t="shared" si="96"/>
        <v>0</v>
      </c>
      <c r="L2068">
        <f t="shared" si="97"/>
        <v>80</v>
      </c>
      <c r="M2068" t="str">
        <f t="shared" si="98"/>
        <v>Nov-2017</v>
      </c>
    </row>
    <row r="2069" spans="1:13" x14ac:dyDescent="0.3">
      <c r="A2069" t="s">
        <v>2680</v>
      </c>
      <c r="B2069" s="1" t="s">
        <v>150</v>
      </c>
      <c r="C2069" s="1" t="s">
        <v>151</v>
      </c>
      <c r="D2069" s="1" t="s">
        <v>13</v>
      </c>
      <c r="E2069" s="5">
        <v>42452</v>
      </c>
      <c r="F2069" s="3" t="s">
        <v>46</v>
      </c>
      <c r="G2069" s="1" t="s">
        <v>306</v>
      </c>
      <c r="H2069" s="1">
        <v>500</v>
      </c>
      <c r="I2069" s="1">
        <v>360</v>
      </c>
      <c r="J2069" s="2">
        <v>0.28000000000000003</v>
      </c>
      <c r="K2069">
        <f t="shared" si="96"/>
        <v>100.80000000000001</v>
      </c>
      <c r="L2069">
        <f t="shared" si="97"/>
        <v>259.2</v>
      </c>
      <c r="M2069" t="str">
        <f t="shared" si="98"/>
        <v>Mar-2016</v>
      </c>
    </row>
    <row r="2070" spans="1:13" x14ac:dyDescent="0.3">
      <c r="A2070" t="s">
        <v>2681</v>
      </c>
      <c r="B2070" s="1" t="s">
        <v>2191</v>
      </c>
      <c r="C2070" s="1" t="s">
        <v>108</v>
      </c>
      <c r="D2070" s="1" t="s">
        <v>19</v>
      </c>
      <c r="E2070" s="5">
        <v>42762</v>
      </c>
      <c r="F2070" s="3" t="s">
        <v>55</v>
      </c>
      <c r="G2070" s="1" t="s">
        <v>2201</v>
      </c>
      <c r="H2070" s="1">
        <v>800</v>
      </c>
      <c r="I2070" s="1">
        <v>656</v>
      </c>
      <c r="J2070" s="2">
        <v>0.18</v>
      </c>
      <c r="K2070">
        <f t="shared" si="96"/>
        <v>118.08</v>
      </c>
      <c r="L2070">
        <f t="shared" si="97"/>
        <v>537.91999999999996</v>
      </c>
      <c r="M2070" t="str">
        <f t="shared" si="98"/>
        <v>Jan-2017</v>
      </c>
    </row>
    <row r="2071" spans="1:13" x14ac:dyDescent="0.3">
      <c r="A2071" t="s">
        <v>2682</v>
      </c>
      <c r="B2071" s="1" t="s">
        <v>2243</v>
      </c>
      <c r="C2071" s="1" t="s">
        <v>108</v>
      </c>
      <c r="D2071" s="1" t="s">
        <v>19</v>
      </c>
      <c r="E2071" s="5">
        <v>41839</v>
      </c>
      <c r="F2071" s="3" t="s">
        <v>115</v>
      </c>
      <c r="G2071" s="1" t="s">
        <v>2244</v>
      </c>
      <c r="H2071" s="1">
        <v>250</v>
      </c>
      <c r="I2071" s="1">
        <v>248</v>
      </c>
      <c r="J2071" s="2">
        <v>8.0000000000000002E-3</v>
      </c>
      <c r="K2071">
        <f t="shared" si="96"/>
        <v>1.984</v>
      </c>
      <c r="L2071">
        <f t="shared" si="97"/>
        <v>246.01599999999999</v>
      </c>
      <c r="M2071" t="str">
        <f t="shared" si="98"/>
        <v>Jul-2014</v>
      </c>
    </row>
    <row r="2072" spans="1:13" x14ac:dyDescent="0.3">
      <c r="A2072" t="s">
        <v>2683</v>
      </c>
      <c r="B2072" s="1" t="s">
        <v>44</v>
      </c>
      <c r="C2072" s="1" t="s">
        <v>45</v>
      </c>
      <c r="D2072" s="1" t="s">
        <v>24</v>
      </c>
      <c r="E2072" s="5">
        <v>42629</v>
      </c>
      <c r="F2072" s="3" t="s">
        <v>122</v>
      </c>
      <c r="G2072" s="1" t="s">
        <v>431</v>
      </c>
      <c r="H2072" s="1">
        <v>50</v>
      </c>
      <c r="I2072" s="1">
        <v>49</v>
      </c>
      <c r="J2072" s="2">
        <v>0.02</v>
      </c>
      <c r="K2072">
        <f t="shared" si="96"/>
        <v>0.98</v>
      </c>
      <c r="L2072">
        <f t="shared" si="97"/>
        <v>48.02</v>
      </c>
      <c r="M2072" t="str">
        <f t="shared" si="98"/>
        <v>Sep-2016</v>
      </c>
    </row>
    <row r="2073" spans="1:13" x14ac:dyDescent="0.3">
      <c r="A2073" t="s">
        <v>2684</v>
      </c>
      <c r="B2073" s="1" t="s">
        <v>11</v>
      </c>
      <c r="C2073" s="1" t="s">
        <v>12</v>
      </c>
      <c r="D2073" s="1" t="s">
        <v>13</v>
      </c>
      <c r="E2073" s="5">
        <v>42208</v>
      </c>
      <c r="F2073" s="3" t="s">
        <v>46</v>
      </c>
      <c r="G2073" s="1" t="s">
        <v>348</v>
      </c>
      <c r="H2073" s="1">
        <v>500</v>
      </c>
      <c r="I2073" s="1">
        <v>480</v>
      </c>
      <c r="J2073" s="2">
        <v>0.04</v>
      </c>
      <c r="K2073">
        <f t="shared" si="96"/>
        <v>19.2</v>
      </c>
      <c r="L2073">
        <f t="shared" si="97"/>
        <v>460.8</v>
      </c>
      <c r="M2073" t="str">
        <f t="shared" si="98"/>
        <v>Jul-2015</v>
      </c>
    </row>
    <row r="2074" spans="1:13" x14ac:dyDescent="0.3">
      <c r="A2074" t="s">
        <v>2685</v>
      </c>
      <c r="B2074" s="1" t="s">
        <v>134</v>
      </c>
      <c r="C2074" s="1" t="s">
        <v>92</v>
      </c>
      <c r="D2074" s="1" t="s">
        <v>35</v>
      </c>
      <c r="E2074" s="5">
        <v>42537</v>
      </c>
      <c r="F2074" s="3" t="s">
        <v>61</v>
      </c>
      <c r="G2074" s="1" t="s">
        <v>1135</v>
      </c>
      <c r="H2074" s="1">
        <v>1000</v>
      </c>
      <c r="I2074" s="1">
        <v>620</v>
      </c>
      <c r="J2074" s="2">
        <v>0.38</v>
      </c>
      <c r="K2074">
        <f t="shared" si="96"/>
        <v>235.6</v>
      </c>
      <c r="L2074">
        <f t="shared" si="97"/>
        <v>384.4</v>
      </c>
      <c r="M2074" t="str">
        <f t="shared" si="98"/>
        <v>Jun-2016</v>
      </c>
    </row>
    <row r="2075" spans="1:13" x14ac:dyDescent="0.3">
      <c r="A2075" t="s">
        <v>2686</v>
      </c>
      <c r="B2075" s="1" t="s">
        <v>17</v>
      </c>
      <c r="C2075" s="1" t="s">
        <v>18</v>
      </c>
      <c r="D2075" s="1" t="s">
        <v>19</v>
      </c>
      <c r="E2075" s="5">
        <v>42049</v>
      </c>
      <c r="F2075" s="3" t="s">
        <v>115</v>
      </c>
      <c r="G2075" s="1" t="s">
        <v>20</v>
      </c>
      <c r="H2075" s="1">
        <v>250</v>
      </c>
      <c r="I2075" s="1">
        <v>190</v>
      </c>
      <c r="J2075" s="2">
        <v>0.24</v>
      </c>
      <c r="K2075">
        <f t="shared" si="96"/>
        <v>45.6</v>
      </c>
      <c r="L2075">
        <f t="shared" si="97"/>
        <v>144.4</v>
      </c>
      <c r="M2075" t="str">
        <f t="shared" si="98"/>
        <v>Feb-2015</v>
      </c>
    </row>
    <row r="2076" spans="1:13" x14ac:dyDescent="0.3">
      <c r="A2076" t="s">
        <v>2687</v>
      </c>
      <c r="B2076" s="1" t="s">
        <v>53</v>
      </c>
      <c r="C2076" s="1" t="s">
        <v>54</v>
      </c>
      <c r="D2076" s="1" t="s">
        <v>13</v>
      </c>
      <c r="E2076" s="5">
        <v>42606</v>
      </c>
      <c r="F2076" s="3" t="s">
        <v>55</v>
      </c>
      <c r="G2076" s="1" t="s">
        <v>56</v>
      </c>
      <c r="H2076" s="1">
        <v>800</v>
      </c>
      <c r="I2076" s="1">
        <v>680</v>
      </c>
      <c r="J2076" s="2">
        <v>0.15</v>
      </c>
      <c r="K2076">
        <f t="shared" si="96"/>
        <v>102</v>
      </c>
      <c r="L2076">
        <f t="shared" si="97"/>
        <v>578</v>
      </c>
      <c r="M2076" t="str">
        <f t="shared" si="98"/>
        <v>Aug-2016</v>
      </c>
    </row>
    <row r="2077" spans="1:13" x14ac:dyDescent="0.3">
      <c r="A2077" t="s">
        <v>2688</v>
      </c>
      <c r="B2077" s="1" t="s">
        <v>70</v>
      </c>
      <c r="C2077" s="1" t="s">
        <v>71</v>
      </c>
      <c r="D2077" s="1" t="s">
        <v>35</v>
      </c>
      <c r="E2077" s="5">
        <v>41790</v>
      </c>
      <c r="F2077" s="3" t="s">
        <v>46</v>
      </c>
      <c r="G2077" s="1" t="s">
        <v>73</v>
      </c>
      <c r="H2077" s="1">
        <v>500</v>
      </c>
      <c r="I2077" s="1">
        <v>480</v>
      </c>
      <c r="J2077" s="2">
        <v>0.04</v>
      </c>
      <c r="K2077">
        <f t="shared" si="96"/>
        <v>19.2</v>
      </c>
      <c r="L2077">
        <f t="shared" si="97"/>
        <v>460.8</v>
      </c>
      <c r="M2077" t="str">
        <f t="shared" si="98"/>
        <v>May-2014</v>
      </c>
    </row>
    <row r="2078" spans="1:13" x14ac:dyDescent="0.3">
      <c r="A2078" t="s">
        <v>2689</v>
      </c>
      <c r="B2078" s="1" t="s">
        <v>434</v>
      </c>
      <c r="C2078" s="1" t="s">
        <v>435</v>
      </c>
      <c r="D2078" s="1" t="s">
        <v>24</v>
      </c>
      <c r="E2078" s="5">
        <v>42082</v>
      </c>
      <c r="F2078" s="3" t="s">
        <v>122</v>
      </c>
      <c r="G2078" s="1" t="s">
        <v>858</v>
      </c>
      <c r="H2078" s="1">
        <v>50</v>
      </c>
      <c r="I2078" s="1">
        <v>49</v>
      </c>
      <c r="J2078" s="2">
        <v>0.02</v>
      </c>
      <c r="K2078">
        <f t="shared" si="96"/>
        <v>0.98</v>
      </c>
      <c r="L2078">
        <f t="shared" si="97"/>
        <v>48.02</v>
      </c>
      <c r="M2078" t="str">
        <f t="shared" si="98"/>
        <v>Mar-2015</v>
      </c>
    </row>
    <row r="2079" spans="1:13" x14ac:dyDescent="0.3">
      <c r="A2079" t="s">
        <v>2690</v>
      </c>
      <c r="B2079" s="1" t="s">
        <v>400</v>
      </c>
      <c r="C2079" s="1" t="s">
        <v>401</v>
      </c>
      <c r="D2079" s="1" t="s">
        <v>13</v>
      </c>
      <c r="E2079" s="5">
        <v>42962</v>
      </c>
      <c r="F2079" s="3" t="s">
        <v>14</v>
      </c>
      <c r="G2079" s="1" t="s">
        <v>443</v>
      </c>
      <c r="H2079" s="1">
        <v>80</v>
      </c>
      <c r="I2079" s="1">
        <v>58</v>
      </c>
      <c r="J2079" s="2">
        <v>0.27500000000000002</v>
      </c>
      <c r="K2079">
        <f t="shared" si="96"/>
        <v>15.950000000000001</v>
      </c>
      <c r="L2079">
        <f t="shared" si="97"/>
        <v>42.05</v>
      </c>
      <c r="M2079" t="str">
        <f t="shared" si="98"/>
        <v>Aug-2017</v>
      </c>
    </row>
    <row r="2080" spans="1:13" x14ac:dyDescent="0.3">
      <c r="A2080" t="s">
        <v>2691</v>
      </c>
      <c r="B2080" s="1" t="s">
        <v>289</v>
      </c>
      <c r="C2080" s="1" t="s">
        <v>108</v>
      </c>
      <c r="D2080" s="1" t="s">
        <v>19</v>
      </c>
      <c r="E2080" s="5">
        <v>42056</v>
      </c>
      <c r="F2080" s="3" t="s">
        <v>46</v>
      </c>
      <c r="G2080" s="1" t="s">
        <v>877</v>
      </c>
      <c r="H2080" s="1">
        <v>500</v>
      </c>
      <c r="I2080" s="1">
        <v>500</v>
      </c>
      <c r="J2080" s="2">
        <v>0</v>
      </c>
      <c r="K2080">
        <f t="shared" si="96"/>
        <v>0</v>
      </c>
      <c r="L2080">
        <f t="shared" si="97"/>
        <v>500</v>
      </c>
      <c r="M2080" t="str">
        <f t="shared" si="98"/>
        <v>Feb-2015</v>
      </c>
    </row>
    <row r="2081" spans="1:13" x14ac:dyDescent="0.3">
      <c r="A2081" t="s">
        <v>2692</v>
      </c>
      <c r="B2081" s="1" t="s">
        <v>81</v>
      </c>
      <c r="C2081" s="1" t="s">
        <v>82</v>
      </c>
      <c r="D2081" s="1" t="s">
        <v>13</v>
      </c>
      <c r="E2081" s="5">
        <v>41844</v>
      </c>
      <c r="F2081" s="3" t="s">
        <v>25</v>
      </c>
      <c r="G2081" s="1" t="s">
        <v>1232</v>
      </c>
      <c r="H2081" s="1">
        <v>700</v>
      </c>
      <c r="I2081" s="1">
        <v>574</v>
      </c>
      <c r="J2081" s="2">
        <v>0.18</v>
      </c>
      <c r="K2081">
        <f t="shared" si="96"/>
        <v>103.32</v>
      </c>
      <c r="L2081">
        <f t="shared" si="97"/>
        <v>470.68</v>
      </c>
      <c r="M2081" t="str">
        <f t="shared" si="98"/>
        <v>Jul-2014</v>
      </c>
    </row>
    <row r="2082" spans="1:13" x14ac:dyDescent="0.3">
      <c r="A2082" t="s">
        <v>2693</v>
      </c>
      <c r="B2082" s="1" t="s">
        <v>241</v>
      </c>
      <c r="C2082" s="1" t="s">
        <v>242</v>
      </c>
      <c r="D2082" s="1" t="s">
        <v>13</v>
      </c>
      <c r="E2082" s="5">
        <v>42331</v>
      </c>
      <c r="F2082" s="3" t="s">
        <v>36</v>
      </c>
      <c r="G2082" s="1" t="s">
        <v>287</v>
      </c>
      <c r="H2082" s="1">
        <v>50</v>
      </c>
      <c r="I2082" s="1">
        <v>47</v>
      </c>
      <c r="J2082" s="2">
        <v>0.06</v>
      </c>
      <c r="K2082">
        <f t="shared" si="96"/>
        <v>2.82</v>
      </c>
      <c r="L2082">
        <f t="shared" si="97"/>
        <v>44.18</v>
      </c>
      <c r="M2082" t="str">
        <f t="shared" si="98"/>
        <v>Nov-2015</v>
      </c>
    </row>
    <row r="2083" spans="1:13" x14ac:dyDescent="0.3">
      <c r="A2083" t="s">
        <v>2694</v>
      </c>
      <c r="B2083" s="1" t="s">
        <v>124</v>
      </c>
      <c r="C2083" s="1" t="s">
        <v>40</v>
      </c>
      <c r="D2083" s="1" t="s">
        <v>35</v>
      </c>
      <c r="E2083" s="5">
        <v>42974</v>
      </c>
      <c r="F2083" s="3" t="s">
        <v>41</v>
      </c>
      <c r="G2083" s="1" t="s">
        <v>916</v>
      </c>
      <c r="H2083" s="1">
        <v>30</v>
      </c>
      <c r="I2083" s="1">
        <v>26</v>
      </c>
      <c r="J2083" s="2">
        <v>0.1333</v>
      </c>
      <c r="K2083">
        <f t="shared" si="96"/>
        <v>3.4658000000000002</v>
      </c>
      <c r="L2083">
        <f t="shared" si="97"/>
        <v>22.534199999999998</v>
      </c>
      <c r="M2083" t="str">
        <f t="shared" si="98"/>
        <v>Aug-2017</v>
      </c>
    </row>
    <row r="2084" spans="1:13" x14ac:dyDescent="0.3">
      <c r="A2084" t="s">
        <v>2695</v>
      </c>
      <c r="B2084" s="1" t="s">
        <v>33</v>
      </c>
      <c r="C2084" s="1" t="s">
        <v>34</v>
      </c>
      <c r="D2084" s="1" t="s">
        <v>35</v>
      </c>
      <c r="E2084" s="5">
        <v>41910</v>
      </c>
      <c r="F2084" s="3" t="s">
        <v>41</v>
      </c>
      <c r="G2084" s="1" t="s">
        <v>75</v>
      </c>
      <c r="H2084" s="1">
        <v>30</v>
      </c>
      <c r="I2084" s="1">
        <v>22</v>
      </c>
      <c r="J2084" s="2">
        <v>0.26669999999999999</v>
      </c>
      <c r="K2084">
        <f t="shared" si="96"/>
        <v>5.8673999999999999</v>
      </c>
      <c r="L2084">
        <f t="shared" si="97"/>
        <v>16.1326</v>
      </c>
      <c r="M2084" t="str">
        <f t="shared" si="98"/>
        <v>Sep-2014</v>
      </c>
    </row>
    <row r="2085" spans="1:13" x14ac:dyDescent="0.3">
      <c r="A2085" t="s">
        <v>2696</v>
      </c>
      <c r="B2085" s="1" t="s">
        <v>99</v>
      </c>
      <c r="C2085" s="1" t="s">
        <v>100</v>
      </c>
      <c r="D2085" s="1" t="s">
        <v>13</v>
      </c>
      <c r="E2085" s="5">
        <v>41905</v>
      </c>
      <c r="F2085" s="3" t="s">
        <v>25</v>
      </c>
      <c r="G2085" s="1" t="s">
        <v>911</v>
      </c>
      <c r="H2085" s="1">
        <v>700</v>
      </c>
      <c r="I2085" s="1">
        <v>679</v>
      </c>
      <c r="J2085" s="2">
        <v>0.03</v>
      </c>
      <c r="K2085">
        <f t="shared" si="96"/>
        <v>20.37</v>
      </c>
      <c r="L2085">
        <f t="shared" si="97"/>
        <v>658.63</v>
      </c>
      <c r="M2085" t="str">
        <f t="shared" si="98"/>
        <v>Sep-2014</v>
      </c>
    </row>
    <row r="2086" spans="1:13" x14ac:dyDescent="0.3">
      <c r="A2086" t="s">
        <v>2697</v>
      </c>
      <c r="B2086" s="1" t="s">
        <v>255</v>
      </c>
      <c r="C2086" s="1" t="s">
        <v>256</v>
      </c>
      <c r="D2086" s="1" t="s">
        <v>13</v>
      </c>
      <c r="E2086" s="5">
        <v>42538</v>
      </c>
      <c r="F2086" s="3" t="s">
        <v>61</v>
      </c>
      <c r="G2086" s="1" t="s">
        <v>1208</v>
      </c>
      <c r="H2086" s="1">
        <v>1000</v>
      </c>
      <c r="I2086" s="1">
        <v>850</v>
      </c>
      <c r="J2086" s="2">
        <v>0.15</v>
      </c>
      <c r="K2086">
        <f t="shared" si="96"/>
        <v>127.5</v>
      </c>
      <c r="L2086">
        <f t="shared" si="97"/>
        <v>722.5</v>
      </c>
      <c r="M2086" t="str">
        <f t="shared" si="98"/>
        <v>Jun-2016</v>
      </c>
    </row>
    <row r="2087" spans="1:13" x14ac:dyDescent="0.3">
      <c r="A2087" t="s">
        <v>2698</v>
      </c>
      <c r="B2087" s="1" t="s">
        <v>103</v>
      </c>
      <c r="C2087" s="1" t="s">
        <v>71</v>
      </c>
      <c r="D2087" s="1" t="s">
        <v>35</v>
      </c>
      <c r="E2087" s="5">
        <v>43327</v>
      </c>
      <c r="F2087" s="3" t="s">
        <v>72</v>
      </c>
      <c r="G2087" s="1" t="s">
        <v>727</v>
      </c>
      <c r="H2087" s="1">
        <v>500</v>
      </c>
      <c r="I2087" s="1">
        <v>490</v>
      </c>
      <c r="J2087" s="2">
        <v>0.02</v>
      </c>
      <c r="K2087">
        <f t="shared" si="96"/>
        <v>9.8000000000000007</v>
      </c>
      <c r="L2087">
        <f t="shared" si="97"/>
        <v>480.2</v>
      </c>
      <c r="M2087" t="str">
        <f t="shared" si="98"/>
        <v>Aug-2018</v>
      </c>
    </row>
    <row r="2088" spans="1:13" x14ac:dyDescent="0.3">
      <c r="A2088" t="s">
        <v>2699</v>
      </c>
      <c r="B2088" s="1" t="s">
        <v>99</v>
      </c>
      <c r="C2088" s="1" t="s">
        <v>100</v>
      </c>
      <c r="D2088" s="1" t="s">
        <v>13</v>
      </c>
      <c r="E2088" s="5">
        <v>43023</v>
      </c>
      <c r="F2088" s="3" t="s">
        <v>104</v>
      </c>
      <c r="G2088" s="1" t="s">
        <v>101</v>
      </c>
      <c r="H2088" s="1">
        <v>70</v>
      </c>
      <c r="I2088" s="1">
        <v>70</v>
      </c>
      <c r="J2088" s="2">
        <v>0</v>
      </c>
      <c r="K2088">
        <f t="shared" si="96"/>
        <v>0</v>
      </c>
      <c r="L2088">
        <f t="shared" si="97"/>
        <v>70</v>
      </c>
      <c r="M2088" t="str">
        <f t="shared" si="98"/>
        <v>Oct-2017</v>
      </c>
    </row>
    <row r="2089" spans="1:13" x14ac:dyDescent="0.3">
      <c r="A2089" t="s">
        <v>2700</v>
      </c>
      <c r="B2089" s="1" t="s">
        <v>70</v>
      </c>
      <c r="C2089" s="1" t="s">
        <v>71</v>
      </c>
      <c r="D2089" s="1" t="s">
        <v>35</v>
      </c>
      <c r="E2089" s="5">
        <v>43113</v>
      </c>
      <c r="F2089" s="3" t="s">
        <v>46</v>
      </c>
      <c r="G2089" s="1" t="s">
        <v>328</v>
      </c>
      <c r="H2089" s="1">
        <v>500</v>
      </c>
      <c r="I2089" s="1">
        <v>455</v>
      </c>
      <c r="J2089" s="2">
        <v>0.09</v>
      </c>
      <c r="K2089">
        <f t="shared" si="96"/>
        <v>40.949999999999996</v>
      </c>
      <c r="L2089">
        <f t="shared" si="97"/>
        <v>414.05</v>
      </c>
      <c r="M2089" t="str">
        <f t="shared" si="98"/>
        <v>Jan-2018</v>
      </c>
    </row>
    <row r="2090" spans="1:13" x14ac:dyDescent="0.3">
      <c r="A2090" t="s">
        <v>2701</v>
      </c>
      <c r="B2090" s="1" t="s">
        <v>146</v>
      </c>
      <c r="C2090" s="1" t="s">
        <v>147</v>
      </c>
      <c r="D2090" s="1" t="s">
        <v>13</v>
      </c>
      <c r="E2090" s="5">
        <v>43126</v>
      </c>
      <c r="F2090" s="3" t="s">
        <v>41</v>
      </c>
      <c r="G2090" s="1" t="s">
        <v>1647</v>
      </c>
      <c r="H2090" s="1">
        <v>30</v>
      </c>
      <c r="I2090" s="1">
        <v>26</v>
      </c>
      <c r="J2090" s="2">
        <v>0.1333</v>
      </c>
      <c r="K2090">
        <f t="shared" si="96"/>
        <v>3.4658000000000002</v>
      </c>
      <c r="L2090">
        <f t="shared" si="97"/>
        <v>22.534199999999998</v>
      </c>
      <c r="M2090" t="str">
        <f t="shared" si="98"/>
        <v>Jan-2018</v>
      </c>
    </row>
    <row r="2091" spans="1:13" x14ac:dyDescent="0.3">
      <c r="A2091" t="s">
        <v>2702</v>
      </c>
      <c r="B2091" s="1" t="s">
        <v>64</v>
      </c>
      <c r="C2091" s="1" t="s">
        <v>65</v>
      </c>
      <c r="D2091" s="1" t="s">
        <v>35</v>
      </c>
      <c r="E2091" s="5">
        <v>43053</v>
      </c>
      <c r="F2091" s="3" t="s">
        <v>104</v>
      </c>
      <c r="G2091" s="1" t="s">
        <v>1057</v>
      </c>
      <c r="H2091" s="1">
        <v>70</v>
      </c>
      <c r="I2091" s="1">
        <v>69</v>
      </c>
      <c r="J2091" s="2">
        <v>1.43E-2</v>
      </c>
      <c r="K2091">
        <f t="shared" si="96"/>
        <v>0.98670000000000002</v>
      </c>
      <c r="L2091">
        <f t="shared" si="97"/>
        <v>68.013300000000001</v>
      </c>
      <c r="M2091" t="str">
        <f t="shared" si="98"/>
        <v>Nov-2017</v>
      </c>
    </row>
    <row r="2092" spans="1:13" x14ac:dyDescent="0.3">
      <c r="A2092" t="s">
        <v>2703</v>
      </c>
      <c r="B2092" s="1" t="s">
        <v>33</v>
      </c>
      <c r="C2092" s="1" t="s">
        <v>34</v>
      </c>
      <c r="D2092" s="1" t="s">
        <v>35</v>
      </c>
      <c r="E2092" s="5">
        <v>42423</v>
      </c>
      <c r="F2092" s="3" t="s">
        <v>14</v>
      </c>
      <c r="G2092" s="1" t="s">
        <v>1131</v>
      </c>
      <c r="H2092" s="1">
        <v>80</v>
      </c>
      <c r="I2092" s="1">
        <v>69</v>
      </c>
      <c r="J2092" s="2">
        <v>0.13750000000000001</v>
      </c>
      <c r="K2092">
        <f t="shared" si="96"/>
        <v>9.4875000000000007</v>
      </c>
      <c r="L2092">
        <f t="shared" si="97"/>
        <v>59.512500000000003</v>
      </c>
      <c r="M2092" t="str">
        <f t="shared" si="98"/>
        <v>Feb-2016</v>
      </c>
    </row>
    <row r="2093" spans="1:13" x14ac:dyDescent="0.3">
      <c r="A2093" t="s">
        <v>2704</v>
      </c>
      <c r="B2093" s="1" t="s">
        <v>99</v>
      </c>
      <c r="C2093" s="1" t="s">
        <v>100</v>
      </c>
      <c r="D2093" s="1" t="s">
        <v>13</v>
      </c>
      <c r="E2093" s="5">
        <v>42456</v>
      </c>
      <c r="F2093" s="3" t="s">
        <v>30</v>
      </c>
      <c r="G2093" s="1" t="s">
        <v>1171</v>
      </c>
      <c r="H2093" s="1">
        <v>150</v>
      </c>
      <c r="I2093" s="1">
        <v>141</v>
      </c>
      <c r="J2093" s="2">
        <v>0.06</v>
      </c>
      <c r="K2093">
        <f t="shared" si="96"/>
        <v>8.4599999999999991</v>
      </c>
      <c r="L2093">
        <f t="shared" si="97"/>
        <v>132.54</v>
      </c>
      <c r="M2093" t="str">
        <f t="shared" si="98"/>
        <v>Mar-2016</v>
      </c>
    </row>
    <row r="2094" spans="1:13" x14ac:dyDescent="0.3">
      <c r="A2094" t="s">
        <v>2705</v>
      </c>
      <c r="B2094" s="1" t="s">
        <v>154</v>
      </c>
      <c r="C2094" s="1" t="s">
        <v>108</v>
      </c>
      <c r="D2094" s="1" t="s">
        <v>19</v>
      </c>
      <c r="E2094" s="5">
        <v>42792</v>
      </c>
      <c r="F2094" s="3" t="s">
        <v>122</v>
      </c>
      <c r="G2094" s="1" t="s">
        <v>490</v>
      </c>
      <c r="H2094" s="1">
        <v>50</v>
      </c>
      <c r="I2094" s="1">
        <v>36</v>
      </c>
      <c r="J2094" s="2">
        <v>0.28000000000000003</v>
      </c>
      <c r="K2094">
        <f t="shared" si="96"/>
        <v>10.080000000000002</v>
      </c>
      <c r="L2094">
        <f t="shared" si="97"/>
        <v>25.919999999999998</v>
      </c>
      <c r="M2094" t="str">
        <f t="shared" si="98"/>
        <v>Feb-2017</v>
      </c>
    </row>
    <row r="2095" spans="1:13" x14ac:dyDescent="0.3">
      <c r="A2095" t="s">
        <v>2706</v>
      </c>
      <c r="B2095" s="1" t="s">
        <v>241</v>
      </c>
      <c r="C2095" s="1" t="s">
        <v>242</v>
      </c>
      <c r="D2095" s="1" t="s">
        <v>13</v>
      </c>
      <c r="E2095" s="5">
        <v>42481</v>
      </c>
      <c r="F2095" s="3" t="s">
        <v>55</v>
      </c>
      <c r="G2095" s="1" t="s">
        <v>350</v>
      </c>
      <c r="H2095" s="1">
        <v>800</v>
      </c>
      <c r="I2095" s="1">
        <v>608</v>
      </c>
      <c r="J2095" s="2">
        <v>0.24</v>
      </c>
      <c r="K2095">
        <f t="shared" si="96"/>
        <v>145.91999999999999</v>
      </c>
      <c r="L2095">
        <f t="shared" si="97"/>
        <v>462.08000000000004</v>
      </c>
      <c r="M2095" t="str">
        <f t="shared" si="98"/>
        <v>Apr-2016</v>
      </c>
    </row>
    <row r="2096" spans="1:13" x14ac:dyDescent="0.3">
      <c r="A2096" t="s">
        <v>2707</v>
      </c>
      <c r="B2096" s="1" t="s">
        <v>150</v>
      </c>
      <c r="C2096" s="1" t="s">
        <v>151</v>
      </c>
      <c r="D2096" s="1" t="s">
        <v>13</v>
      </c>
      <c r="E2096" s="5">
        <v>42082</v>
      </c>
      <c r="F2096" s="3" t="s">
        <v>72</v>
      </c>
      <c r="G2096" s="1" t="s">
        <v>185</v>
      </c>
      <c r="H2096" s="1">
        <v>500</v>
      </c>
      <c r="I2096" s="1">
        <v>495</v>
      </c>
      <c r="J2096" s="2">
        <v>0.01</v>
      </c>
      <c r="K2096">
        <f t="shared" si="96"/>
        <v>4.95</v>
      </c>
      <c r="L2096">
        <f t="shared" si="97"/>
        <v>490.05</v>
      </c>
      <c r="M2096" t="str">
        <f t="shared" si="98"/>
        <v>Mar-2015</v>
      </c>
    </row>
    <row r="2097" spans="1:13" x14ac:dyDescent="0.3">
      <c r="A2097" t="s">
        <v>2708</v>
      </c>
      <c r="B2097" s="1" t="s">
        <v>114</v>
      </c>
      <c r="C2097" s="1" t="s">
        <v>54</v>
      </c>
      <c r="D2097" s="1" t="s">
        <v>13</v>
      </c>
      <c r="E2097" s="5">
        <v>42306</v>
      </c>
      <c r="F2097" s="3" t="s">
        <v>30</v>
      </c>
      <c r="G2097" s="1" t="s">
        <v>367</v>
      </c>
      <c r="H2097" s="1">
        <v>150</v>
      </c>
      <c r="I2097" s="1">
        <v>126</v>
      </c>
      <c r="J2097" s="2">
        <v>0.16</v>
      </c>
      <c r="K2097">
        <f t="shared" si="96"/>
        <v>20.16</v>
      </c>
      <c r="L2097">
        <f t="shared" si="97"/>
        <v>105.84</v>
      </c>
      <c r="M2097" t="str">
        <f t="shared" si="98"/>
        <v>Oct-2015</v>
      </c>
    </row>
    <row r="2098" spans="1:13" x14ac:dyDescent="0.3">
      <c r="A2098" t="s">
        <v>2709</v>
      </c>
      <c r="B2098" s="1" t="s">
        <v>39</v>
      </c>
      <c r="C2098" s="1" t="s">
        <v>40</v>
      </c>
      <c r="D2098" s="1" t="s">
        <v>35</v>
      </c>
      <c r="E2098" s="5">
        <v>43021</v>
      </c>
      <c r="F2098" s="3" t="s">
        <v>36</v>
      </c>
      <c r="G2098" s="1" t="s">
        <v>1631</v>
      </c>
      <c r="H2098" s="1">
        <v>50</v>
      </c>
      <c r="I2098" s="1">
        <v>17</v>
      </c>
      <c r="J2098" s="2">
        <v>0.66</v>
      </c>
      <c r="K2098">
        <f t="shared" si="96"/>
        <v>11.22</v>
      </c>
      <c r="L2098">
        <f t="shared" si="97"/>
        <v>5.7799999999999994</v>
      </c>
      <c r="M2098" t="str">
        <f t="shared" si="98"/>
        <v>Oct-2017</v>
      </c>
    </row>
    <row r="2099" spans="1:13" x14ac:dyDescent="0.3">
      <c r="A2099" t="s">
        <v>2710</v>
      </c>
      <c r="B2099" s="1" t="s">
        <v>28</v>
      </c>
      <c r="C2099" s="1" t="s">
        <v>29</v>
      </c>
      <c r="D2099" s="1" t="s">
        <v>13</v>
      </c>
      <c r="E2099" s="5">
        <v>42963</v>
      </c>
      <c r="F2099" s="3" t="s">
        <v>41</v>
      </c>
      <c r="G2099" s="1" t="s">
        <v>335</v>
      </c>
      <c r="H2099" s="1">
        <v>30</v>
      </c>
      <c r="I2099" s="1">
        <v>28</v>
      </c>
      <c r="J2099" s="2">
        <v>6.6699999999999995E-2</v>
      </c>
      <c r="K2099">
        <f t="shared" si="96"/>
        <v>1.8675999999999999</v>
      </c>
      <c r="L2099">
        <f t="shared" si="97"/>
        <v>26.132400000000001</v>
      </c>
      <c r="M2099" t="str">
        <f t="shared" si="98"/>
        <v>Aug-2017</v>
      </c>
    </row>
    <row r="2100" spans="1:13" x14ac:dyDescent="0.3">
      <c r="A2100" t="s">
        <v>2711</v>
      </c>
      <c r="B2100" s="1" t="s">
        <v>107</v>
      </c>
      <c r="C2100" s="1" t="s">
        <v>108</v>
      </c>
      <c r="D2100" s="1" t="s">
        <v>19</v>
      </c>
      <c r="E2100" s="5">
        <v>43069</v>
      </c>
      <c r="F2100" s="3" t="s">
        <v>61</v>
      </c>
      <c r="G2100" s="1" t="s">
        <v>354</v>
      </c>
      <c r="H2100" s="1">
        <v>1000</v>
      </c>
      <c r="I2100" s="1">
        <v>810</v>
      </c>
      <c r="J2100" s="2">
        <v>0.19</v>
      </c>
      <c r="K2100">
        <f t="shared" si="96"/>
        <v>153.9</v>
      </c>
      <c r="L2100">
        <f t="shared" si="97"/>
        <v>656.1</v>
      </c>
      <c r="M2100" t="str">
        <f t="shared" si="98"/>
        <v>Nov-2017</v>
      </c>
    </row>
    <row r="2101" spans="1:13" x14ac:dyDescent="0.3">
      <c r="A2101" t="s">
        <v>2712</v>
      </c>
      <c r="B2101" s="1" t="s">
        <v>221</v>
      </c>
      <c r="C2101" s="1" t="s">
        <v>40</v>
      </c>
      <c r="D2101" s="1" t="s">
        <v>35</v>
      </c>
      <c r="E2101" s="5">
        <v>43295</v>
      </c>
      <c r="F2101" s="3" t="s">
        <v>25</v>
      </c>
      <c r="G2101" s="1" t="s">
        <v>2567</v>
      </c>
      <c r="H2101" s="1">
        <v>700</v>
      </c>
      <c r="I2101" s="1">
        <v>700</v>
      </c>
      <c r="J2101" s="2">
        <v>0</v>
      </c>
      <c r="K2101">
        <f t="shared" si="96"/>
        <v>0</v>
      </c>
      <c r="L2101">
        <f t="shared" si="97"/>
        <v>700</v>
      </c>
      <c r="M2101" t="str">
        <f t="shared" si="98"/>
        <v>Jul-2018</v>
      </c>
    </row>
    <row r="2102" spans="1:13" x14ac:dyDescent="0.3">
      <c r="A2102" t="s">
        <v>2713</v>
      </c>
      <c r="B2102" s="1" t="s">
        <v>182</v>
      </c>
      <c r="C2102" s="1" t="s">
        <v>108</v>
      </c>
      <c r="D2102" s="1" t="s">
        <v>19</v>
      </c>
      <c r="E2102" s="5">
        <v>41790</v>
      </c>
      <c r="F2102" s="3" t="s">
        <v>36</v>
      </c>
      <c r="G2102" s="1" t="s">
        <v>203</v>
      </c>
      <c r="H2102" s="1">
        <v>50</v>
      </c>
      <c r="I2102" s="1">
        <v>48</v>
      </c>
      <c r="J2102" s="2">
        <v>0.04</v>
      </c>
      <c r="K2102">
        <f t="shared" si="96"/>
        <v>1.92</v>
      </c>
      <c r="L2102">
        <f t="shared" si="97"/>
        <v>46.08</v>
      </c>
      <c r="M2102" t="str">
        <f t="shared" si="98"/>
        <v>May-2014</v>
      </c>
    </row>
    <row r="2103" spans="1:13" x14ac:dyDescent="0.3">
      <c r="A2103" t="s">
        <v>2714</v>
      </c>
      <c r="B2103" s="1" t="s">
        <v>2243</v>
      </c>
      <c r="C2103" s="1" t="s">
        <v>108</v>
      </c>
      <c r="D2103" s="1" t="s">
        <v>19</v>
      </c>
      <c r="E2103" s="5">
        <v>42728</v>
      </c>
      <c r="F2103" s="3" t="s">
        <v>122</v>
      </c>
      <c r="G2103" s="1" t="s">
        <v>2244</v>
      </c>
      <c r="H2103" s="1">
        <v>50</v>
      </c>
      <c r="I2103" s="1">
        <v>43</v>
      </c>
      <c r="J2103" s="2">
        <v>0.14000000000000001</v>
      </c>
      <c r="K2103">
        <f t="shared" si="96"/>
        <v>6.0200000000000005</v>
      </c>
      <c r="L2103">
        <f t="shared" si="97"/>
        <v>36.979999999999997</v>
      </c>
      <c r="M2103" t="str">
        <f t="shared" si="98"/>
        <v>Dec-2016</v>
      </c>
    </row>
    <row r="2104" spans="1:13" x14ac:dyDescent="0.3">
      <c r="A2104" t="s">
        <v>2715</v>
      </c>
      <c r="B2104" s="1" t="s">
        <v>227</v>
      </c>
      <c r="C2104" s="1" t="s">
        <v>228</v>
      </c>
      <c r="D2104" s="1" t="s">
        <v>24</v>
      </c>
      <c r="E2104" s="5">
        <v>43027</v>
      </c>
      <c r="F2104" s="3" t="s">
        <v>55</v>
      </c>
      <c r="G2104" s="1" t="s">
        <v>229</v>
      </c>
      <c r="H2104" s="1">
        <v>800</v>
      </c>
      <c r="I2104" s="1">
        <v>504</v>
      </c>
      <c r="J2104" s="2">
        <v>0.37</v>
      </c>
      <c r="K2104">
        <f t="shared" si="96"/>
        <v>186.48</v>
      </c>
      <c r="L2104">
        <f t="shared" si="97"/>
        <v>317.52</v>
      </c>
      <c r="M2104" t="str">
        <f t="shared" si="98"/>
        <v>Oct-2017</v>
      </c>
    </row>
    <row r="2105" spans="1:13" x14ac:dyDescent="0.3">
      <c r="A2105" t="s">
        <v>2716</v>
      </c>
      <c r="B2105" s="1" t="s">
        <v>118</v>
      </c>
      <c r="C2105" s="1" t="s">
        <v>119</v>
      </c>
      <c r="D2105" s="1" t="s">
        <v>35</v>
      </c>
      <c r="E2105" s="5">
        <v>42123</v>
      </c>
      <c r="F2105" s="3" t="s">
        <v>14</v>
      </c>
      <c r="G2105" s="1" t="s">
        <v>1079</v>
      </c>
      <c r="H2105" s="1">
        <v>80</v>
      </c>
      <c r="I2105" s="1">
        <v>76</v>
      </c>
      <c r="J2105" s="2">
        <v>0.05</v>
      </c>
      <c r="K2105">
        <f t="shared" si="96"/>
        <v>3.8000000000000003</v>
      </c>
      <c r="L2105">
        <f t="shared" si="97"/>
        <v>72.2</v>
      </c>
      <c r="M2105" t="str">
        <f t="shared" si="98"/>
        <v>Apr-2015</v>
      </c>
    </row>
    <row r="2106" spans="1:13" x14ac:dyDescent="0.3">
      <c r="A2106" t="s">
        <v>2717</v>
      </c>
      <c r="B2106" s="1" t="s">
        <v>64</v>
      </c>
      <c r="C2106" s="1" t="s">
        <v>65</v>
      </c>
      <c r="D2106" s="1" t="s">
        <v>35</v>
      </c>
      <c r="E2106" s="5">
        <v>41879</v>
      </c>
      <c r="F2106" s="3" t="s">
        <v>41</v>
      </c>
      <c r="G2106" s="1" t="s">
        <v>872</v>
      </c>
      <c r="H2106" s="1">
        <v>30</v>
      </c>
      <c r="I2106" s="1">
        <v>29</v>
      </c>
      <c r="J2106" s="2">
        <v>3.3300000000000003E-2</v>
      </c>
      <c r="K2106">
        <f t="shared" si="96"/>
        <v>0.96570000000000011</v>
      </c>
      <c r="L2106">
        <f t="shared" si="97"/>
        <v>28.034299999999998</v>
      </c>
      <c r="M2106" t="str">
        <f t="shared" si="98"/>
        <v>Aug-2014</v>
      </c>
    </row>
    <row r="2107" spans="1:13" x14ac:dyDescent="0.3">
      <c r="A2107" t="s">
        <v>2718</v>
      </c>
      <c r="B2107" s="1" t="s">
        <v>134</v>
      </c>
      <c r="C2107" s="1" t="s">
        <v>92</v>
      </c>
      <c r="D2107" s="1" t="s">
        <v>35</v>
      </c>
      <c r="E2107" s="5">
        <v>43128</v>
      </c>
      <c r="F2107" s="3" t="s">
        <v>25</v>
      </c>
      <c r="G2107" s="1" t="s">
        <v>374</v>
      </c>
      <c r="H2107" s="1">
        <v>700</v>
      </c>
      <c r="I2107" s="1">
        <v>644</v>
      </c>
      <c r="J2107" s="2">
        <v>0.08</v>
      </c>
      <c r="K2107">
        <f t="shared" si="96"/>
        <v>51.52</v>
      </c>
      <c r="L2107">
        <f t="shared" si="97"/>
        <v>592.48</v>
      </c>
      <c r="M2107" t="str">
        <f t="shared" si="98"/>
        <v>Jan-2018</v>
      </c>
    </row>
    <row r="2108" spans="1:13" x14ac:dyDescent="0.3">
      <c r="A2108" t="s">
        <v>2719</v>
      </c>
      <c r="B2108" s="1" t="s">
        <v>131</v>
      </c>
      <c r="C2108" s="1" t="s">
        <v>108</v>
      </c>
      <c r="D2108" s="1" t="s">
        <v>19</v>
      </c>
      <c r="E2108" s="5">
        <v>42080</v>
      </c>
      <c r="F2108" s="3" t="s">
        <v>104</v>
      </c>
      <c r="G2108" s="1" t="s">
        <v>212</v>
      </c>
      <c r="H2108" s="1">
        <v>70</v>
      </c>
      <c r="I2108" s="1">
        <v>69</v>
      </c>
      <c r="J2108" s="2">
        <v>1.43E-2</v>
      </c>
      <c r="K2108">
        <f t="shared" si="96"/>
        <v>0.98670000000000002</v>
      </c>
      <c r="L2108">
        <f t="shared" si="97"/>
        <v>68.013300000000001</v>
      </c>
      <c r="M2108" t="str">
        <f t="shared" si="98"/>
        <v>Mar-2015</v>
      </c>
    </row>
    <row r="2109" spans="1:13" x14ac:dyDescent="0.3">
      <c r="A2109" t="s">
        <v>2720</v>
      </c>
      <c r="B2109" s="1" t="s">
        <v>118</v>
      </c>
      <c r="C2109" s="1" t="s">
        <v>119</v>
      </c>
      <c r="D2109" s="1" t="s">
        <v>35</v>
      </c>
      <c r="E2109" s="5">
        <v>42760</v>
      </c>
      <c r="F2109" s="3" t="s">
        <v>61</v>
      </c>
      <c r="G2109" s="1" t="s">
        <v>847</v>
      </c>
      <c r="H2109" s="1">
        <v>1000</v>
      </c>
      <c r="I2109" s="1">
        <v>780</v>
      </c>
      <c r="J2109" s="2">
        <v>0.22</v>
      </c>
      <c r="K2109">
        <f t="shared" si="96"/>
        <v>171.6</v>
      </c>
      <c r="L2109">
        <f t="shared" si="97"/>
        <v>608.4</v>
      </c>
      <c r="M2109" t="str">
        <f t="shared" si="98"/>
        <v>Jan-2017</v>
      </c>
    </row>
    <row r="2110" spans="1:13" x14ac:dyDescent="0.3">
      <c r="A2110" t="s">
        <v>2721</v>
      </c>
      <c r="B2110" s="1" t="s">
        <v>103</v>
      </c>
      <c r="C2110" s="1" t="s">
        <v>71</v>
      </c>
      <c r="D2110" s="1" t="s">
        <v>35</v>
      </c>
      <c r="E2110" s="5">
        <v>42642</v>
      </c>
      <c r="F2110" s="3" t="s">
        <v>122</v>
      </c>
      <c r="G2110" s="1" t="s">
        <v>105</v>
      </c>
      <c r="H2110" s="1">
        <v>50</v>
      </c>
      <c r="I2110" s="1">
        <v>45</v>
      </c>
      <c r="J2110" s="2">
        <v>0.1</v>
      </c>
      <c r="K2110">
        <f t="shared" si="96"/>
        <v>4.5</v>
      </c>
      <c r="L2110">
        <f t="shared" si="97"/>
        <v>40.5</v>
      </c>
      <c r="M2110" t="str">
        <f t="shared" si="98"/>
        <v>Sep-2016</v>
      </c>
    </row>
    <row r="2111" spans="1:13" x14ac:dyDescent="0.3">
      <c r="A2111" t="s">
        <v>2722</v>
      </c>
      <c r="B2111" s="1" t="s">
        <v>53</v>
      </c>
      <c r="C2111" s="1" t="s">
        <v>54</v>
      </c>
      <c r="D2111" s="1" t="s">
        <v>13</v>
      </c>
      <c r="E2111" s="5">
        <v>43393</v>
      </c>
      <c r="F2111" s="3" t="s">
        <v>104</v>
      </c>
      <c r="G2111" s="1" t="s">
        <v>814</v>
      </c>
      <c r="H2111" s="1">
        <v>70</v>
      </c>
      <c r="I2111" s="1">
        <v>70</v>
      </c>
      <c r="J2111" s="2">
        <v>0</v>
      </c>
      <c r="K2111">
        <f t="shared" si="96"/>
        <v>0</v>
      </c>
      <c r="L2111">
        <f t="shared" si="97"/>
        <v>70</v>
      </c>
      <c r="M2111" t="str">
        <f t="shared" si="98"/>
        <v>Oct-2018</v>
      </c>
    </row>
    <row r="2112" spans="1:13" x14ac:dyDescent="0.3">
      <c r="A2112" t="s">
        <v>2723</v>
      </c>
      <c r="B2112" s="1" t="s">
        <v>146</v>
      </c>
      <c r="C2112" s="1" t="s">
        <v>147</v>
      </c>
      <c r="D2112" s="1" t="s">
        <v>13</v>
      </c>
      <c r="E2112" s="5">
        <v>41696</v>
      </c>
      <c r="F2112" s="3" t="s">
        <v>115</v>
      </c>
      <c r="G2112" s="1" t="s">
        <v>1318</v>
      </c>
      <c r="H2112" s="1">
        <v>250</v>
      </c>
      <c r="I2112" s="1">
        <v>225</v>
      </c>
      <c r="J2112" s="2">
        <v>0.1</v>
      </c>
      <c r="K2112">
        <f t="shared" si="96"/>
        <v>22.5</v>
      </c>
      <c r="L2112">
        <f t="shared" si="97"/>
        <v>202.5</v>
      </c>
      <c r="M2112" t="str">
        <f t="shared" si="98"/>
        <v>Feb-2014</v>
      </c>
    </row>
    <row r="2113" spans="1:13" x14ac:dyDescent="0.3">
      <c r="A2113" t="s">
        <v>2724</v>
      </c>
      <c r="B2113" s="1" t="s">
        <v>77</v>
      </c>
      <c r="C2113" s="1" t="s">
        <v>78</v>
      </c>
      <c r="D2113" s="1" t="s">
        <v>35</v>
      </c>
      <c r="E2113" s="5">
        <v>41655</v>
      </c>
      <c r="F2113" s="3" t="s">
        <v>115</v>
      </c>
      <c r="G2113" s="1" t="s">
        <v>2439</v>
      </c>
      <c r="H2113" s="1">
        <v>250</v>
      </c>
      <c r="I2113" s="1">
        <v>205</v>
      </c>
      <c r="J2113" s="2">
        <v>0.18</v>
      </c>
      <c r="K2113">
        <f t="shared" si="96"/>
        <v>36.9</v>
      </c>
      <c r="L2113">
        <f t="shared" si="97"/>
        <v>168.1</v>
      </c>
      <c r="M2113" t="str">
        <f t="shared" si="98"/>
        <v>Jan-2014</v>
      </c>
    </row>
    <row r="2114" spans="1:13" x14ac:dyDescent="0.3">
      <c r="A2114" t="s">
        <v>2725</v>
      </c>
      <c r="B2114" s="1" t="s">
        <v>134</v>
      </c>
      <c r="C2114" s="1" t="s">
        <v>92</v>
      </c>
      <c r="D2114" s="1" t="s">
        <v>35</v>
      </c>
      <c r="E2114" s="5">
        <v>42608</v>
      </c>
      <c r="F2114" s="3" t="s">
        <v>30</v>
      </c>
      <c r="G2114" s="1" t="s">
        <v>702</v>
      </c>
      <c r="H2114" s="1">
        <v>150</v>
      </c>
      <c r="I2114" s="1">
        <v>131</v>
      </c>
      <c r="J2114" s="2">
        <v>0.12670000000000001</v>
      </c>
      <c r="K2114">
        <f t="shared" si="96"/>
        <v>16.5977</v>
      </c>
      <c r="L2114">
        <f t="shared" si="97"/>
        <v>114.4023</v>
      </c>
      <c r="M2114" t="str">
        <f t="shared" si="98"/>
        <v>Aug-2016</v>
      </c>
    </row>
    <row r="2115" spans="1:13" x14ac:dyDescent="0.3">
      <c r="A2115" t="s">
        <v>2726</v>
      </c>
      <c r="B2115" s="1" t="s">
        <v>103</v>
      </c>
      <c r="C2115" s="1" t="s">
        <v>71</v>
      </c>
      <c r="D2115" s="1" t="s">
        <v>35</v>
      </c>
      <c r="E2115" s="5">
        <v>41727</v>
      </c>
      <c r="F2115" s="3" t="s">
        <v>41</v>
      </c>
      <c r="G2115" s="1" t="s">
        <v>105</v>
      </c>
      <c r="H2115" s="1">
        <v>30</v>
      </c>
      <c r="I2115" s="1">
        <v>23</v>
      </c>
      <c r="J2115" s="2">
        <v>0.23330000000000001</v>
      </c>
      <c r="K2115">
        <f t="shared" si="96"/>
        <v>5.3658999999999999</v>
      </c>
      <c r="L2115">
        <f t="shared" si="97"/>
        <v>17.6341</v>
      </c>
      <c r="M2115" t="str">
        <f t="shared" si="98"/>
        <v>Mar-2014</v>
      </c>
    </row>
    <row r="2116" spans="1:13" x14ac:dyDescent="0.3">
      <c r="A2116" t="s">
        <v>2727</v>
      </c>
      <c r="B2116" s="1" t="s">
        <v>64</v>
      </c>
      <c r="C2116" s="1" t="s">
        <v>65</v>
      </c>
      <c r="D2116" s="1" t="s">
        <v>35</v>
      </c>
      <c r="E2116" s="5">
        <v>42483</v>
      </c>
      <c r="F2116" s="3" t="s">
        <v>30</v>
      </c>
      <c r="G2116" s="1" t="s">
        <v>2469</v>
      </c>
      <c r="H2116" s="1">
        <v>150</v>
      </c>
      <c r="I2116" s="1">
        <v>150</v>
      </c>
      <c r="J2116" s="2">
        <v>0</v>
      </c>
      <c r="K2116">
        <f t="shared" ref="K2116:K2179" si="99">I2116*J2116</f>
        <v>0</v>
      </c>
      <c r="L2116">
        <f t="shared" ref="L2116:L2179" si="100">I2116-K2116</f>
        <v>150</v>
      </c>
      <c r="M2116" t="str">
        <f t="shared" ref="M2116:M2179" si="101">TEXT(E2116, "mmm-yyyy")</f>
        <v>Apr-2016</v>
      </c>
    </row>
    <row r="2117" spans="1:13" x14ac:dyDescent="0.3">
      <c r="A2117" t="s">
        <v>2728</v>
      </c>
      <c r="B2117" s="1" t="s">
        <v>85</v>
      </c>
      <c r="C2117" s="1" t="s">
        <v>86</v>
      </c>
      <c r="D2117" s="1" t="s">
        <v>13</v>
      </c>
      <c r="E2117" s="5">
        <v>41964</v>
      </c>
      <c r="F2117" s="3" t="s">
        <v>104</v>
      </c>
      <c r="G2117" s="1" t="s">
        <v>581</v>
      </c>
      <c r="H2117" s="1">
        <v>70</v>
      </c>
      <c r="I2117" s="1">
        <v>69</v>
      </c>
      <c r="J2117" s="2">
        <v>1.43E-2</v>
      </c>
      <c r="K2117">
        <f t="shared" si="99"/>
        <v>0.98670000000000002</v>
      </c>
      <c r="L2117">
        <f t="shared" si="100"/>
        <v>68.013300000000001</v>
      </c>
      <c r="M2117" t="str">
        <f t="shared" si="101"/>
        <v>Nov-2014</v>
      </c>
    </row>
    <row r="2118" spans="1:13" x14ac:dyDescent="0.3">
      <c r="A2118" t="s">
        <v>2729</v>
      </c>
      <c r="B2118" s="1" t="s">
        <v>70</v>
      </c>
      <c r="C2118" s="1" t="s">
        <v>71</v>
      </c>
      <c r="D2118" s="1" t="s">
        <v>35</v>
      </c>
      <c r="E2118" s="5">
        <v>42305</v>
      </c>
      <c r="F2118" s="3" t="s">
        <v>30</v>
      </c>
      <c r="G2118" s="1" t="s">
        <v>1414</v>
      </c>
      <c r="H2118" s="1">
        <v>150</v>
      </c>
      <c r="I2118" s="1">
        <v>128</v>
      </c>
      <c r="J2118" s="2">
        <v>0.1467</v>
      </c>
      <c r="K2118">
        <f t="shared" si="99"/>
        <v>18.7776</v>
      </c>
      <c r="L2118">
        <f t="shared" si="100"/>
        <v>109.22239999999999</v>
      </c>
      <c r="M2118" t="str">
        <f t="shared" si="101"/>
        <v>Oct-2015</v>
      </c>
    </row>
    <row r="2119" spans="1:13" x14ac:dyDescent="0.3">
      <c r="A2119" t="s">
        <v>2730</v>
      </c>
      <c r="B2119" s="1" t="s">
        <v>241</v>
      </c>
      <c r="C2119" s="1" t="s">
        <v>242</v>
      </c>
      <c r="D2119" s="1" t="s">
        <v>13</v>
      </c>
      <c r="E2119" s="5">
        <v>41898</v>
      </c>
      <c r="F2119" s="3" t="s">
        <v>122</v>
      </c>
      <c r="G2119" s="1" t="s">
        <v>626</v>
      </c>
      <c r="H2119" s="1">
        <v>50</v>
      </c>
      <c r="I2119" s="1">
        <v>49</v>
      </c>
      <c r="J2119" s="2">
        <v>0.02</v>
      </c>
      <c r="K2119">
        <f t="shared" si="99"/>
        <v>0.98</v>
      </c>
      <c r="L2119">
        <f t="shared" si="100"/>
        <v>48.02</v>
      </c>
      <c r="M2119" t="str">
        <f t="shared" si="101"/>
        <v>Sep-2014</v>
      </c>
    </row>
    <row r="2120" spans="1:13" x14ac:dyDescent="0.3">
      <c r="A2120" t="s">
        <v>2731</v>
      </c>
      <c r="B2120" s="1" t="s">
        <v>241</v>
      </c>
      <c r="C2120" s="1" t="s">
        <v>242</v>
      </c>
      <c r="D2120" s="1" t="s">
        <v>13</v>
      </c>
      <c r="E2120" s="5">
        <v>41818</v>
      </c>
      <c r="F2120" s="3" t="s">
        <v>14</v>
      </c>
      <c r="G2120" s="1" t="s">
        <v>520</v>
      </c>
      <c r="H2120" s="1">
        <v>80</v>
      </c>
      <c r="I2120" s="1">
        <v>70</v>
      </c>
      <c r="J2120" s="2">
        <v>0.125</v>
      </c>
      <c r="K2120">
        <f t="shared" si="99"/>
        <v>8.75</v>
      </c>
      <c r="L2120">
        <f t="shared" si="100"/>
        <v>61.25</v>
      </c>
      <c r="M2120" t="str">
        <f t="shared" si="101"/>
        <v>Jun-2014</v>
      </c>
    </row>
    <row r="2121" spans="1:13" x14ac:dyDescent="0.3">
      <c r="A2121" t="s">
        <v>2732</v>
      </c>
      <c r="B2121" s="1" t="s">
        <v>118</v>
      </c>
      <c r="C2121" s="1" t="s">
        <v>119</v>
      </c>
      <c r="D2121" s="1" t="s">
        <v>35</v>
      </c>
      <c r="E2121" s="5">
        <v>41847</v>
      </c>
      <c r="F2121" s="3" t="s">
        <v>14</v>
      </c>
      <c r="G2121" s="1" t="s">
        <v>909</v>
      </c>
      <c r="H2121" s="1">
        <v>80</v>
      </c>
      <c r="I2121" s="1">
        <v>80</v>
      </c>
      <c r="J2121" s="2">
        <v>0</v>
      </c>
      <c r="K2121">
        <f t="shared" si="99"/>
        <v>0</v>
      </c>
      <c r="L2121">
        <f t="shared" si="100"/>
        <v>80</v>
      </c>
      <c r="M2121" t="str">
        <f t="shared" si="101"/>
        <v>Jul-2014</v>
      </c>
    </row>
    <row r="2122" spans="1:13" x14ac:dyDescent="0.3">
      <c r="A2122" t="s">
        <v>2733</v>
      </c>
      <c r="B2122" s="1" t="s">
        <v>187</v>
      </c>
      <c r="C2122" s="1" t="s">
        <v>188</v>
      </c>
      <c r="D2122" s="1" t="s">
        <v>13</v>
      </c>
      <c r="E2122" s="5">
        <v>41667</v>
      </c>
      <c r="F2122" s="3" t="s">
        <v>61</v>
      </c>
      <c r="G2122" s="1" t="s">
        <v>189</v>
      </c>
      <c r="H2122" s="1">
        <v>1000</v>
      </c>
      <c r="I2122" s="1">
        <v>870</v>
      </c>
      <c r="J2122" s="2">
        <v>0.13</v>
      </c>
      <c r="K2122">
        <f t="shared" si="99"/>
        <v>113.10000000000001</v>
      </c>
      <c r="L2122">
        <f t="shared" si="100"/>
        <v>756.9</v>
      </c>
      <c r="M2122" t="str">
        <f t="shared" si="101"/>
        <v>Jan-2014</v>
      </c>
    </row>
    <row r="2123" spans="1:13" x14ac:dyDescent="0.3">
      <c r="A2123" t="s">
        <v>2734</v>
      </c>
      <c r="B2123" s="1" t="s">
        <v>111</v>
      </c>
      <c r="C2123" s="1" t="s">
        <v>82</v>
      </c>
      <c r="D2123" s="1" t="s">
        <v>13</v>
      </c>
      <c r="E2123" s="5">
        <v>42477</v>
      </c>
      <c r="F2123" s="3" t="s">
        <v>122</v>
      </c>
      <c r="G2123" s="1" t="s">
        <v>1218</v>
      </c>
      <c r="H2123" s="1">
        <v>50</v>
      </c>
      <c r="I2123" s="1">
        <v>39</v>
      </c>
      <c r="J2123" s="2">
        <v>0.22</v>
      </c>
      <c r="K2123">
        <f t="shared" si="99"/>
        <v>8.58</v>
      </c>
      <c r="L2123">
        <f t="shared" si="100"/>
        <v>30.42</v>
      </c>
      <c r="M2123" t="str">
        <f t="shared" si="101"/>
        <v>Apr-2016</v>
      </c>
    </row>
    <row r="2124" spans="1:13" x14ac:dyDescent="0.3">
      <c r="A2124" t="s">
        <v>2735</v>
      </c>
      <c r="B2124" s="1" t="s">
        <v>255</v>
      </c>
      <c r="C2124" s="1" t="s">
        <v>256</v>
      </c>
      <c r="D2124" s="1" t="s">
        <v>13</v>
      </c>
      <c r="E2124" s="5">
        <v>42998</v>
      </c>
      <c r="F2124" s="3" t="s">
        <v>30</v>
      </c>
      <c r="G2124" s="1" t="s">
        <v>522</v>
      </c>
      <c r="H2124" s="1">
        <v>150</v>
      </c>
      <c r="I2124" s="1">
        <v>138</v>
      </c>
      <c r="J2124" s="2">
        <v>0.08</v>
      </c>
      <c r="K2124">
        <f t="shared" si="99"/>
        <v>11.040000000000001</v>
      </c>
      <c r="L2124">
        <f t="shared" si="100"/>
        <v>126.96</v>
      </c>
      <c r="M2124" t="str">
        <f t="shared" si="101"/>
        <v>Sep-2017</v>
      </c>
    </row>
    <row r="2125" spans="1:13" x14ac:dyDescent="0.3">
      <c r="A2125" t="s">
        <v>2736</v>
      </c>
      <c r="B2125" s="1" t="s">
        <v>28</v>
      </c>
      <c r="C2125" s="1" t="s">
        <v>29</v>
      </c>
      <c r="D2125" s="1" t="s">
        <v>13</v>
      </c>
      <c r="E2125" s="5">
        <v>41833</v>
      </c>
      <c r="F2125" s="3" t="s">
        <v>14</v>
      </c>
      <c r="G2125" s="1" t="s">
        <v>445</v>
      </c>
      <c r="H2125" s="1">
        <v>80</v>
      </c>
      <c r="I2125" s="1">
        <v>75</v>
      </c>
      <c r="J2125" s="2">
        <v>6.25E-2</v>
      </c>
      <c r="K2125">
        <f t="shared" si="99"/>
        <v>4.6875</v>
      </c>
      <c r="L2125">
        <f t="shared" si="100"/>
        <v>70.3125</v>
      </c>
      <c r="M2125" t="str">
        <f t="shared" si="101"/>
        <v>Jul-2014</v>
      </c>
    </row>
    <row r="2126" spans="1:13" x14ac:dyDescent="0.3">
      <c r="A2126" t="s">
        <v>2737</v>
      </c>
      <c r="B2126" s="1" t="s">
        <v>114</v>
      </c>
      <c r="C2126" s="1" t="s">
        <v>54</v>
      </c>
      <c r="D2126" s="1" t="s">
        <v>13</v>
      </c>
      <c r="E2126" s="5">
        <v>42540</v>
      </c>
      <c r="F2126" s="3" t="s">
        <v>41</v>
      </c>
      <c r="G2126" s="1" t="s">
        <v>1221</v>
      </c>
      <c r="H2126" s="1">
        <v>30</v>
      </c>
      <c r="I2126" s="1">
        <v>29</v>
      </c>
      <c r="J2126" s="2">
        <v>3.3300000000000003E-2</v>
      </c>
      <c r="K2126">
        <f t="shared" si="99"/>
        <v>0.96570000000000011</v>
      </c>
      <c r="L2126">
        <f t="shared" si="100"/>
        <v>28.034299999999998</v>
      </c>
      <c r="M2126" t="str">
        <f t="shared" si="101"/>
        <v>Jun-2016</v>
      </c>
    </row>
    <row r="2127" spans="1:13" x14ac:dyDescent="0.3">
      <c r="A2127" t="s">
        <v>2738</v>
      </c>
      <c r="B2127" s="1" t="s">
        <v>28</v>
      </c>
      <c r="C2127" s="1" t="s">
        <v>29</v>
      </c>
      <c r="D2127" s="1" t="s">
        <v>13</v>
      </c>
      <c r="E2127" s="5">
        <v>42612</v>
      </c>
      <c r="F2127" s="3" t="s">
        <v>104</v>
      </c>
      <c r="G2127" s="1" t="s">
        <v>1743</v>
      </c>
      <c r="H2127" s="1">
        <v>70</v>
      </c>
      <c r="I2127" s="1">
        <v>65</v>
      </c>
      <c r="J2127" s="2">
        <v>7.1400000000000005E-2</v>
      </c>
      <c r="K2127">
        <f t="shared" si="99"/>
        <v>4.641</v>
      </c>
      <c r="L2127">
        <f t="shared" si="100"/>
        <v>60.359000000000002</v>
      </c>
      <c r="M2127" t="str">
        <f t="shared" si="101"/>
        <v>Aug-2016</v>
      </c>
    </row>
    <row r="2128" spans="1:13" x14ac:dyDescent="0.3">
      <c r="A2128" t="s">
        <v>2739</v>
      </c>
      <c r="B2128" s="1" t="s">
        <v>111</v>
      </c>
      <c r="C2128" s="1" t="s">
        <v>82</v>
      </c>
      <c r="D2128" s="1" t="s">
        <v>13</v>
      </c>
      <c r="E2128" s="5">
        <v>42693</v>
      </c>
      <c r="F2128" s="3" t="s">
        <v>122</v>
      </c>
      <c r="G2128" s="1" t="s">
        <v>112</v>
      </c>
      <c r="H2128" s="1">
        <v>50</v>
      </c>
      <c r="I2128" s="1">
        <v>47</v>
      </c>
      <c r="J2128" s="2">
        <v>0.06</v>
      </c>
      <c r="K2128">
        <f t="shared" si="99"/>
        <v>2.82</v>
      </c>
      <c r="L2128">
        <f t="shared" si="100"/>
        <v>44.18</v>
      </c>
      <c r="M2128" t="str">
        <f t="shared" si="101"/>
        <v>Nov-2016</v>
      </c>
    </row>
    <row r="2129" spans="1:13" x14ac:dyDescent="0.3">
      <c r="A2129" t="s">
        <v>2740</v>
      </c>
      <c r="B2129" s="1" t="s">
        <v>2170</v>
      </c>
      <c r="C2129" s="1" t="s">
        <v>18</v>
      </c>
      <c r="D2129" s="1" t="s">
        <v>19</v>
      </c>
      <c r="E2129" s="5">
        <v>42610</v>
      </c>
      <c r="F2129" s="3" t="s">
        <v>30</v>
      </c>
      <c r="G2129" s="1" t="s">
        <v>2457</v>
      </c>
      <c r="H2129" s="1">
        <v>150</v>
      </c>
      <c r="I2129" s="1">
        <v>140</v>
      </c>
      <c r="J2129" s="2">
        <v>6.6699999999999995E-2</v>
      </c>
      <c r="K2129">
        <f t="shared" si="99"/>
        <v>9.3379999999999992</v>
      </c>
      <c r="L2129">
        <f t="shared" si="100"/>
        <v>130.66200000000001</v>
      </c>
      <c r="M2129" t="str">
        <f t="shared" si="101"/>
        <v>Aug-2016</v>
      </c>
    </row>
    <row r="2130" spans="1:13" x14ac:dyDescent="0.3">
      <c r="A2130" t="s">
        <v>2741</v>
      </c>
      <c r="B2130" s="1" t="s">
        <v>22</v>
      </c>
      <c r="C2130" s="1" t="s">
        <v>23</v>
      </c>
      <c r="D2130" s="1" t="s">
        <v>24</v>
      </c>
      <c r="E2130" s="5">
        <v>41989</v>
      </c>
      <c r="F2130" s="3" t="s">
        <v>115</v>
      </c>
      <c r="G2130" s="1" t="s">
        <v>483</v>
      </c>
      <c r="H2130" s="1">
        <v>250</v>
      </c>
      <c r="I2130" s="1">
        <v>228</v>
      </c>
      <c r="J2130" s="2">
        <v>8.7999999999999995E-2</v>
      </c>
      <c r="K2130">
        <f t="shared" si="99"/>
        <v>20.064</v>
      </c>
      <c r="L2130">
        <f t="shared" si="100"/>
        <v>207.93600000000001</v>
      </c>
      <c r="M2130" t="str">
        <f t="shared" si="101"/>
        <v>Dec-2014</v>
      </c>
    </row>
    <row r="2131" spans="1:13" x14ac:dyDescent="0.3">
      <c r="A2131" t="s">
        <v>2742</v>
      </c>
      <c r="B2131" s="1" t="s">
        <v>124</v>
      </c>
      <c r="C2131" s="1" t="s">
        <v>40</v>
      </c>
      <c r="D2131" s="1" t="s">
        <v>35</v>
      </c>
      <c r="E2131" s="5">
        <v>42946</v>
      </c>
      <c r="F2131" s="3" t="s">
        <v>104</v>
      </c>
      <c r="G2131" s="1" t="s">
        <v>125</v>
      </c>
      <c r="H2131" s="1">
        <v>70</v>
      </c>
      <c r="I2131" s="1">
        <v>50</v>
      </c>
      <c r="J2131" s="2">
        <v>0.28570000000000001</v>
      </c>
      <c r="K2131">
        <f t="shared" si="99"/>
        <v>14.285</v>
      </c>
      <c r="L2131">
        <f t="shared" si="100"/>
        <v>35.715000000000003</v>
      </c>
      <c r="M2131" t="str">
        <f t="shared" si="101"/>
        <v>Jul-2017</v>
      </c>
    </row>
    <row r="2132" spans="1:13" x14ac:dyDescent="0.3">
      <c r="A2132" t="s">
        <v>2743</v>
      </c>
      <c r="B2132" s="1" t="s">
        <v>91</v>
      </c>
      <c r="C2132" s="1" t="s">
        <v>92</v>
      </c>
      <c r="D2132" s="1" t="s">
        <v>35</v>
      </c>
      <c r="E2132" s="5">
        <v>42723</v>
      </c>
      <c r="F2132" s="3" t="s">
        <v>55</v>
      </c>
      <c r="G2132" s="1" t="s">
        <v>344</v>
      </c>
      <c r="H2132" s="1">
        <v>800</v>
      </c>
      <c r="I2132" s="1">
        <v>768</v>
      </c>
      <c r="J2132" s="2">
        <v>0.04</v>
      </c>
      <c r="K2132">
        <f t="shared" si="99"/>
        <v>30.72</v>
      </c>
      <c r="L2132">
        <f t="shared" si="100"/>
        <v>737.28</v>
      </c>
      <c r="M2132" t="str">
        <f t="shared" si="101"/>
        <v>Dec-2016</v>
      </c>
    </row>
    <row r="2133" spans="1:13" x14ac:dyDescent="0.3">
      <c r="A2133" t="s">
        <v>2744</v>
      </c>
      <c r="B2133" s="1" t="s">
        <v>157</v>
      </c>
      <c r="C2133" s="1" t="s">
        <v>108</v>
      </c>
      <c r="D2133" s="1" t="s">
        <v>19</v>
      </c>
      <c r="E2133" s="5">
        <v>42081</v>
      </c>
      <c r="F2133" s="3" t="s">
        <v>61</v>
      </c>
      <c r="G2133" s="1" t="s">
        <v>158</v>
      </c>
      <c r="H2133" s="1">
        <v>1000</v>
      </c>
      <c r="I2133" s="1">
        <v>590</v>
      </c>
      <c r="J2133" s="2">
        <v>0.41</v>
      </c>
      <c r="K2133">
        <f t="shared" si="99"/>
        <v>241.89999999999998</v>
      </c>
      <c r="L2133">
        <f t="shared" si="100"/>
        <v>348.1</v>
      </c>
      <c r="M2133" t="str">
        <f t="shared" si="101"/>
        <v>Mar-2015</v>
      </c>
    </row>
    <row r="2134" spans="1:13" x14ac:dyDescent="0.3">
      <c r="A2134" t="s">
        <v>2745</v>
      </c>
      <c r="B2134" s="1" t="s">
        <v>264</v>
      </c>
      <c r="C2134" s="1" t="s">
        <v>265</v>
      </c>
      <c r="D2134" s="1" t="s">
        <v>13</v>
      </c>
      <c r="E2134" s="5">
        <v>42628</v>
      </c>
      <c r="F2134" s="3" t="s">
        <v>36</v>
      </c>
      <c r="G2134" s="1" t="s">
        <v>599</v>
      </c>
      <c r="H2134" s="1">
        <v>50</v>
      </c>
      <c r="I2134" s="1">
        <v>50</v>
      </c>
      <c r="J2134" s="2">
        <v>0</v>
      </c>
      <c r="K2134">
        <f t="shared" si="99"/>
        <v>0</v>
      </c>
      <c r="L2134">
        <f t="shared" si="100"/>
        <v>50</v>
      </c>
      <c r="M2134" t="str">
        <f t="shared" si="101"/>
        <v>Sep-2016</v>
      </c>
    </row>
    <row r="2135" spans="1:13" x14ac:dyDescent="0.3">
      <c r="A2135" t="s">
        <v>2746</v>
      </c>
      <c r="B2135" s="1" t="s">
        <v>11</v>
      </c>
      <c r="C2135" s="1" t="s">
        <v>12</v>
      </c>
      <c r="D2135" s="1" t="s">
        <v>13</v>
      </c>
      <c r="E2135" s="5">
        <v>42727</v>
      </c>
      <c r="F2135" s="3" t="s">
        <v>55</v>
      </c>
      <c r="G2135" s="1" t="s">
        <v>1159</v>
      </c>
      <c r="H2135" s="1">
        <v>800</v>
      </c>
      <c r="I2135" s="1">
        <v>776</v>
      </c>
      <c r="J2135" s="2">
        <v>0.03</v>
      </c>
      <c r="K2135">
        <f t="shared" si="99"/>
        <v>23.279999999999998</v>
      </c>
      <c r="L2135">
        <f t="shared" si="100"/>
        <v>752.72</v>
      </c>
      <c r="M2135" t="str">
        <f t="shared" si="101"/>
        <v>Dec-2016</v>
      </c>
    </row>
    <row r="2136" spans="1:13" x14ac:dyDescent="0.3">
      <c r="A2136" t="s">
        <v>2747</v>
      </c>
      <c r="B2136" s="1" t="s">
        <v>221</v>
      </c>
      <c r="C2136" s="1" t="s">
        <v>40</v>
      </c>
      <c r="D2136" s="1" t="s">
        <v>35</v>
      </c>
      <c r="E2136" s="5">
        <v>43069</v>
      </c>
      <c r="F2136" s="3" t="s">
        <v>41</v>
      </c>
      <c r="G2136" s="1" t="s">
        <v>1322</v>
      </c>
      <c r="H2136" s="1">
        <v>30</v>
      </c>
      <c r="I2136" s="1">
        <v>26</v>
      </c>
      <c r="J2136" s="2">
        <v>0.1333</v>
      </c>
      <c r="K2136">
        <f t="shared" si="99"/>
        <v>3.4658000000000002</v>
      </c>
      <c r="L2136">
        <f t="shared" si="100"/>
        <v>22.534199999999998</v>
      </c>
      <c r="M2136" t="str">
        <f t="shared" si="101"/>
        <v>Nov-2017</v>
      </c>
    </row>
    <row r="2137" spans="1:13" x14ac:dyDescent="0.3">
      <c r="A2137" t="s">
        <v>2748</v>
      </c>
      <c r="B2137" s="1" t="s">
        <v>150</v>
      </c>
      <c r="C2137" s="1" t="s">
        <v>151</v>
      </c>
      <c r="D2137" s="1" t="s">
        <v>13</v>
      </c>
      <c r="E2137" s="5">
        <v>41843</v>
      </c>
      <c r="F2137" s="3" t="s">
        <v>46</v>
      </c>
      <c r="G2137" s="1" t="s">
        <v>2108</v>
      </c>
      <c r="H2137" s="1">
        <v>500</v>
      </c>
      <c r="I2137" s="1">
        <v>360</v>
      </c>
      <c r="J2137" s="2">
        <v>0.28000000000000003</v>
      </c>
      <c r="K2137">
        <f t="shared" si="99"/>
        <v>100.80000000000001</v>
      </c>
      <c r="L2137">
        <f t="shared" si="100"/>
        <v>259.2</v>
      </c>
      <c r="M2137" t="str">
        <f t="shared" si="101"/>
        <v>Jul-2014</v>
      </c>
    </row>
    <row r="2138" spans="1:13" x14ac:dyDescent="0.3">
      <c r="A2138" t="s">
        <v>2749</v>
      </c>
      <c r="B2138" s="1" t="s">
        <v>95</v>
      </c>
      <c r="C2138" s="1" t="s">
        <v>96</v>
      </c>
      <c r="D2138" s="1" t="s">
        <v>13</v>
      </c>
      <c r="E2138" s="5">
        <v>42168</v>
      </c>
      <c r="F2138" s="3" t="s">
        <v>30</v>
      </c>
      <c r="G2138" s="1" t="s">
        <v>180</v>
      </c>
      <c r="H2138" s="1">
        <v>150</v>
      </c>
      <c r="I2138" s="1">
        <v>126</v>
      </c>
      <c r="J2138" s="2">
        <v>0.16</v>
      </c>
      <c r="K2138">
        <f t="shared" si="99"/>
        <v>20.16</v>
      </c>
      <c r="L2138">
        <f t="shared" si="100"/>
        <v>105.84</v>
      </c>
      <c r="M2138" t="str">
        <f t="shared" si="101"/>
        <v>Jun-2015</v>
      </c>
    </row>
    <row r="2139" spans="1:13" x14ac:dyDescent="0.3">
      <c r="A2139" t="s">
        <v>2750</v>
      </c>
      <c r="B2139" s="1" t="s">
        <v>33</v>
      </c>
      <c r="C2139" s="1" t="s">
        <v>34</v>
      </c>
      <c r="D2139" s="1" t="s">
        <v>35</v>
      </c>
      <c r="E2139" s="5">
        <v>42963</v>
      </c>
      <c r="F2139" s="3" t="s">
        <v>55</v>
      </c>
      <c r="G2139" s="1" t="s">
        <v>2422</v>
      </c>
      <c r="H2139" s="1">
        <v>800</v>
      </c>
      <c r="I2139" s="1">
        <v>520</v>
      </c>
      <c r="J2139" s="2">
        <v>0.35</v>
      </c>
      <c r="K2139">
        <f t="shared" si="99"/>
        <v>182</v>
      </c>
      <c r="L2139">
        <f t="shared" si="100"/>
        <v>338</v>
      </c>
      <c r="M2139" t="str">
        <f t="shared" si="101"/>
        <v>Aug-2017</v>
      </c>
    </row>
    <row r="2140" spans="1:13" x14ac:dyDescent="0.3">
      <c r="A2140" t="s">
        <v>2751</v>
      </c>
      <c r="B2140" s="1" t="s">
        <v>182</v>
      </c>
      <c r="C2140" s="1" t="s">
        <v>108</v>
      </c>
      <c r="D2140" s="1" t="s">
        <v>19</v>
      </c>
      <c r="E2140" s="5">
        <v>42146</v>
      </c>
      <c r="F2140" s="3" t="s">
        <v>61</v>
      </c>
      <c r="G2140" s="1" t="s">
        <v>1258</v>
      </c>
      <c r="H2140" s="1">
        <v>1000</v>
      </c>
      <c r="I2140" s="1">
        <v>650</v>
      </c>
      <c r="J2140" s="2">
        <v>0.35</v>
      </c>
      <c r="K2140">
        <f t="shared" si="99"/>
        <v>227.49999999999997</v>
      </c>
      <c r="L2140">
        <f t="shared" si="100"/>
        <v>422.5</v>
      </c>
      <c r="M2140" t="str">
        <f t="shared" si="101"/>
        <v>May-2015</v>
      </c>
    </row>
    <row r="2141" spans="1:13" x14ac:dyDescent="0.3">
      <c r="A2141" t="s">
        <v>2752</v>
      </c>
      <c r="B2141" s="1" t="s">
        <v>134</v>
      </c>
      <c r="C2141" s="1" t="s">
        <v>92</v>
      </c>
      <c r="D2141" s="1" t="s">
        <v>35</v>
      </c>
      <c r="E2141" s="5">
        <v>41755</v>
      </c>
      <c r="F2141" s="3" t="s">
        <v>61</v>
      </c>
      <c r="G2141" s="1" t="s">
        <v>702</v>
      </c>
      <c r="H2141" s="1">
        <v>1000</v>
      </c>
      <c r="I2141" s="1">
        <v>920</v>
      </c>
      <c r="J2141" s="2">
        <v>0.08</v>
      </c>
      <c r="K2141">
        <f t="shared" si="99"/>
        <v>73.600000000000009</v>
      </c>
      <c r="L2141">
        <f t="shared" si="100"/>
        <v>846.4</v>
      </c>
      <c r="M2141" t="str">
        <f t="shared" si="101"/>
        <v>Apr-2014</v>
      </c>
    </row>
    <row r="2142" spans="1:13" x14ac:dyDescent="0.3">
      <c r="A2142" t="s">
        <v>2753</v>
      </c>
      <c r="B2142" s="1" t="s">
        <v>53</v>
      </c>
      <c r="C2142" s="1" t="s">
        <v>54</v>
      </c>
      <c r="D2142" s="1" t="s">
        <v>13</v>
      </c>
      <c r="E2142" s="5">
        <v>42550</v>
      </c>
      <c r="F2142" s="3" t="s">
        <v>122</v>
      </c>
      <c r="G2142" s="1" t="s">
        <v>56</v>
      </c>
      <c r="H2142" s="1">
        <v>50</v>
      </c>
      <c r="I2142" s="1">
        <v>49</v>
      </c>
      <c r="J2142" s="2">
        <v>0.02</v>
      </c>
      <c r="K2142">
        <f t="shared" si="99"/>
        <v>0.98</v>
      </c>
      <c r="L2142">
        <f t="shared" si="100"/>
        <v>48.02</v>
      </c>
      <c r="M2142" t="str">
        <f t="shared" si="101"/>
        <v>Jun-2016</v>
      </c>
    </row>
    <row r="2143" spans="1:13" x14ac:dyDescent="0.3">
      <c r="A2143" t="s">
        <v>2754</v>
      </c>
      <c r="B2143" s="1" t="s">
        <v>95</v>
      </c>
      <c r="C2143" s="1" t="s">
        <v>96</v>
      </c>
      <c r="D2143" s="1" t="s">
        <v>13</v>
      </c>
      <c r="E2143" s="5">
        <v>42478</v>
      </c>
      <c r="F2143" s="3" t="s">
        <v>61</v>
      </c>
      <c r="G2143" s="1" t="s">
        <v>2138</v>
      </c>
      <c r="H2143" s="1">
        <v>1000</v>
      </c>
      <c r="I2143" s="1">
        <v>950</v>
      </c>
      <c r="J2143" s="2">
        <v>0.05</v>
      </c>
      <c r="K2143">
        <f t="shared" si="99"/>
        <v>47.5</v>
      </c>
      <c r="L2143">
        <f t="shared" si="100"/>
        <v>902.5</v>
      </c>
      <c r="M2143" t="str">
        <f t="shared" si="101"/>
        <v>Apr-2016</v>
      </c>
    </row>
    <row r="2144" spans="1:13" x14ac:dyDescent="0.3">
      <c r="A2144" t="s">
        <v>2755</v>
      </c>
      <c r="B2144" s="1" t="s">
        <v>107</v>
      </c>
      <c r="C2144" s="1" t="s">
        <v>108</v>
      </c>
      <c r="D2144" s="1" t="s">
        <v>19</v>
      </c>
      <c r="E2144" s="5">
        <v>41958</v>
      </c>
      <c r="F2144" s="3" t="s">
        <v>41</v>
      </c>
      <c r="G2144" s="1" t="s">
        <v>239</v>
      </c>
      <c r="H2144" s="1">
        <v>30</v>
      </c>
      <c r="I2144" s="1">
        <v>29</v>
      </c>
      <c r="J2144" s="2">
        <v>3.3300000000000003E-2</v>
      </c>
      <c r="K2144">
        <f t="shared" si="99"/>
        <v>0.96570000000000011</v>
      </c>
      <c r="L2144">
        <f t="shared" si="100"/>
        <v>28.034299999999998</v>
      </c>
      <c r="M2144" t="str">
        <f t="shared" si="101"/>
        <v>Nov-2014</v>
      </c>
    </row>
    <row r="2145" spans="1:13" x14ac:dyDescent="0.3">
      <c r="A2145" t="s">
        <v>2756</v>
      </c>
      <c r="B2145" s="1" t="s">
        <v>241</v>
      </c>
      <c r="C2145" s="1" t="s">
        <v>242</v>
      </c>
      <c r="D2145" s="1" t="s">
        <v>13</v>
      </c>
      <c r="E2145" s="5">
        <v>42576</v>
      </c>
      <c r="F2145" s="3" t="s">
        <v>122</v>
      </c>
      <c r="G2145" s="1" t="s">
        <v>520</v>
      </c>
      <c r="H2145" s="1">
        <v>50</v>
      </c>
      <c r="I2145" s="1">
        <v>37</v>
      </c>
      <c r="J2145" s="2">
        <v>0.26</v>
      </c>
      <c r="K2145">
        <f t="shared" si="99"/>
        <v>9.620000000000001</v>
      </c>
      <c r="L2145">
        <f t="shared" si="100"/>
        <v>27.38</v>
      </c>
      <c r="M2145" t="str">
        <f t="shared" si="101"/>
        <v>Jul-2016</v>
      </c>
    </row>
    <row r="2146" spans="1:13" x14ac:dyDescent="0.3">
      <c r="A2146" t="s">
        <v>2757</v>
      </c>
      <c r="B2146" s="1" t="s">
        <v>131</v>
      </c>
      <c r="C2146" s="1" t="s">
        <v>108</v>
      </c>
      <c r="D2146" s="1" t="s">
        <v>19</v>
      </c>
      <c r="E2146" s="5">
        <v>41661</v>
      </c>
      <c r="F2146" s="3" t="s">
        <v>41</v>
      </c>
      <c r="G2146" s="1" t="s">
        <v>474</v>
      </c>
      <c r="H2146" s="1">
        <v>30</v>
      </c>
      <c r="I2146" s="1">
        <v>23</v>
      </c>
      <c r="J2146" s="2">
        <v>0.23330000000000001</v>
      </c>
      <c r="K2146">
        <f t="shared" si="99"/>
        <v>5.3658999999999999</v>
      </c>
      <c r="L2146">
        <f t="shared" si="100"/>
        <v>17.6341</v>
      </c>
      <c r="M2146" t="str">
        <f t="shared" si="101"/>
        <v>Jan-2014</v>
      </c>
    </row>
    <row r="2147" spans="1:13" x14ac:dyDescent="0.3">
      <c r="A2147" t="s">
        <v>2758</v>
      </c>
      <c r="B2147" s="1" t="s">
        <v>77</v>
      </c>
      <c r="C2147" s="1" t="s">
        <v>78</v>
      </c>
      <c r="D2147" s="1" t="s">
        <v>35</v>
      </c>
      <c r="E2147" s="5">
        <v>42450</v>
      </c>
      <c r="F2147" s="3" t="s">
        <v>115</v>
      </c>
      <c r="G2147" s="1" t="s">
        <v>1789</v>
      </c>
      <c r="H2147" s="1">
        <v>250</v>
      </c>
      <c r="I2147" s="1">
        <v>168</v>
      </c>
      <c r="J2147" s="2">
        <v>0.32800000000000001</v>
      </c>
      <c r="K2147">
        <f t="shared" si="99"/>
        <v>55.103999999999999</v>
      </c>
      <c r="L2147">
        <f t="shared" si="100"/>
        <v>112.896</v>
      </c>
      <c r="M2147" t="str">
        <f t="shared" si="101"/>
        <v>Mar-2016</v>
      </c>
    </row>
    <row r="2148" spans="1:13" x14ac:dyDescent="0.3">
      <c r="A2148" t="s">
        <v>2759</v>
      </c>
      <c r="B2148" s="1" t="s">
        <v>81</v>
      </c>
      <c r="C2148" s="1" t="s">
        <v>82</v>
      </c>
      <c r="D2148" s="1" t="s">
        <v>13</v>
      </c>
      <c r="E2148" s="5">
        <v>42721</v>
      </c>
      <c r="F2148" s="3" t="s">
        <v>25</v>
      </c>
      <c r="G2148" s="1" t="s">
        <v>1232</v>
      </c>
      <c r="H2148" s="1">
        <v>700</v>
      </c>
      <c r="I2148" s="1">
        <v>609</v>
      </c>
      <c r="J2148" s="2">
        <v>0.13</v>
      </c>
      <c r="K2148">
        <f t="shared" si="99"/>
        <v>79.17</v>
      </c>
      <c r="L2148">
        <f t="shared" si="100"/>
        <v>529.83000000000004</v>
      </c>
      <c r="M2148" t="str">
        <f t="shared" si="101"/>
        <v>Dec-2016</v>
      </c>
    </row>
    <row r="2149" spans="1:13" x14ac:dyDescent="0.3">
      <c r="A2149" t="s">
        <v>2760</v>
      </c>
      <c r="B2149" s="1" t="s">
        <v>2170</v>
      </c>
      <c r="C2149" s="1" t="s">
        <v>18</v>
      </c>
      <c r="D2149" s="1" t="s">
        <v>19</v>
      </c>
      <c r="E2149" s="5">
        <v>42391</v>
      </c>
      <c r="F2149" s="3" t="s">
        <v>46</v>
      </c>
      <c r="G2149" s="1" t="s">
        <v>2363</v>
      </c>
      <c r="H2149" s="1">
        <v>500</v>
      </c>
      <c r="I2149" s="1">
        <v>470</v>
      </c>
      <c r="J2149" s="2">
        <v>0.06</v>
      </c>
      <c r="K2149">
        <f t="shared" si="99"/>
        <v>28.2</v>
      </c>
      <c r="L2149">
        <f t="shared" si="100"/>
        <v>441.8</v>
      </c>
      <c r="M2149" t="str">
        <f t="shared" si="101"/>
        <v>Jan-2016</v>
      </c>
    </row>
    <row r="2150" spans="1:13" x14ac:dyDescent="0.3">
      <c r="A2150" t="s">
        <v>2761</v>
      </c>
      <c r="B2150" s="1" t="s">
        <v>154</v>
      </c>
      <c r="C2150" s="1" t="s">
        <v>108</v>
      </c>
      <c r="D2150" s="1" t="s">
        <v>19</v>
      </c>
      <c r="E2150" s="5">
        <v>42637</v>
      </c>
      <c r="F2150" s="3" t="s">
        <v>14</v>
      </c>
      <c r="G2150" s="1" t="s">
        <v>490</v>
      </c>
      <c r="H2150" s="1">
        <v>80</v>
      </c>
      <c r="I2150" s="1">
        <v>79</v>
      </c>
      <c r="J2150" s="2">
        <v>1.2500000000000001E-2</v>
      </c>
      <c r="K2150">
        <f t="shared" si="99"/>
        <v>0.98750000000000004</v>
      </c>
      <c r="L2150">
        <f t="shared" si="100"/>
        <v>78.012500000000003</v>
      </c>
      <c r="M2150" t="str">
        <f t="shared" si="101"/>
        <v>Sep-2016</v>
      </c>
    </row>
    <row r="2151" spans="1:13" x14ac:dyDescent="0.3">
      <c r="A2151" t="s">
        <v>2762</v>
      </c>
      <c r="B2151" s="1" t="s">
        <v>221</v>
      </c>
      <c r="C2151" s="1" t="s">
        <v>40</v>
      </c>
      <c r="D2151" s="1" t="s">
        <v>35</v>
      </c>
      <c r="E2151" s="5">
        <v>42336</v>
      </c>
      <c r="F2151" s="3" t="s">
        <v>30</v>
      </c>
      <c r="G2151" s="1" t="s">
        <v>2425</v>
      </c>
      <c r="H2151" s="1">
        <v>150</v>
      </c>
      <c r="I2151" s="1">
        <v>105</v>
      </c>
      <c r="J2151" s="2">
        <v>0.3</v>
      </c>
      <c r="K2151">
        <f t="shared" si="99"/>
        <v>31.5</v>
      </c>
      <c r="L2151">
        <f t="shared" si="100"/>
        <v>73.5</v>
      </c>
      <c r="M2151" t="str">
        <f t="shared" si="101"/>
        <v>Nov-2015</v>
      </c>
    </row>
    <row r="2152" spans="1:13" x14ac:dyDescent="0.3">
      <c r="A2152" t="s">
        <v>2763</v>
      </c>
      <c r="B2152" s="1" t="s">
        <v>227</v>
      </c>
      <c r="C2152" s="1" t="s">
        <v>228</v>
      </c>
      <c r="D2152" s="1" t="s">
        <v>24</v>
      </c>
      <c r="E2152" s="5">
        <v>42453</v>
      </c>
      <c r="F2152" s="3" t="s">
        <v>14</v>
      </c>
      <c r="G2152" s="1" t="s">
        <v>278</v>
      </c>
      <c r="H2152" s="1">
        <v>80</v>
      </c>
      <c r="I2152" s="1">
        <v>58</v>
      </c>
      <c r="J2152" s="2">
        <v>0.27500000000000002</v>
      </c>
      <c r="K2152">
        <f t="shared" si="99"/>
        <v>15.950000000000001</v>
      </c>
      <c r="L2152">
        <f t="shared" si="100"/>
        <v>42.05</v>
      </c>
      <c r="M2152" t="str">
        <f t="shared" si="101"/>
        <v>Mar-2016</v>
      </c>
    </row>
    <row r="2153" spans="1:13" x14ac:dyDescent="0.3">
      <c r="A2153" t="s">
        <v>2764</v>
      </c>
      <c r="B2153" s="1" t="s">
        <v>11</v>
      </c>
      <c r="C2153" s="1" t="s">
        <v>12</v>
      </c>
      <c r="D2153" s="1" t="s">
        <v>13</v>
      </c>
      <c r="E2153" s="5">
        <v>43325</v>
      </c>
      <c r="F2153" s="3" t="s">
        <v>55</v>
      </c>
      <c r="G2153" s="1" t="s">
        <v>276</v>
      </c>
      <c r="H2153" s="1">
        <v>800</v>
      </c>
      <c r="I2153" s="1">
        <v>744</v>
      </c>
      <c r="J2153" s="2">
        <v>7.0000000000000007E-2</v>
      </c>
      <c r="K2153">
        <f t="shared" si="99"/>
        <v>52.080000000000005</v>
      </c>
      <c r="L2153">
        <f t="shared" si="100"/>
        <v>691.92</v>
      </c>
      <c r="M2153" t="str">
        <f t="shared" si="101"/>
        <v>Aug-2018</v>
      </c>
    </row>
    <row r="2154" spans="1:13" x14ac:dyDescent="0.3">
      <c r="A2154" t="s">
        <v>2765</v>
      </c>
      <c r="B2154" s="1" t="s">
        <v>187</v>
      </c>
      <c r="C2154" s="1" t="s">
        <v>188</v>
      </c>
      <c r="D2154" s="1" t="s">
        <v>13</v>
      </c>
      <c r="E2154" s="5">
        <v>41807</v>
      </c>
      <c r="F2154" s="3" t="s">
        <v>25</v>
      </c>
      <c r="G2154" s="1" t="s">
        <v>1150</v>
      </c>
      <c r="H2154" s="1">
        <v>700</v>
      </c>
      <c r="I2154" s="1">
        <v>651</v>
      </c>
      <c r="J2154" s="2">
        <v>7.0000000000000007E-2</v>
      </c>
      <c r="K2154">
        <f t="shared" si="99"/>
        <v>45.570000000000007</v>
      </c>
      <c r="L2154">
        <f t="shared" si="100"/>
        <v>605.42999999999995</v>
      </c>
      <c r="M2154" t="str">
        <f t="shared" si="101"/>
        <v>Jun-2014</v>
      </c>
    </row>
    <row r="2155" spans="1:13" x14ac:dyDescent="0.3">
      <c r="A2155" t="s">
        <v>2766</v>
      </c>
      <c r="B2155" s="1" t="s">
        <v>77</v>
      </c>
      <c r="C2155" s="1" t="s">
        <v>78</v>
      </c>
      <c r="D2155" s="1" t="s">
        <v>35</v>
      </c>
      <c r="E2155" s="5">
        <v>43311</v>
      </c>
      <c r="F2155" s="3" t="s">
        <v>104</v>
      </c>
      <c r="G2155" s="1" t="s">
        <v>79</v>
      </c>
      <c r="H2155" s="1">
        <v>70</v>
      </c>
      <c r="I2155" s="1">
        <v>65</v>
      </c>
      <c r="J2155" s="2">
        <v>7.1400000000000005E-2</v>
      </c>
      <c r="K2155">
        <f t="shared" si="99"/>
        <v>4.641</v>
      </c>
      <c r="L2155">
        <f t="shared" si="100"/>
        <v>60.359000000000002</v>
      </c>
      <c r="M2155" t="str">
        <f t="shared" si="101"/>
        <v>Jul-2018</v>
      </c>
    </row>
    <row r="2156" spans="1:13" x14ac:dyDescent="0.3">
      <c r="A2156" t="s">
        <v>2767</v>
      </c>
      <c r="B2156" s="1" t="s">
        <v>107</v>
      </c>
      <c r="C2156" s="1" t="s">
        <v>108</v>
      </c>
      <c r="D2156" s="1" t="s">
        <v>19</v>
      </c>
      <c r="E2156" s="5">
        <v>42571</v>
      </c>
      <c r="F2156" s="3" t="s">
        <v>14</v>
      </c>
      <c r="G2156" s="1" t="s">
        <v>946</v>
      </c>
      <c r="H2156" s="1">
        <v>80</v>
      </c>
      <c r="I2156" s="1">
        <v>75</v>
      </c>
      <c r="J2156" s="2">
        <v>6.25E-2</v>
      </c>
      <c r="K2156">
        <f t="shared" si="99"/>
        <v>4.6875</v>
      </c>
      <c r="L2156">
        <f t="shared" si="100"/>
        <v>70.3125</v>
      </c>
      <c r="M2156" t="str">
        <f t="shared" si="101"/>
        <v>Jul-2016</v>
      </c>
    </row>
    <row r="2157" spans="1:13" x14ac:dyDescent="0.3">
      <c r="A2157" t="s">
        <v>2768</v>
      </c>
      <c r="B2157" s="1" t="s">
        <v>44</v>
      </c>
      <c r="C2157" s="1" t="s">
        <v>45</v>
      </c>
      <c r="D2157" s="1" t="s">
        <v>24</v>
      </c>
      <c r="E2157" s="5">
        <v>43125</v>
      </c>
      <c r="F2157" s="3" t="s">
        <v>46</v>
      </c>
      <c r="G2157" s="1" t="s">
        <v>431</v>
      </c>
      <c r="H2157" s="1">
        <v>500</v>
      </c>
      <c r="I2157" s="1">
        <v>500</v>
      </c>
      <c r="J2157" s="2">
        <v>0</v>
      </c>
      <c r="K2157">
        <f t="shared" si="99"/>
        <v>0</v>
      </c>
      <c r="L2157">
        <f t="shared" si="100"/>
        <v>500</v>
      </c>
      <c r="M2157" t="str">
        <f t="shared" si="101"/>
        <v>Jan-2018</v>
      </c>
    </row>
    <row r="2158" spans="1:13" x14ac:dyDescent="0.3">
      <c r="A2158" t="s">
        <v>2769</v>
      </c>
      <c r="B2158" s="1" t="s">
        <v>53</v>
      </c>
      <c r="C2158" s="1" t="s">
        <v>54</v>
      </c>
      <c r="D2158" s="1" t="s">
        <v>13</v>
      </c>
      <c r="E2158" s="5">
        <v>43425</v>
      </c>
      <c r="F2158" s="3" t="s">
        <v>72</v>
      </c>
      <c r="G2158" s="1" t="s">
        <v>814</v>
      </c>
      <c r="H2158" s="1">
        <v>500</v>
      </c>
      <c r="I2158" s="1">
        <v>495</v>
      </c>
      <c r="J2158" s="2">
        <v>0.01</v>
      </c>
      <c r="K2158">
        <f t="shared" si="99"/>
        <v>4.95</v>
      </c>
      <c r="L2158">
        <f t="shared" si="100"/>
        <v>490.05</v>
      </c>
      <c r="M2158" t="str">
        <f t="shared" si="101"/>
        <v>Nov-2018</v>
      </c>
    </row>
    <row r="2159" spans="1:13" x14ac:dyDescent="0.3">
      <c r="A2159" t="s">
        <v>2770</v>
      </c>
      <c r="B2159" s="1" t="s">
        <v>118</v>
      </c>
      <c r="C2159" s="1" t="s">
        <v>119</v>
      </c>
      <c r="D2159" s="1" t="s">
        <v>35</v>
      </c>
      <c r="E2159" s="5">
        <v>41817</v>
      </c>
      <c r="F2159" s="3" t="s">
        <v>25</v>
      </c>
      <c r="G2159" s="1" t="s">
        <v>896</v>
      </c>
      <c r="H2159" s="1">
        <v>700</v>
      </c>
      <c r="I2159" s="1">
        <v>665</v>
      </c>
      <c r="J2159" s="2">
        <v>0.05</v>
      </c>
      <c r="K2159">
        <f t="shared" si="99"/>
        <v>33.25</v>
      </c>
      <c r="L2159">
        <f t="shared" si="100"/>
        <v>631.75</v>
      </c>
      <c r="M2159" t="str">
        <f t="shared" si="101"/>
        <v>Jun-2014</v>
      </c>
    </row>
    <row r="2160" spans="1:13" x14ac:dyDescent="0.3">
      <c r="A2160" t="s">
        <v>2771</v>
      </c>
      <c r="B2160" s="1" t="s">
        <v>95</v>
      </c>
      <c r="C2160" s="1" t="s">
        <v>96</v>
      </c>
      <c r="D2160" s="1" t="s">
        <v>13</v>
      </c>
      <c r="E2160" s="5">
        <v>43176</v>
      </c>
      <c r="F2160" s="3" t="s">
        <v>115</v>
      </c>
      <c r="G2160" s="1" t="s">
        <v>216</v>
      </c>
      <c r="H2160" s="1">
        <v>250</v>
      </c>
      <c r="I2160" s="1">
        <v>230</v>
      </c>
      <c r="J2160" s="2">
        <v>0.08</v>
      </c>
      <c r="K2160">
        <f t="shared" si="99"/>
        <v>18.400000000000002</v>
      </c>
      <c r="L2160">
        <f t="shared" si="100"/>
        <v>211.6</v>
      </c>
      <c r="M2160" t="str">
        <f t="shared" si="101"/>
        <v>Mar-2018</v>
      </c>
    </row>
    <row r="2161" spans="1:13" x14ac:dyDescent="0.3">
      <c r="A2161" t="s">
        <v>2772</v>
      </c>
      <c r="B2161" s="1" t="s">
        <v>81</v>
      </c>
      <c r="C2161" s="1" t="s">
        <v>82</v>
      </c>
      <c r="D2161" s="1" t="s">
        <v>13</v>
      </c>
      <c r="E2161" s="5">
        <v>42138</v>
      </c>
      <c r="F2161" s="3" t="s">
        <v>30</v>
      </c>
      <c r="G2161" s="1" t="s">
        <v>1047</v>
      </c>
      <c r="H2161" s="1">
        <v>150</v>
      </c>
      <c r="I2161" s="1">
        <v>143</v>
      </c>
      <c r="J2161" s="2">
        <v>4.6699999999999998E-2</v>
      </c>
      <c r="K2161">
        <f t="shared" si="99"/>
        <v>6.6780999999999997</v>
      </c>
      <c r="L2161">
        <f t="shared" si="100"/>
        <v>136.3219</v>
      </c>
      <c r="M2161" t="str">
        <f t="shared" si="101"/>
        <v>May-2015</v>
      </c>
    </row>
    <row r="2162" spans="1:13" x14ac:dyDescent="0.3">
      <c r="A2162" t="s">
        <v>2773</v>
      </c>
      <c r="B2162" s="1" t="s">
        <v>434</v>
      </c>
      <c r="C2162" s="1" t="s">
        <v>435</v>
      </c>
      <c r="D2162" s="1" t="s">
        <v>24</v>
      </c>
      <c r="E2162" s="5">
        <v>42580</v>
      </c>
      <c r="F2162" s="3" t="s">
        <v>115</v>
      </c>
      <c r="G2162" s="1" t="s">
        <v>462</v>
      </c>
      <c r="H2162" s="1">
        <v>250</v>
      </c>
      <c r="I2162" s="1">
        <v>230</v>
      </c>
      <c r="J2162" s="2">
        <v>0.08</v>
      </c>
      <c r="K2162">
        <f t="shared" si="99"/>
        <v>18.400000000000002</v>
      </c>
      <c r="L2162">
        <f t="shared" si="100"/>
        <v>211.6</v>
      </c>
      <c r="M2162" t="str">
        <f t="shared" si="101"/>
        <v>Jul-2016</v>
      </c>
    </row>
    <row r="2163" spans="1:13" x14ac:dyDescent="0.3">
      <c r="A2163" t="s">
        <v>2774</v>
      </c>
      <c r="B2163" s="1" t="s">
        <v>22</v>
      </c>
      <c r="C2163" s="1" t="s">
        <v>23</v>
      </c>
      <c r="D2163" s="1" t="s">
        <v>24</v>
      </c>
      <c r="E2163" s="5">
        <v>41906</v>
      </c>
      <c r="F2163" s="3" t="s">
        <v>25</v>
      </c>
      <c r="G2163" s="1" t="s">
        <v>310</v>
      </c>
      <c r="H2163" s="1">
        <v>700</v>
      </c>
      <c r="I2163" s="1">
        <v>665</v>
      </c>
      <c r="J2163" s="2">
        <v>0.05</v>
      </c>
      <c r="K2163">
        <f t="shared" si="99"/>
        <v>33.25</v>
      </c>
      <c r="L2163">
        <f t="shared" si="100"/>
        <v>631.75</v>
      </c>
      <c r="M2163" t="str">
        <f t="shared" si="101"/>
        <v>Sep-2014</v>
      </c>
    </row>
    <row r="2164" spans="1:13" x14ac:dyDescent="0.3">
      <c r="A2164" t="s">
        <v>2775</v>
      </c>
      <c r="B2164" s="1" t="s">
        <v>2243</v>
      </c>
      <c r="C2164" s="1" t="s">
        <v>108</v>
      </c>
      <c r="D2164" s="1" t="s">
        <v>19</v>
      </c>
      <c r="E2164" s="5">
        <v>41986</v>
      </c>
      <c r="F2164" s="3" t="s">
        <v>115</v>
      </c>
      <c r="G2164" s="1" t="s">
        <v>2776</v>
      </c>
      <c r="H2164" s="1">
        <v>250</v>
      </c>
      <c r="I2164" s="1">
        <v>245</v>
      </c>
      <c r="J2164" s="2">
        <v>0.02</v>
      </c>
      <c r="K2164">
        <f t="shared" si="99"/>
        <v>4.9000000000000004</v>
      </c>
      <c r="L2164">
        <f t="shared" si="100"/>
        <v>240.1</v>
      </c>
      <c r="M2164" t="str">
        <f t="shared" si="101"/>
        <v>Dec-2014</v>
      </c>
    </row>
    <row r="2165" spans="1:13" x14ac:dyDescent="0.3">
      <c r="A2165" t="s">
        <v>2777</v>
      </c>
      <c r="B2165" s="1" t="s">
        <v>154</v>
      </c>
      <c r="C2165" s="1" t="s">
        <v>108</v>
      </c>
      <c r="D2165" s="1" t="s">
        <v>19</v>
      </c>
      <c r="E2165" s="5">
        <v>43266</v>
      </c>
      <c r="F2165" s="3" t="s">
        <v>36</v>
      </c>
      <c r="G2165" s="1" t="s">
        <v>490</v>
      </c>
      <c r="H2165" s="1">
        <v>50</v>
      </c>
      <c r="I2165" s="1">
        <v>38</v>
      </c>
      <c r="J2165" s="2">
        <v>0.24</v>
      </c>
      <c r="K2165">
        <f t="shared" si="99"/>
        <v>9.1199999999999992</v>
      </c>
      <c r="L2165">
        <f t="shared" si="100"/>
        <v>28.880000000000003</v>
      </c>
      <c r="M2165" t="str">
        <f t="shared" si="101"/>
        <v>Jun-2018</v>
      </c>
    </row>
    <row r="2166" spans="1:13" x14ac:dyDescent="0.3">
      <c r="A2166" t="s">
        <v>2778</v>
      </c>
      <c r="B2166" s="1" t="s">
        <v>134</v>
      </c>
      <c r="C2166" s="1" t="s">
        <v>92</v>
      </c>
      <c r="D2166" s="1" t="s">
        <v>35</v>
      </c>
      <c r="E2166" s="5">
        <v>42838</v>
      </c>
      <c r="F2166" s="3" t="s">
        <v>104</v>
      </c>
      <c r="G2166" s="1" t="s">
        <v>538</v>
      </c>
      <c r="H2166" s="1">
        <v>70</v>
      </c>
      <c r="I2166" s="1">
        <v>64</v>
      </c>
      <c r="J2166" s="2">
        <v>8.5699999999999998E-2</v>
      </c>
      <c r="K2166">
        <f t="shared" si="99"/>
        <v>5.4847999999999999</v>
      </c>
      <c r="L2166">
        <f t="shared" si="100"/>
        <v>58.5152</v>
      </c>
      <c r="M2166" t="str">
        <f t="shared" si="101"/>
        <v>Apr-2017</v>
      </c>
    </row>
    <row r="2167" spans="1:13" x14ac:dyDescent="0.3">
      <c r="A2167" t="s">
        <v>2779</v>
      </c>
      <c r="B2167" s="1" t="s">
        <v>124</v>
      </c>
      <c r="C2167" s="1" t="s">
        <v>40</v>
      </c>
      <c r="D2167" s="1" t="s">
        <v>35</v>
      </c>
      <c r="E2167" s="5">
        <v>41720</v>
      </c>
      <c r="F2167" s="3" t="s">
        <v>115</v>
      </c>
      <c r="G2167" s="1" t="s">
        <v>916</v>
      </c>
      <c r="H2167" s="1">
        <v>250</v>
      </c>
      <c r="I2167" s="1">
        <v>238</v>
      </c>
      <c r="J2167" s="2">
        <v>4.8000000000000001E-2</v>
      </c>
      <c r="K2167">
        <f t="shared" si="99"/>
        <v>11.423999999999999</v>
      </c>
      <c r="L2167">
        <f t="shared" si="100"/>
        <v>226.57599999999999</v>
      </c>
      <c r="M2167" t="str">
        <f t="shared" si="101"/>
        <v>Mar-2014</v>
      </c>
    </row>
    <row r="2168" spans="1:13" x14ac:dyDescent="0.3">
      <c r="A2168" t="s">
        <v>2780</v>
      </c>
      <c r="B2168" s="1" t="s">
        <v>111</v>
      </c>
      <c r="C2168" s="1" t="s">
        <v>82</v>
      </c>
      <c r="D2168" s="1" t="s">
        <v>13</v>
      </c>
      <c r="E2168" s="5">
        <v>43144</v>
      </c>
      <c r="F2168" s="3" t="s">
        <v>30</v>
      </c>
      <c r="G2168" s="1" t="s">
        <v>610</v>
      </c>
      <c r="H2168" s="1">
        <v>150</v>
      </c>
      <c r="I2168" s="1">
        <v>137</v>
      </c>
      <c r="J2168" s="2">
        <v>8.6699999999999999E-2</v>
      </c>
      <c r="K2168">
        <f t="shared" si="99"/>
        <v>11.8779</v>
      </c>
      <c r="L2168">
        <f t="shared" si="100"/>
        <v>125.1221</v>
      </c>
      <c r="M2168" t="str">
        <f t="shared" si="101"/>
        <v>Feb-2018</v>
      </c>
    </row>
    <row r="2169" spans="1:13" x14ac:dyDescent="0.3">
      <c r="A2169" t="s">
        <v>2781</v>
      </c>
      <c r="B2169" s="1" t="s">
        <v>170</v>
      </c>
      <c r="C2169" s="1" t="s">
        <v>171</v>
      </c>
      <c r="D2169" s="1" t="s">
        <v>13</v>
      </c>
      <c r="E2169" s="5">
        <v>43241</v>
      </c>
      <c r="F2169" s="3" t="s">
        <v>55</v>
      </c>
      <c r="G2169" s="1" t="s">
        <v>941</v>
      </c>
      <c r="H2169" s="1">
        <v>800</v>
      </c>
      <c r="I2169" s="1">
        <v>520</v>
      </c>
      <c r="J2169" s="2">
        <v>0.35</v>
      </c>
      <c r="K2169">
        <f t="shared" si="99"/>
        <v>182</v>
      </c>
      <c r="L2169">
        <f t="shared" si="100"/>
        <v>338</v>
      </c>
      <c r="M2169" t="str">
        <f t="shared" si="101"/>
        <v>May-2018</v>
      </c>
    </row>
    <row r="2170" spans="1:13" x14ac:dyDescent="0.3">
      <c r="A2170" t="s">
        <v>2782</v>
      </c>
      <c r="B2170" s="1" t="s">
        <v>187</v>
      </c>
      <c r="C2170" s="1" t="s">
        <v>188</v>
      </c>
      <c r="D2170" s="1" t="s">
        <v>13</v>
      </c>
      <c r="E2170" s="5">
        <v>43034</v>
      </c>
      <c r="F2170" s="3" t="s">
        <v>14</v>
      </c>
      <c r="G2170" s="1" t="s">
        <v>791</v>
      </c>
      <c r="H2170" s="1">
        <v>80</v>
      </c>
      <c r="I2170" s="1">
        <v>80</v>
      </c>
      <c r="J2170" s="2">
        <v>0</v>
      </c>
      <c r="K2170">
        <f t="shared" si="99"/>
        <v>0</v>
      </c>
      <c r="L2170">
        <f t="shared" si="100"/>
        <v>80</v>
      </c>
      <c r="M2170" t="str">
        <f t="shared" si="101"/>
        <v>Oct-2017</v>
      </c>
    </row>
    <row r="2171" spans="1:13" x14ac:dyDescent="0.3">
      <c r="A2171" t="s">
        <v>2783</v>
      </c>
      <c r="B2171" s="1" t="s">
        <v>99</v>
      </c>
      <c r="C2171" s="1" t="s">
        <v>100</v>
      </c>
      <c r="D2171" s="1" t="s">
        <v>13</v>
      </c>
      <c r="E2171" s="5">
        <v>42119</v>
      </c>
      <c r="F2171" s="3" t="s">
        <v>14</v>
      </c>
      <c r="G2171" s="1" t="s">
        <v>948</v>
      </c>
      <c r="H2171" s="1">
        <v>80</v>
      </c>
      <c r="I2171" s="1">
        <v>62</v>
      </c>
      <c r="J2171" s="2">
        <v>0.22500000000000001</v>
      </c>
      <c r="K2171">
        <f t="shared" si="99"/>
        <v>13.950000000000001</v>
      </c>
      <c r="L2171">
        <f t="shared" si="100"/>
        <v>48.05</v>
      </c>
      <c r="M2171" t="str">
        <f t="shared" si="101"/>
        <v>Apr-2015</v>
      </c>
    </row>
    <row r="2172" spans="1:13" x14ac:dyDescent="0.3">
      <c r="A2172" t="s">
        <v>2784</v>
      </c>
      <c r="B2172" s="1" t="s">
        <v>53</v>
      </c>
      <c r="C2172" s="1" t="s">
        <v>54</v>
      </c>
      <c r="D2172" s="1" t="s">
        <v>13</v>
      </c>
      <c r="E2172" s="5">
        <v>43088</v>
      </c>
      <c r="F2172" s="3" t="s">
        <v>36</v>
      </c>
      <c r="G2172" s="1" t="s">
        <v>647</v>
      </c>
      <c r="H2172" s="1">
        <v>50</v>
      </c>
      <c r="I2172" s="1">
        <v>50</v>
      </c>
      <c r="J2172" s="2">
        <v>0</v>
      </c>
      <c r="K2172">
        <f t="shared" si="99"/>
        <v>0</v>
      </c>
      <c r="L2172">
        <f t="shared" si="100"/>
        <v>50</v>
      </c>
      <c r="M2172" t="str">
        <f t="shared" si="101"/>
        <v>Dec-2017</v>
      </c>
    </row>
    <row r="2173" spans="1:13" x14ac:dyDescent="0.3">
      <c r="A2173" t="s">
        <v>2785</v>
      </c>
      <c r="B2173" s="1" t="s">
        <v>131</v>
      </c>
      <c r="C2173" s="1" t="s">
        <v>108</v>
      </c>
      <c r="D2173" s="1" t="s">
        <v>19</v>
      </c>
      <c r="E2173" s="5">
        <v>41781</v>
      </c>
      <c r="F2173" s="3" t="s">
        <v>55</v>
      </c>
      <c r="G2173" s="1" t="s">
        <v>688</v>
      </c>
      <c r="H2173" s="1">
        <v>800</v>
      </c>
      <c r="I2173" s="1">
        <v>640</v>
      </c>
      <c r="J2173" s="2">
        <v>0.2</v>
      </c>
      <c r="K2173">
        <f t="shared" si="99"/>
        <v>128</v>
      </c>
      <c r="L2173">
        <f t="shared" si="100"/>
        <v>512</v>
      </c>
      <c r="M2173" t="str">
        <f t="shared" si="101"/>
        <v>May-2014</v>
      </c>
    </row>
    <row r="2174" spans="1:13" x14ac:dyDescent="0.3">
      <c r="A2174" t="s">
        <v>2786</v>
      </c>
      <c r="B2174" s="1" t="s">
        <v>400</v>
      </c>
      <c r="C2174" s="1" t="s">
        <v>401</v>
      </c>
      <c r="D2174" s="1" t="s">
        <v>13</v>
      </c>
      <c r="E2174" s="5">
        <v>42033</v>
      </c>
      <c r="F2174" s="3" t="s">
        <v>41</v>
      </c>
      <c r="G2174" s="1" t="s">
        <v>1281</v>
      </c>
      <c r="H2174" s="1">
        <v>30</v>
      </c>
      <c r="I2174" s="1">
        <v>21</v>
      </c>
      <c r="J2174" s="2">
        <v>0.3</v>
      </c>
      <c r="K2174">
        <f t="shared" si="99"/>
        <v>6.3</v>
      </c>
      <c r="L2174">
        <f t="shared" si="100"/>
        <v>14.7</v>
      </c>
      <c r="M2174" t="str">
        <f t="shared" si="101"/>
        <v>Jan-2015</v>
      </c>
    </row>
    <row r="2175" spans="1:13" x14ac:dyDescent="0.3">
      <c r="A2175" t="s">
        <v>2787</v>
      </c>
      <c r="B2175" s="1" t="s">
        <v>2170</v>
      </c>
      <c r="C2175" s="1" t="s">
        <v>18</v>
      </c>
      <c r="D2175" s="1" t="s">
        <v>19</v>
      </c>
      <c r="E2175" s="5">
        <v>43088</v>
      </c>
      <c r="F2175" s="3" t="s">
        <v>61</v>
      </c>
      <c r="G2175" s="1" t="s">
        <v>2788</v>
      </c>
      <c r="H2175" s="1">
        <v>1000</v>
      </c>
      <c r="I2175" s="1">
        <v>780</v>
      </c>
      <c r="J2175" s="2">
        <v>0.22</v>
      </c>
      <c r="K2175">
        <f t="shared" si="99"/>
        <v>171.6</v>
      </c>
      <c r="L2175">
        <f t="shared" si="100"/>
        <v>608.4</v>
      </c>
      <c r="M2175" t="str">
        <f t="shared" si="101"/>
        <v>Dec-2017</v>
      </c>
    </row>
    <row r="2176" spans="1:13" x14ac:dyDescent="0.3">
      <c r="A2176" t="s">
        <v>2789</v>
      </c>
      <c r="B2176" s="1" t="s">
        <v>95</v>
      </c>
      <c r="C2176" s="1" t="s">
        <v>96</v>
      </c>
      <c r="D2176" s="1" t="s">
        <v>13</v>
      </c>
      <c r="E2176" s="5">
        <v>42052</v>
      </c>
      <c r="F2176" s="3" t="s">
        <v>25</v>
      </c>
      <c r="G2176" s="1" t="s">
        <v>97</v>
      </c>
      <c r="H2176" s="1">
        <v>700</v>
      </c>
      <c r="I2176" s="1">
        <v>679</v>
      </c>
      <c r="J2176" s="2">
        <v>0.03</v>
      </c>
      <c r="K2176">
        <f t="shared" si="99"/>
        <v>20.37</v>
      </c>
      <c r="L2176">
        <f t="shared" si="100"/>
        <v>658.63</v>
      </c>
      <c r="M2176" t="str">
        <f t="shared" si="101"/>
        <v>Feb-2015</v>
      </c>
    </row>
    <row r="2177" spans="1:13" x14ac:dyDescent="0.3">
      <c r="A2177" t="s">
        <v>2790</v>
      </c>
      <c r="B2177" s="1" t="s">
        <v>70</v>
      </c>
      <c r="C2177" s="1" t="s">
        <v>71</v>
      </c>
      <c r="D2177" s="1" t="s">
        <v>35</v>
      </c>
      <c r="E2177" s="5">
        <v>42151</v>
      </c>
      <c r="F2177" s="3" t="s">
        <v>36</v>
      </c>
      <c r="G2177" s="1" t="s">
        <v>2295</v>
      </c>
      <c r="H2177" s="1">
        <v>50</v>
      </c>
      <c r="I2177" s="1">
        <v>50</v>
      </c>
      <c r="J2177" s="2">
        <v>0</v>
      </c>
      <c r="K2177">
        <f t="shared" si="99"/>
        <v>0</v>
      </c>
      <c r="L2177">
        <f t="shared" si="100"/>
        <v>50</v>
      </c>
      <c r="M2177" t="str">
        <f t="shared" si="101"/>
        <v>May-2015</v>
      </c>
    </row>
    <row r="2178" spans="1:13" x14ac:dyDescent="0.3">
      <c r="A2178" t="s">
        <v>2791</v>
      </c>
      <c r="B2178" s="1" t="s">
        <v>157</v>
      </c>
      <c r="C2178" s="1" t="s">
        <v>108</v>
      </c>
      <c r="D2178" s="1" t="s">
        <v>19</v>
      </c>
      <c r="E2178" s="5">
        <v>42075</v>
      </c>
      <c r="F2178" s="3" t="s">
        <v>104</v>
      </c>
      <c r="G2178" s="1" t="s">
        <v>304</v>
      </c>
      <c r="H2178" s="1">
        <v>70</v>
      </c>
      <c r="I2178" s="1">
        <v>55</v>
      </c>
      <c r="J2178" s="2">
        <v>0.21429999999999999</v>
      </c>
      <c r="K2178">
        <f t="shared" si="99"/>
        <v>11.7865</v>
      </c>
      <c r="L2178">
        <f t="shared" si="100"/>
        <v>43.213499999999996</v>
      </c>
      <c r="M2178" t="str">
        <f t="shared" si="101"/>
        <v>Mar-2015</v>
      </c>
    </row>
    <row r="2179" spans="1:13" x14ac:dyDescent="0.3">
      <c r="A2179" t="s">
        <v>2792</v>
      </c>
      <c r="B2179" s="1" t="s">
        <v>400</v>
      </c>
      <c r="C2179" s="1" t="s">
        <v>401</v>
      </c>
      <c r="D2179" s="1" t="s">
        <v>13</v>
      </c>
      <c r="E2179" s="5">
        <v>41844</v>
      </c>
      <c r="F2179" s="3" t="s">
        <v>55</v>
      </c>
      <c r="G2179" s="1" t="s">
        <v>486</v>
      </c>
      <c r="H2179" s="1">
        <v>800</v>
      </c>
      <c r="I2179" s="1">
        <v>800</v>
      </c>
      <c r="J2179" s="2">
        <v>0</v>
      </c>
      <c r="K2179">
        <f t="shared" si="99"/>
        <v>0</v>
      </c>
      <c r="L2179">
        <f t="shared" si="100"/>
        <v>800</v>
      </c>
      <c r="M2179" t="str">
        <f t="shared" si="101"/>
        <v>Jul-2014</v>
      </c>
    </row>
    <row r="2180" spans="1:13" x14ac:dyDescent="0.3">
      <c r="A2180" t="s">
        <v>2793</v>
      </c>
      <c r="B2180" s="1" t="s">
        <v>64</v>
      </c>
      <c r="C2180" s="1" t="s">
        <v>65</v>
      </c>
      <c r="D2180" s="1" t="s">
        <v>35</v>
      </c>
      <c r="E2180" s="5">
        <v>42331</v>
      </c>
      <c r="F2180" s="3" t="s">
        <v>36</v>
      </c>
      <c r="G2180" s="1" t="s">
        <v>2469</v>
      </c>
      <c r="H2180" s="1">
        <v>50</v>
      </c>
      <c r="I2180" s="1">
        <v>50</v>
      </c>
      <c r="J2180" s="2">
        <v>0</v>
      </c>
      <c r="K2180">
        <f t="shared" ref="K2180:K2243" si="102">I2180*J2180</f>
        <v>0</v>
      </c>
      <c r="L2180">
        <f t="shared" ref="L2180:L2243" si="103">I2180-K2180</f>
        <v>50</v>
      </c>
      <c r="M2180" t="str">
        <f t="shared" ref="M2180:M2243" si="104">TEXT(E2180, "mmm-yyyy")</f>
        <v>Nov-2015</v>
      </c>
    </row>
    <row r="2181" spans="1:13" x14ac:dyDescent="0.3">
      <c r="A2181" t="s">
        <v>2794</v>
      </c>
      <c r="B2181" s="1" t="s">
        <v>17</v>
      </c>
      <c r="C2181" s="1" t="s">
        <v>18</v>
      </c>
      <c r="D2181" s="1" t="s">
        <v>19</v>
      </c>
      <c r="E2181" s="5">
        <v>42974</v>
      </c>
      <c r="F2181" s="3" t="s">
        <v>14</v>
      </c>
      <c r="G2181" s="1" t="s">
        <v>776</v>
      </c>
      <c r="H2181" s="1">
        <v>80</v>
      </c>
      <c r="I2181" s="1">
        <v>59</v>
      </c>
      <c r="J2181" s="2">
        <v>0.26250000000000001</v>
      </c>
      <c r="K2181">
        <f t="shared" si="102"/>
        <v>15.487500000000001</v>
      </c>
      <c r="L2181">
        <f t="shared" si="103"/>
        <v>43.512500000000003</v>
      </c>
      <c r="M2181" t="str">
        <f t="shared" si="104"/>
        <v>Aug-2017</v>
      </c>
    </row>
    <row r="2182" spans="1:13" x14ac:dyDescent="0.3">
      <c r="A2182" t="s">
        <v>2795</v>
      </c>
      <c r="B2182" s="1" t="s">
        <v>289</v>
      </c>
      <c r="C2182" s="1" t="s">
        <v>108</v>
      </c>
      <c r="D2182" s="1" t="s">
        <v>19</v>
      </c>
      <c r="E2182" s="5">
        <v>41910</v>
      </c>
      <c r="F2182" s="3" t="s">
        <v>41</v>
      </c>
      <c r="G2182" s="1" t="s">
        <v>903</v>
      </c>
      <c r="H2182" s="1">
        <v>30</v>
      </c>
      <c r="I2182" s="1">
        <v>30</v>
      </c>
      <c r="J2182" s="2">
        <v>0</v>
      </c>
      <c r="K2182">
        <f t="shared" si="102"/>
        <v>0</v>
      </c>
      <c r="L2182">
        <f t="shared" si="103"/>
        <v>30</v>
      </c>
      <c r="M2182" t="str">
        <f t="shared" si="104"/>
        <v>Sep-2014</v>
      </c>
    </row>
    <row r="2183" spans="1:13" x14ac:dyDescent="0.3">
      <c r="A2183" t="s">
        <v>2796</v>
      </c>
      <c r="B2183" s="1" t="s">
        <v>270</v>
      </c>
      <c r="C2183" s="1" t="s">
        <v>271</v>
      </c>
      <c r="D2183" s="1" t="s">
        <v>35</v>
      </c>
      <c r="E2183" s="5">
        <v>41905</v>
      </c>
      <c r="F2183" s="3" t="s">
        <v>30</v>
      </c>
      <c r="G2183" s="1" t="s">
        <v>715</v>
      </c>
      <c r="H2183" s="1">
        <v>150</v>
      </c>
      <c r="I2183" s="1">
        <v>140</v>
      </c>
      <c r="J2183" s="2">
        <v>6.6699999999999995E-2</v>
      </c>
      <c r="K2183">
        <f t="shared" si="102"/>
        <v>9.3379999999999992</v>
      </c>
      <c r="L2183">
        <f t="shared" si="103"/>
        <v>130.66200000000001</v>
      </c>
      <c r="M2183" t="str">
        <f t="shared" si="104"/>
        <v>Sep-2014</v>
      </c>
    </row>
    <row r="2184" spans="1:13" x14ac:dyDescent="0.3">
      <c r="A2184" t="s">
        <v>2797</v>
      </c>
      <c r="B2184" s="1" t="s">
        <v>241</v>
      </c>
      <c r="C2184" s="1" t="s">
        <v>242</v>
      </c>
      <c r="D2184" s="1" t="s">
        <v>13</v>
      </c>
      <c r="E2184" s="5">
        <v>42538</v>
      </c>
      <c r="F2184" s="3" t="s">
        <v>14</v>
      </c>
      <c r="G2184" s="1" t="s">
        <v>520</v>
      </c>
      <c r="H2184" s="1">
        <v>80</v>
      </c>
      <c r="I2184" s="1">
        <v>66</v>
      </c>
      <c r="J2184" s="2">
        <v>0.17499999999999999</v>
      </c>
      <c r="K2184">
        <f t="shared" si="102"/>
        <v>11.549999999999999</v>
      </c>
      <c r="L2184">
        <f t="shared" si="103"/>
        <v>54.45</v>
      </c>
      <c r="M2184" t="str">
        <f t="shared" si="104"/>
        <v>Jun-2016</v>
      </c>
    </row>
    <row r="2185" spans="1:13" x14ac:dyDescent="0.3">
      <c r="A2185" t="s">
        <v>2798</v>
      </c>
      <c r="B2185" s="1" t="s">
        <v>324</v>
      </c>
      <c r="C2185" s="1" t="s">
        <v>325</v>
      </c>
      <c r="D2185" s="1" t="s">
        <v>13</v>
      </c>
      <c r="E2185" s="5">
        <v>43327</v>
      </c>
      <c r="F2185" s="3" t="s">
        <v>46</v>
      </c>
      <c r="G2185" s="1" t="s">
        <v>588</v>
      </c>
      <c r="H2185" s="1">
        <v>500</v>
      </c>
      <c r="I2185" s="1">
        <v>475</v>
      </c>
      <c r="J2185" s="2">
        <v>0.05</v>
      </c>
      <c r="K2185">
        <f t="shared" si="102"/>
        <v>23.75</v>
      </c>
      <c r="L2185">
        <f t="shared" si="103"/>
        <v>451.25</v>
      </c>
      <c r="M2185" t="str">
        <f t="shared" si="104"/>
        <v>Aug-2018</v>
      </c>
    </row>
    <row r="2186" spans="1:13" x14ac:dyDescent="0.3">
      <c r="A2186" t="s">
        <v>2799</v>
      </c>
      <c r="B2186" s="1" t="s">
        <v>44</v>
      </c>
      <c r="C2186" s="1" t="s">
        <v>45</v>
      </c>
      <c r="D2186" s="1" t="s">
        <v>24</v>
      </c>
      <c r="E2186" s="5">
        <v>43023</v>
      </c>
      <c r="F2186" s="3" t="s">
        <v>46</v>
      </c>
      <c r="G2186" s="1" t="s">
        <v>1102</v>
      </c>
      <c r="H2186" s="1">
        <v>500</v>
      </c>
      <c r="I2186" s="1">
        <v>485</v>
      </c>
      <c r="J2186" s="2">
        <v>0.03</v>
      </c>
      <c r="K2186">
        <f t="shared" si="102"/>
        <v>14.549999999999999</v>
      </c>
      <c r="L2186">
        <f t="shared" si="103"/>
        <v>470.45</v>
      </c>
      <c r="M2186" t="str">
        <f t="shared" si="104"/>
        <v>Oct-2017</v>
      </c>
    </row>
    <row r="2187" spans="1:13" x14ac:dyDescent="0.3">
      <c r="A2187" t="s">
        <v>2800</v>
      </c>
      <c r="B2187" s="1" t="s">
        <v>49</v>
      </c>
      <c r="C2187" s="1" t="s">
        <v>50</v>
      </c>
      <c r="D2187" s="1" t="s">
        <v>24</v>
      </c>
      <c r="E2187" s="5">
        <v>43113</v>
      </c>
      <c r="F2187" s="3" t="s">
        <v>25</v>
      </c>
      <c r="G2187" s="1" t="s">
        <v>2287</v>
      </c>
      <c r="H2187" s="1">
        <v>700</v>
      </c>
      <c r="I2187" s="1">
        <v>581</v>
      </c>
      <c r="J2187" s="2">
        <v>0.17</v>
      </c>
      <c r="K2187">
        <f t="shared" si="102"/>
        <v>98.77000000000001</v>
      </c>
      <c r="L2187">
        <f t="shared" si="103"/>
        <v>482.23</v>
      </c>
      <c r="M2187" t="str">
        <f t="shared" si="104"/>
        <v>Jan-2018</v>
      </c>
    </row>
    <row r="2188" spans="1:13" x14ac:dyDescent="0.3">
      <c r="A2188" t="s">
        <v>2801</v>
      </c>
      <c r="B2188" s="1" t="s">
        <v>59</v>
      </c>
      <c r="C2188" s="1" t="s">
        <v>60</v>
      </c>
      <c r="D2188" s="1" t="s">
        <v>13</v>
      </c>
      <c r="E2188" s="5">
        <v>43126</v>
      </c>
      <c r="F2188" s="3" t="s">
        <v>14</v>
      </c>
      <c r="G2188" s="1" t="s">
        <v>1778</v>
      </c>
      <c r="H2188" s="1">
        <v>80</v>
      </c>
      <c r="I2188" s="1">
        <v>74</v>
      </c>
      <c r="J2188" s="2">
        <v>7.4999999999999997E-2</v>
      </c>
      <c r="K2188">
        <f t="shared" si="102"/>
        <v>5.55</v>
      </c>
      <c r="L2188">
        <f t="shared" si="103"/>
        <v>68.45</v>
      </c>
      <c r="M2188" t="str">
        <f t="shared" si="104"/>
        <v>Jan-2018</v>
      </c>
    </row>
    <row r="2189" spans="1:13" x14ac:dyDescent="0.3">
      <c r="A2189" t="s">
        <v>2802</v>
      </c>
      <c r="B2189" s="1" t="s">
        <v>227</v>
      </c>
      <c r="C2189" s="1" t="s">
        <v>228</v>
      </c>
      <c r="D2189" s="1" t="s">
        <v>24</v>
      </c>
      <c r="E2189" s="5">
        <v>43053</v>
      </c>
      <c r="F2189" s="3" t="s">
        <v>72</v>
      </c>
      <c r="G2189" s="1" t="s">
        <v>621</v>
      </c>
      <c r="H2189" s="1">
        <v>500</v>
      </c>
      <c r="I2189" s="1">
        <v>490</v>
      </c>
      <c r="J2189" s="2">
        <v>0.02</v>
      </c>
      <c r="K2189">
        <f t="shared" si="102"/>
        <v>9.8000000000000007</v>
      </c>
      <c r="L2189">
        <f t="shared" si="103"/>
        <v>480.2</v>
      </c>
      <c r="M2189" t="str">
        <f t="shared" si="104"/>
        <v>Nov-2017</v>
      </c>
    </row>
    <row r="2190" spans="1:13" x14ac:dyDescent="0.3">
      <c r="A2190" t="s">
        <v>2803</v>
      </c>
      <c r="B2190" s="1" t="s">
        <v>103</v>
      </c>
      <c r="C2190" s="1" t="s">
        <v>71</v>
      </c>
      <c r="D2190" s="1" t="s">
        <v>35</v>
      </c>
      <c r="E2190" s="5">
        <v>42423</v>
      </c>
      <c r="F2190" s="3" t="s">
        <v>115</v>
      </c>
      <c r="G2190" s="1" t="s">
        <v>105</v>
      </c>
      <c r="H2190" s="1">
        <v>250</v>
      </c>
      <c r="I2190" s="1">
        <v>240</v>
      </c>
      <c r="J2190" s="2">
        <v>0.04</v>
      </c>
      <c r="K2190">
        <f t="shared" si="102"/>
        <v>9.6</v>
      </c>
      <c r="L2190">
        <f t="shared" si="103"/>
        <v>230.4</v>
      </c>
      <c r="M2190" t="str">
        <f t="shared" si="104"/>
        <v>Feb-2016</v>
      </c>
    </row>
    <row r="2191" spans="1:13" x14ac:dyDescent="0.3">
      <c r="A2191" t="s">
        <v>2804</v>
      </c>
      <c r="B2191" s="1" t="s">
        <v>44</v>
      </c>
      <c r="C2191" s="1" t="s">
        <v>45</v>
      </c>
      <c r="D2191" s="1" t="s">
        <v>24</v>
      </c>
      <c r="E2191" s="5">
        <v>42456</v>
      </c>
      <c r="F2191" s="3" t="s">
        <v>55</v>
      </c>
      <c r="G2191" s="1" t="s">
        <v>1177</v>
      </c>
      <c r="H2191" s="1">
        <v>800</v>
      </c>
      <c r="I2191" s="1">
        <v>744</v>
      </c>
      <c r="J2191" s="2">
        <v>7.0000000000000007E-2</v>
      </c>
      <c r="K2191">
        <f t="shared" si="102"/>
        <v>52.080000000000005</v>
      </c>
      <c r="L2191">
        <f t="shared" si="103"/>
        <v>691.92</v>
      </c>
      <c r="M2191" t="str">
        <f t="shared" si="104"/>
        <v>Mar-2016</v>
      </c>
    </row>
    <row r="2192" spans="1:13" x14ac:dyDescent="0.3">
      <c r="A2192" t="s">
        <v>2805</v>
      </c>
      <c r="B2192" s="1" t="s">
        <v>49</v>
      </c>
      <c r="C2192" s="1" t="s">
        <v>50</v>
      </c>
      <c r="D2192" s="1" t="s">
        <v>24</v>
      </c>
      <c r="E2192" s="5">
        <v>42792</v>
      </c>
      <c r="F2192" s="3" t="s">
        <v>72</v>
      </c>
      <c r="G2192" s="1" t="s">
        <v>1000</v>
      </c>
      <c r="H2192" s="1">
        <v>500</v>
      </c>
      <c r="I2192" s="1">
        <v>490</v>
      </c>
      <c r="J2192" s="2">
        <v>0.02</v>
      </c>
      <c r="K2192">
        <f t="shared" si="102"/>
        <v>9.8000000000000007</v>
      </c>
      <c r="L2192">
        <f t="shared" si="103"/>
        <v>480.2</v>
      </c>
      <c r="M2192" t="str">
        <f t="shared" si="104"/>
        <v>Feb-2017</v>
      </c>
    </row>
    <row r="2193" spans="1:13" x14ac:dyDescent="0.3">
      <c r="A2193" t="s">
        <v>2806</v>
      </c>
      <c r="B2193" s="1" t="s">
        <v>241</v>
      </c>
      <c r="C2193" s="1" t="s">
        <v>242</v>
      </c>
      <c r="D2193" s="1" t="s">
        <v>13</v>
      </c>
      <c r="E2193" s="5">
        <v>42481</v>
      </c>
      <c r="F2193" s="3" t="s">
        <v>72</v>
      </c>
      <c r="G2193" s="1" t="s">
        <v>287</v>
      </c>
      <c r="H2193" s="1">
        <v>500</v>
      </c>
      <c r="I2193" s="1">
        <v>495</v>
      </c>
      <c r="J2193" s="2">
        <v>0.01</v>
      </c>
      <c r="K2193">
        <f t="shared" si="102"/>
        <v>4.95</v>
      </c>
      <c r="L2193">
        <f t="shared" si="103"/>
        <v>490.05</v>
      </c>
      <c r="M2193" t="str">
        <f t="shared" si="104"/>
        <v>Apr-2016</v>
      </c>
    </row>
    <row r="2194" spans="1:13" x14ac:dyDescent="0.3">
      <c r="A2194" t="s">
        <v>2807</v>
      </c>
      <c r="B2194" s="1" t="s">
        <v>131</v>
      </c>
      <c r="C2194" s="1" t="s">
        <v>108</v>
      </c>
      <c r="D2194" s="1" t="s">
        <v>19</v>
      </c>
      <c r="E2194" s="5">
        <v>42082</v>
      </c>
      <c r="F2194" s="3" t="s">
        <v>72</v>
      </c>
      <c r="G2194" s="1" t="s">
        <v>546</v>
      </c>
      <c r="H2194" s="1">
        <v>500</v>
      </c>
      <c r="I2194" s="1">
        <v>500</v>
      </c>
      <c r="J2194" s="2">
        <v>0</v>
      </c>
      <c r="K2194">
        <f t="shared" si="102"/>
        <v>0</v>
      </c>
      <c r="L2194">
        <f t="shared" si="103"/>
        <v>500</v>
      </c>
      <c r="M2194" t="str">
        <f t="shared" si="104"/>
        <v>Mar-2015</v>
      </c>
    </row>
    <row r="2195" spans="1:13" x14ac:dyDescent="0.3">
      <c r="A2195" t="s">
        <v>2808</v>
      </c>
      <c r="B2195" s="1" t="s">
        <v>170</v>
      </c>
      <c r="C2195" s="1" t="s">
        <v>171</v>
      </c>
      <c r="D2195" s="1" t="s">
        <v>13</v>
      </c>
      <c r="E2195" s="5">
        <v>42306</v>
      </c>
      <c r="F2195" s="3" t="s">
        <v>30</v>
      </c>
      <c r="G2195" s="1" t="s">
        <v>440</v>
      </c>
      <c r="H2195" s="1">
        <v>150</v>
      </c>
      <c r="I2195" s="1">
        <v>138</v>
      </c>
      <c r="J2195" s="2">
        <v>0.08</v>
      </c>
      <c r="K2195">
        <f t="shared" si="102"/>
        <v>11.040000000000001</v>
      </c>
      <c r="L2195">
        <f t="shared" si="103"/>
        <v>126.96</v>
      </c>
      <c r="M2195" t="str">
        <f t="shared" si="104"/>
        <v>Oct-2015</v>
      </c>
    </row>
    <row r="2196" spans="1:13" x14ac:dyDescent="0.3">
      <c r="A2196" t="s">
        <v>2809</v>
      </c>
      <c r="B2196" s="1" t="s">
        <v>44</v>
      </c>
      <c r="C2196" s="1" t="s">
        <v>45</v>
      </c>
      <c r="D2196" s="1" t="s">
        <v>24</v>
      </c>
      <c r="E2196" s="5">
        <v>43021</v>
      </c>
      <c r="F2196" s="3" t="s">
        <v>72</v>
      </c>
      <c r="G2196" s="1" t="s">
        <v>1035</v>
      </c>
      <c r="H2196" s="1">
        <v>500</v>
      </c>
      <c r="I2196" s="1">
        <v>490</v>
      </c>
      <c r="J2196" s="2">
        <v>0.02</v>
      </c>
      <c r="K2196">
        <f t="shared" si="102"/>
        <v>9.8000000000000007</v>
      </c>
      <c r="L2196">
        <f t="shared" si="103"/>
        <v>480.2</v>
      </c>
      <c r="M2196" t="str">
        <f t="shared" si="104"/>
        <v>Oct-2017</v>
      </c>
    </row>
    <row r="2197" spans="1:13" x14ac:dyDescent="0.3">
      <c r="A2197" t="s">
        <v>2810</v>
      </c>
      <c r="B2197" s="1" t="s">
        <v>77</v>
      </c>
      <c r="C2197" s="1" t="s">
        <v>78</v>
      </c>
      <c r="D2197" s="1" t="s">
        <v>35</v>
      </c>
      <c r="E2197" s="5">
        <v>42963</v>
      </c>
      <c r="F2197" s="3" t="s">
        <v>25</v>
      </c>
      <c r="G2197" s="1" t="s">
        <v>394</v>
      </c>
      <c r="H2197" s="1">
        <v>700</v>
      </c>
      <c r="I2197" s="1">
        <v>658</v>
      </c>
      <c r="J2197" s="2">
        <v>0.06</v>
      </c>
      <c r="K2197">
        <f t="shared" si="102"/>
        <v>39.479999999999997</v>
      </c>
      <c r="L2197">
        <f t="shared" si="103"/>
        <v>618.52</v>
      </c>
      <c r="M2197" t="str">
        <f t="shared" si="104"/>
        <v>Aug-2017</v>
      </c>
    </row>
    <row r="2198" spans="1:13" x14ac:dyDescent="0.3">
      <c r="A2198" t="s">
        <v>2811</v>
      </c>
      <c r="B2198" s="1" t="s">
        <v>324</v>
      </c>
      <c r="C2198" s="1" t="s">
        <v>325</v>
      </c>
      <c r="D2198" s="1" t="s">
        <v>13</v>
      </c>
      <c r="E2198" s="5">
        <v>43069</v>
      </c>
      <c r="F2198" s="3" t="s">
        <v>61</v>
      </c>
      <c r="G2198" s="1" t="s">
        <v>922</v>
      </c>
      <c r="H2198" s="1">
        <v>1000</v>
      </c>
      <c r="I2198" s="1">
        <v>800</v>
      </c>
      <c r="J2198" s="2">
        <v>0.2</v>
      </c>
      <c r="K2198">
        <f t="shared" si="102"/>
        <v>160</v>
      </c>
      <c r="L2198">
        <f t="shared" si="103"/>
        <v>640</v>
      </c>
      <c r="M2198" t="str">
        <f t="shared" si="104"/>
        <v>Nov-2017</v>
      </c>
    </row>
    <row r="2199" spans="1:13" x14ac:dyDescent="0.3">
      <c r="A2199" t="s">
        <v>2812</v>
      </c>
      <c r="B2199" s="1" t="s">
        <v>221</v>
      </c>
      <c r="C2199" s="1" t="s">
        <v>40</v>
      </c>
      <c r="D2199" s="1" t="s">
        <v>35</v>
      </c>
      <c r="E2199" s="5">
        <v>43295</v>
      </c>
      <c r="F2199" s="3" t="s">
        <v>46</v>
      </c>
      <c r="G2199" s="1" t="s">
        <v>1322</v>
      </c>
      <c r="H2199" s="1">
        <v>500</v>
      </c>
      <c r="I2199" s="1">
        <v>485</v>
      </c>
      <c r="J2199" s="2">
        <v>0.03</v>
      </c>
      <c r="K2199">
        <f t="shared" si="102"/>
        <v>14.549999999999999</v>
      </c>
      <c r="L2199">
        <f t="shared" si="103"/>
        <v>470.45</v>
      </c>
      <c r="M2199" t="str">
        <f t="shared" si="104"/>
        <v>Jul-2018</v>
      </c>
    </row>
    <row r="2200" spans="1:13" x14ac:dyDescent="0.3">
      <c r="A2200" t="s">
        <v>2813</v>
      </c>
      <c r="B2200" s="1" t="s">
        <v>85</v>
      </c>
      <c r="C2200" s="1" t="s">
        <v>86</v>
      </c>
      <c r="D2200" s="1" t="s">
        <v>13</v>
      </c>
      <c r="E2200" s="5">
        <v>41790</v>
      </c>
      <c r="F2200" s="3" t="s">
        <v>46</v>
      </c>
      <c r="G2200" s="1" t="s">
        <v>87</v>
      </c>
      <c r="H2200" s="1">
        <v>500</v>
      </c>
      <c r="I2200" s="1">
        <v>445</v>
      </c>
      <c r="J2200" s="2">
        <v>0.11</v>
      </c>
      <c r="K2200">
        <f t="shared" si="102"/>
        <v>48.95</v>
      </c>
      <c r="L2200">
        <f t="shared" si="103"/>
        <v>396.05</v>
      </c>
      <c r="M2200" t="str">
        <f t="shared" si="104"/>
        <v>May-2014</v>
      </c>
    </row>
    <row r="2201" spans="1:13" x14ac:dyDescent="0.3">
      <c r="A2201" t="s">
        <v>2814</v>
      </c>
      <c r="B2201" s="1" t="s">
        <v>91</v>
      </c>
      <c r="C2201" s="1" t="s">
        <v>92</v>
      </c>
      <c r="D2201" s="1" t="s">
        <v>35</v>
      </c>
      <c r="E2201" s="5">
        <v>42728</v>
      </c>
      <c r="F2201" s="3" t="s">
        <v>104</v>
      </c>
      <c r="G2201" s="1" t="s">
        <v>1513</v>
      </c>
      <c r="H2201" s="1">
        <v>70</v>
      </c>
      <c r="I2201" s="1">
        <v>59</v>
      </c>
      <c r="J2201" s="2">
        <v>0.15709999999999999</v>
      </c>
      <c r="K2201">
        <f t="shared" si="102"/>
        <v>9.2688999999999986</v>
      </c>
      <c r="L2201">
        <f t="shared" si="103"/>
        <v>49.731099999999998</v>
      </c>
      <c r="M2201" t="str">
        <f t="shared" si="104"/>
        <v>Dec-2016</v>
      </c>
    </row>
    <row r="2202" spans="1:13" x14ac:dyDescent="0.3">
      <c r="A2202" t="s">
        <v>2815</v>
      </c>
      <c r="B2202" s="1" t="s">
        <v>157</v>
      </c>
      <c r="C2202" s="1" t="s">
        <v>108</v>
      </c>
      <c r="D2202" s="1" t="s">
        <v>19</v>
      </c>
      <c r="E2202" s="5">
        <v>43027</v>
      </c>
      <c r="F2202" s="3" t="s">
        <v>30</v>
      </c>
      <c r="G2202" s="1" t="s">
        <v>981</v>
      </c>
      <c r="H2202" s="1">
        <v>150</v>
      </c>
      <c r="I2202" s="1">
        <v>122</v>
      </c>
      <c r="J2202" s="2">
        <v>0.1867</v>
      </c>
      <c r="K2202">
        <f t="shared" si="102"/>
        <v>22.7774</v>
      </c>
      <c r="L2202">
        <f t="shared" si="103"/>
        <v>99.2226</v>
      </c>
      <c r="M2202" t="str">
        <f t="shared" si="104"/>
        <v>Oct-2017</v>
      </c>
    </row>
    <row r="2203" spans="1:13" x14ac:dyDescent="0.3">
      <c r="A2203" t="s">
        <v>2816</v>
      </c>
      <c r="B2203" s="1" t="s">
        <v>174</v>
      </c>
      <c r="C2203" s="1" t="s">
        <v>175</v>
      </c>
      <c r="D2203" s="1" t="s">
        <v>13</v>
      </c>
      <c r="E2203" s="5">
        <v>42123</v>
      </c>
      <c r="F2203" s="3" t="s">
        <v>25</v>
      </c>
      <c r="G2203" s="1" t="s">
        <v>1456</v>
      </c>
      <c r="H2203" s="1">
        <v>700</v>
      </c>
      <c r="I2203" s="1">
        <v>658</v>
      </c>
      <c r="J2203" s="2">
        <v>0.06</v>
      </c>
      <c r="K2203">
        <f t="shared" si="102"/>
        <v>39.479999999999997</v>
      </c>
      <c r="L2203">
        <f t="shared" si="103"/>
        <v>618.52</v>
      </c>
      <c r="M2203" t="str">
        <f t="shared" si="104"/>
        <v>Apr-2015</v>
      </c>
    </row>
    <row r="2204" spans="1:13" x14ac:dyDescent="0.3">
      <c r="A2204" t="s">
        <v>2817</v>
      </c>
      <c r="B2204" s="1" t="s">
        <v>11</v>
      </c>
      <c r="C2204" s="1" t="s">
        <v>12</v>
      </c>
      <c r="D2204" s="1" t="s">
        <v>13</v>
      </c>
      <c r="E2204" s="5">
        <v>41879</v>
      </c>
      <c r="F2204" s="3" t="s">
        <v>46</v>
      </c>
      <c r="G2204" s="1" t="s">
        <v>137</v>
      </c>
      <c r="H2204" s="1">
        <v>500</v>
      </c>
      <c r="I2204" s="1">
        <v>480</v>
      </c>
      <c r="J2204" s="2">
        <v>0.04</v>
      </c>
      <c r="K2204">
        <f t="shared" si="102"/>
        <v>19.2</v>
      </c>
      <c r="L2204">
        <f t="shared" si="103"/>
        <v>460.8</v>
      </c>
      <c r="M2204" t="str">
        <f t="shared" si="104"/>
        <v>Aug-2014</v>
      </c>
    </row>
    <row r="2205" spans="1:13" x14ac:dyDescent="0.3">
      <c r="A2205" t="s">
        <v>2818</v>
      </c>
      <c r="B2205" s="1" t="s">
        <v>127</v>
      </c>
      <c r="C2205" s="1" t="s">
        <v>128</v>
      </c>
      <c r="D2205" s="1" t="s">
        <v>13</v>
      </c>
      <c r="E2205" s="5">
        <v>43128</v>
      </c>
      <c r="F2205" s="3" t="s">
        <v>41</v>
      </c>
      <c r="G2205" s="1" t="s">
        <v>385</v>
      </c>
      <c r="H2205" s="1">
        <v>30</v>
      </c>
      <c r="I2205" s="1">
        <v>27</v>
      </c>
      <c r="J2205" s="2">
        <v>0.1</v>
      </c>
      <c r="K2205">
        <f t="shared" si="102"/>
        <v>2.7</v>
      </c>
      <c r="L2205">
        <f t="shared" si="103"/>
        <v>24.3</v>
      </c>
      <c r="M2205" t="str">
        <f t="shared" si="104"/>
        <v>Jan-2018</v>
      </c>
    </row>
    <row r="2206" spans="1:13" x14ac:dyDescent="0.3">
      <c r="A2206" t="s">
        <v>2819</v>
      </c>
      <c r="B2206" s="1" t="s">
        <v>400</v>
      </c>
      <c r="C2206" s="1" t="s">
        <v>401</v>
      </c>
      <c r="D2206" s="1" t="s">
        <v>13</v>
      </c>
      <c r="E2206" s="5">
        <v>42080</v>
      </c>
      <c r="F2206" s="3" t="s">
        <v>55</v>
      </c>
      <c r="G2206" s="1" t="s">
        <v>402</v>
      </c>
      <c r="H2206" s="1">
        <v>800</v>
      </c>
      <c r="I2206" s="1">
        <v>592</v>
      </c>
      <c r="J2206" s="2">
        <v>0.26</v>
      </c>
      <c r="K2206">
        <f t="shared" si="102"/>
        <v>153.92000000000002</v>
      </c>
      <c r="L2206">
        <f t="shared" si="103"/>
        <v>438.08</v>
      </c>
      <c r="M2206" t="str">
        <f t="shared" si="104"/>
        <v>Mar-2015</v>
      </c>
    </row>
    <row r="2207" spans="1:13" x14ac:dyDescent="0.3">
      <c r="A2207" t="s">
        <v>2820</v>
      </c>
      <c r="B2207" s="1" t="s">
        <v>22</v>
      </c>
      <c r="C2207" s="1" t="s">
        <v>23</v>
      </c>
      <c r="D2207" s="1" t="s">
        <v>24</v>
      </c>
      <c r="E2207" s="5">
        <v>42760</v>
      </c>
      <c r="F2207" s="3" t="s">
        <v>55</v>
      </c>
      <c r="G2207" s="1" t="s">
        <v>1584</v>
      </c>
      <c r="H2207" s="1">
        <v>800</v>
      </c>
      <c r="I2207" s="1">
        <v>680</v>
      </c>
      <c r="J2207" s="2">
        <v>0.15</v>
      </c>
      <c r="K2207">
        <f t="shared" si="102"/>
        <v>102</v>
      </c>
      <c r="L2207">
        <f t="shared" si="103"/>
        <v>578</v>
      </c>
      <c r="M2207" t="str">
        <f t="shared" si="104"/>
        <v>Jan-2017</v>
      </c>
    </row>
    <row r="2208" spans="1:13" x14ac:dyDescent="0.3">
      <c r="A2208" t="s">
        <v>2821</v>
      </c>
      <c r="B2208" s="1" t="s">
        <v>434</v>
      </c>
      <c r="C2208" s="1" t="s">
        <v>435</v>
      </c>
      <c r="D2208" s="1" t="s">
        <v>24</v>
      </c>
      <c r="E2208" s="5">
        <v>42642</v>
      </c>
      <c r="F2208" s="3" t="s">
        <v>25</v>
      </c>
      <c r="G2208" s="1" t="s">
        <v>585</v>
      </c>
      <c r="H2208" s="1">
        <v>700</v>
      </c>
      <c r="I2208" s="1">
        <v>693</v>
      </c>
      <c r="J2208" s="2">
        <v>0.01</v>
      </c>
      <c r="K2208">
        <f t="shared" si="102"/>
        <v>6.93</v>
      </c>
      <c r="L2208">
        <f t="shared" si="103"/>
        <v>686.07</v>
      </c>
      <c r="M2208" t="str">
        <f t="shared" si="104"/>
        <v>Sep-2016</v>
      </c>
    </row>
    <row r="2209" spans="1:13" x14ac:dyDescent="0.3">
      <c r="A2209" t="s">
        <v>2822</v>
      </c>
      <c r="B2209" s="1" t="s">
        <v>124</v>
      </c>
      <c r="C2209" s="1" t="s">
        <v>40</v>
      </c>
      <c r="D2209" s="1" t="s">
        <v>35</v>
      </c>
      <c r="E2209" s="5">
        <v>43393</v>
      </c>
      <c r="F2209" s="3" t="s">
        <v>30</v>
      </c>
      <c r="G2209" s="1" t="s">
        <v>863</v>
      </c>
      <c r="H2209" s="1">
        <v>150</v>
      </c>
      <c r="I2209" s="1">
        <v>141</v>
      </c>
      <c r="J2209" s="2">
        <v>0.06</v>
      </c>
      <c r="K2209">
        <f t="shared" si="102"/>
        <v>8.4599999999999991</v>
      </c>
      <c r="L2209">
        <f t="shared" si="103"/>
        <v>132.54</v>
      </c>
      <c r="M2209" t="str">
        <f t="shared" si="104"/>
        <v>Oct-2018</v>
      </c>
    </row>
    <row r="2210" spans="1:13" x14ac:dyDescent="0.3">
      <c r="A2210" t="s">
        <v>2823</v>
      </c>
      <c r="B2210" s="1" t="s">
        <v>205</v>
      </c>
      <c r="C2210" s="1" t="s">
        <v>206</v>
      </c>
      <c r="D2210" s="1" t="s">
        <v>24</v>
      </c>
      <c r="E2210" s="5">
        <v>41696</v>
      </c>
      <c r="F2210" s="3" t="s">
        <v>46</v>
      </c>
      <c r="G2210" s="1" t="s">
        <v>722</v>
      </c>
      <c r="H2210" s="1">
        <v>500</v>
      </c>
      <c r="I2210" s="1">
        <v>470</v>
      </c>
      <c r="J2210" s="2">
        <v>0.06</v>
      </c>
      <c r="K2210">
        <f t="shared" si="102"/>
        <v>28.2</v>
      </c>
      <c r="L2210">
        <f t="shared" si="103"/>
        <v>441.8</v>
      </c>
      <c r="M2210" t="str">
        <f t="shared" si="104"/>
        <v>Feb-2014</v>
      </c>
    </row>
    <row r="2211" spans="1:13" x14ac:dyDescent="0.3">
      <c r="A2211" t="s">
        <v>2824</v>
      </c>
      <c r="B2211" s="1" t="s">
        <v>182</v>
      </c>
      <c r="C2211" s="1" t="s">
        <v>108</v>
      </c>
      <c r="D2211" s="1" t="s">
        <v>19</v>
      </c>
      <c r="E2211" s="5">
        <v>41655</v>
      </c>
      <c r="F2211" s="3" t="s">
        <v>72</v>
      </c>
      <c r="G2211" s="1" t="s">
        <v>203</v>
      </c>
      <c r="H2211" s="1">
        <v>500</v>
      </c>
      <c r="I2211" s="1">
        <v>495</v>
      </c>
      <c r="J2211" s="2">
        <v>0.01</v>
      </c>
      <c r="K2211">
        <f t="shared" si="102"/>
        <v>4.95</v>
      </c>
      <c r="L2211">
        <f t="shared" si="103"/>
        <v>490.05</v>
      </c>
      <c r="M2211" t="str">
        <f t="shared" si="104"/>
        <v>Jan-2014</v>
      </c>
    </row>
    <row r="2212" spans="1:13" x14ac:dyDescent="0.3">
      <c r="A2212" t="s">
        <v>2825</v>
      </c>
      <c r="B2212" s="1" t="s">
        <v>182</v>
      </c>
      <c r="C2212" s="1" t="s">
        <v>108</v>
      </c>
      <c r="D2212" s="1" t="s">
        <v>19</v>
      </c>
      <c r="E2212" s="5">
        <v>42608</v>
      </c>
      <c r="F2212" s="3" t="s">
        <v>115</v>
      </c>
      <c r="G2212" s="1" t="s">
        <v>1258</v>
      </c>
      <c r="H2212" s="1">
        <v>250</v>
      </c>
      <c r="I2212" s="1">
        <v>248</v>
      </c>
      <c r="J2212" s="2">
        <v>8.0000000000000002E-3</v>
      </c>
      <c r="K2212">
        <f t="shared" si="102"/>
        <v>1.984</v>
      </c>
      <c r="L2212">
        <f t="shared" si="103"/>
        <v>246.01599999999999</v>
      </c>
      <c r="M2212" t="str">
        <f t="shared" si="104"/>
        <v>Aug-2016</v>
      </c>
    </row>
    <row r="2213" spans="1:13" x14ac:dyDescent="0.3">
      <c r="A2213" t="s">
        <v>2826</v>
      </c>
      <c r="B2213" s="1" t="s">
        <v>81</v>
      </c>
      <c r="C2213" s="1" t="s">
        <v>82</v>
      </c>
      <c r="D2213" s="1" t="s">
        <v>13</v>
      </c>
      <c r="E2213" s="5">
        <v>41727</v>
      </c>
      <c r="F2213" s="3" t="s">
        <v>14</v>
      </c>
      <c r="G2213" s="1" t="s">
        <v>387</v>
      </c>
      <c r="H2213" s="1">
        <v>80</v>
      </c>
      <c r="I2213" s="1">
        <v>76</v>
      </c>
      <c r="J2213" s="2">
        <v>0.05</v>
      </c>
      <c r="K2213">
        <f t="shared" si="102"/>
        <v>3.8000000000000003</v>
      </c>
      <c r="L2213">
        <f t="shared" si="103"/>
        <v>72.2</v>
      </c>
      <c r="M2213" t="str">
        <f t="shared" si="104"/>
        <v>Mar-2014</v>
      </c>
    </row>
    <row r="2214" spans="1:13" x14ac:dyDescent="0.3">
      <c r="A2214" t="s">
        <v>2827</v>
      </c>
      <c r="B2214" s="1" t="s">
        <v>134</v>
      </c>
      <c r="C2214" s="1" t="s">
        <v>92</v>
      </c>
      <c r="D2214" s="1" t="s">
        <v>35</v>
      </c>
      <c r="E2214" s="5">
        <v>42483</v>
      </c>
      <c r="F2214" s="3" t="s">
        <v>122</v>
      </c>
      <c r="G2214" s="1" t="s">
        <v>1127</v>
      </c>
      <c r="H2214" s="1">
        <v>50</v>
      </c>
      <c r="I2214" s="1">
        <v>33</v>
      </c>
      <c r="J2214" s="2">
        <v>0.34</v>
      </c>
      <c r="K2214">
        <f t="shared" si="102"/>
        <v>11.22</v>
      </c>
      <c r="L2214">
        <f t="shared" si="103"/>
        <v>21.78</v>
      </c>
      <c r="M2214" t="str">
        <f t="shared" si="104"/>
        <v>Apr-2016</v>
      </c>
    </row>
    <row r="2215" spans="1:13" x14ac:dyDescent="0.3">
      <c r="A2215" t="s">
        <v>2828</v>
      </c>
      <c r="B2215" s="1" t="s">
        <v>44</v>
      </c>
      <c r="C2215" s="1" t="s">
        <v>45</v>
      </c>
      <c r="D2215" s="1" t="s">
        <v>24</v>
      </c>
      <c r="E2215" s="5">
        <v>41964</v>
      </c>
      <c r="F2215" s="3" t="s">
        <v>46</v>
      </c>
      <c r="G2215" s="1" t="s">
        <v>1102</v>
      </c>
      <c r="H2215" s="1">
        <v>500</v>
      </c>
      <c r="I2215" s="1">
        <v>475</v>
      </c>
      <c r="J2215" s="2">
        <v>0.05</v>
      </c>
      <c r="K2215">
        <f t="shared" si="102"/>
        <v>23.75</v>
      </c>
      <c r="L2215">
        <f t="shared" si="103"/>
        <v>451.25</v>
      </c>
      <c r="M2215" t="str">
        <f t="shared" si="104"/>
        <v>Nov-2014</v>
      </c>
    </row>
    <row r="2216" spans="1:13" x14ac:dyDescent="0.3">
      <c r="A2216" t="s">
        <v>2829</v>
      </c>
      <c r="B2216" s="1" t="s">
        <v>118</v>
      </c>
      <c r="C2216" s="1" t="s">
        <v>119</v>
      </c>
      <c r="D2216" s="1" t="s">
        <v>35</v>
      </c>
      <c r="E2216" s="5">
        <v>42305</v>
      </c>
      <c r="F2216" s="3" t="s">
        <v>25</v>
      </c>
      <c r="G2216" s="1" t="s">
        <v>847</v>
      </c>
      <c r="H2216" s="1">
        <v>700</v>
      </c>
      <c r="I2216" s="1">
        <v>686</v>
      </c>
      <c r="J2216" s="2">
        <v>0.02</v>
      </c>
      <c r="K2216">
        <f t="shared" si="102"/>
        <v>13.72</v>
      </c>
      <c r="L2216">
        <f t="shared" si="103"/>
        <v>672.28</v>
      </c>
      <c r="M2216" t="str">
        <f t="shared" si="104"/>
        <v>Oct-2015</v>
      </c>
    </row>
    <row r="2217" spans="1:13" x14ac:dyDescent="0.3">
      <c r="A2217" t="s">
        <v>2830</v>
      </c>
      <c r="B2217" s="1" t="s">
        <v>53</v>
      </c>
      <c r="C2217" s="1" t="s">
        <v>54</v>
      </c>
      <c r="D2217" s="1" t="s">
        <v>13</v>
      </c>
      <c r="E2217" s="5">
        <v>41898</v>
      </c>
      <c r="F2217" s="3" t="s">
        <v>61</v>
      </c>
      <c r="G2217" s="1" t="s">
        <v>795</v>
      </c>
      <c r="H2217" s="1">
        <v>1000</v>
      </c>
      <c r="I2217" s="1">
        <v>780</v>
      </c>
      <c r="J2217" s="2">
        <v>0.22</v>
      </c>
      <c r="K2217">
        <f t="shared" si="102"/>
        <v>171.6</v>
      </c>
      <c r="L2217">
        <f t="shared" si="103"/>
        <v>608.4</v>
      </c>
      <c r="M2217" t="str">
        <f t="shared" si="104"/>
        <v>Sep-2014</v>
      </c>
    </row>
    <row r="2218" spans="1:13" x14ac:dyDescent="0.3">
      <c r="A2218" t="s">
        <v>2831</v>
      </c>
      <c r="B2218" s="1" t="s">
        <v>2170</v>
      </c>
      <c r="C2218" s="1" t="s">
        <v>18</v>
      </c>
      <c r="D2218" s="1" t="s">
        <v>19</v>
      </c>
      <c r="E2218" s="5">
        <v>41818</v>
      </c>
      <c r="F2218" s="3" t="s">
        <v>61</v>
      </c>
      <c r="G2218" s="1" t="s">
        <v>2457</v>
      </c>
      <c r="H2218" s="1">
        <v>1000</v>
      </c>
      <c r="I2218" s="1">
        <v>510</v>
      </c>
      <c r="J2218" s="2">
        <v>0.49</v>
      </c>
      <c r="K2218">
        <f t="shared" si="102"/>
        <v>249.9</v>
      </c>
      <c r="L2218">
        <f t="shared" si="103"/>
        <v>260.10000000000002</v>
      </c>
      <c r="M2218" t="str">
        <f t="shared" si="104"/>
        <v>Jun-2014</v>
      </c>
    </row>
    <row r="2219" spans="1:13" x14ac:dyDescent="0.3">
      <c r="A2219" t="s">
        <v>2832</v>
      </c>
      <c r="B2219" s="1" t="s">
        <v>131</v>
      </c>
      <c r="C2219" s="1" t="s">
        <v>108</v>
      </c>
      <c r="D2219" s="1" t="s">
        <v>19</v>
      </c>
      <c r="E2219" s="5">
        <v>41847</v>
      </c>
      <c r="F2219" s="3" t="s">
        <v>122</v>
      </c>
      <c r="G2219" s="1" t="s">
        <v>793</v>
      </c>
      <c r="H2219" s="1">
        <v>50</v>
      </c>
      <c r="I2219" s="1">
        <v>49</v>
      </c>
      <c r="J2219" s="2">
        <v>0.02</v>
      </c>
      <c r="K2219">
        <f t="shared" si="102"/>
        <v>0.98</v>
      </c>
      <c r="L2219">
        <f t="shared" si="103"/>
        <v>48.02</v>
      </c>
      <c r="M2219" t="str">
        <f t="shared" si="104"/>
        <v>Jul-2014</v>
      </c>
    </row>
    <row r="2220" spans="1:13" x14ac:dyDescent="0.3">
      <c r="A2220" t="s">
        <v>2833</v>
      </c>
      <c r="B2220" s="1" t="s">
        <v>124</v>
      </c>
      <c r="C2220" s="1" t="s">
        <v>40</v>
      </c>
      <c r="D2220" s="1" t="s">
        <v>35</v>
      </c>
      <c r="E2220" s="5">
        <v>41667</v>
      </c>
      <c r="F2220" s="3" t="s">
        <v>55</v>
      </c>
      <c r="G2220" s="1" t="s">
        <v>575</v>
      </c>
      <c r="H2220" s="1">
        <v>800</v>
      </c>
      <c r="I2220" s="1">
        <v>512</v>
      </c>
      <c r="J2220" s="2">
        <v>0.36</v>
      </c>
      <c r="K2220">
        <f t="shared" si="102"/>
        <v>184.32</v>
      </c>
      <c r="L2220">
        <f t="shared" si="103"/>
        <v>327.68</v>
      </c>
      <c r="M2220" t="str">
        <f t="shared" si="104"/>
        <v>Jan-2014</v>
      </c>
    </row>
    <row r="2221" spans="1:13" x14ac:dyDescent="0.3">
      <c r="A2221" t="s">
        <v>2834</v>
      </c>
      <c r="B2221" s="1" t="s">
        <v>205</v>
      </c>
      <c r="C2221" s="1" t="s">
        <v>206</v>
      </c>
      <c r="D2221" s="1" t="s">
        <v>24</v>
      </c>
      <c r="E2221" s="5">
        <v>42477</v>
      </c>
      <c r="F2221" s="3" t="s">
        <v>55</v>
      </c>
      <c r="G2221" s="1" t="s">
        <v>1872</v>
      </c>
      <c r="H2221" s="1">
        <v>800</v>
      </c>
      <c r="I2221" s="1">
        <v>656</v>
      </c>
      <c r="J2221" s="2">
        <v>0.18</v>
      </c>
      <c r="K2221">
        <f t="shared" si="102"/>
        <v>118.08</v>
      </c>
      <c r="L2221">
        <f t="shared" si="103"/>
        <v>537.91999999999996</v>
      </c>
      <c r="M2221" t="str">
        <f t="shared" si="104"/>
        <v>Apr-2016</v>
      </c>
    </row>
    <row r="2222" spans="1:13" x14ac:dyDescent="0.3">
      <c r="A2222" t="s">
        <v>2835</v>
      </c>
      <c r="B2222" s="1" t="s">
        <v>205</v>
      </c>
      <c r="C2222" s="1" t="s">
        <v>206</v>
      </c>
      <c r="D2222" s="1" t="s">
        <v>24</v>
      </c>
      <c r="E2222" s="5">
        <v>42998</v>
      </c>
      <c r="F2222" s="3" t="s">
        <v>14</v>
      </c>
      <c r="G2222" s="1" t="s">
        <v>660</v>
      </c>
      <c r="H2222" s="1">
        <v>80</v>
      </c>
      <c r="I2222" s="1">
        <v>72</v>
      </c>
      <c r="J2222" s="2">
        <v>0.1</v>
      </c>
      <c r="K2222">
        <f t="shared" si="102"/>
        <v>7.2</v>
      </c>
      <c r="L2222">
        <f t="shared" si="103"/>
        <v>64.8</v>
      </c>
      <c r="M2222" t="str">
        <f t="shared" si="104"/>
        <v>Sep-2017</v>
      </c>
    </row>
    <row r="2223" spans="1:13" x14ac:dyDescent="0.3">
      <c r="A2223" t="s">
        <v>2836</v>
      </c>
      <c r="B2223" s="1" t="s">
        <v>103</v>
      </c>
      <c r="C2223" s="1" t="s">
        <v>71</v>
      </c>
      <c r="D2223" s="1" t="s">
        <v>35</v>
      </c>
      <c r="E2223" s="5">
        <v>41833</v>
      </c>
      <c r="F2223" s="3" t="s">
        <v>72</v>
      </c>
      <c r="G2223" s="1" t="s">
        <v>105</v>
      </c>
      <c r="H2223" s="1">
        <v>500</v>
      </c>
      <c r="I2223" s="1">
        <v>500</v>
      </c>
      <c r="J2223" s="2">
        <v>0</v>
      </c>
      <c r="K2223">
        <f t="shared" si="102"/>
        <v>0</v>
      </c>
      <c r="L2223">
        <f t="shared" si="103"/>
        <v>500</v>
      </c>
      <c r="M2223" t="str">
        <f t="shared" si="104"/>
        <v>Jul-2014</v>
      </c>
    </row>
    <row r="2224" spans="1:13" x14ac:dyDescent="0.3">
      <c r="A2224" t="s">
        <v>2837</v>
      </c>
      <c r="B2224" s="1" t="s">
        <v>103</v>
      </c>
      <c r="C2224" s="1" t="s">
        <v>71</v>
      </c>
      <c r="D2224" s="1" t="s">
        <v>35</v>
      </c>
      <c r="E2224" s="5">
        <v>42540</v>
      </c>
      <c r="F2224" s="3" t="s">
        <v>55</v>
      </c>
      <c r="G2224" s="1" t="s">
        <v>592</v>
      </c>
      <c r="H2224" s="1">
        <v>800</v>
      </c>
      <c r="I2224" s="1">
        <v>472</v>
      </c>
      <c r="J2224" s="2">
        <v>0.41</v>
      </c>
      <c r="K2224">
        <f t="shared" si="102"/>
        <v>193.51999999999998</v>
      </c>
      <c r="L2224">
        <f t="shared" si="103"/>
        <v>278.48</v>
      </c>
      <c r="M2224" t="str">
        <f t="shared" si="104"/>
        <v>Jun-2016</v>
      </c>
    </row>
    <row r="2225" spans="1:13" x14ac:dyDescent="0.3">
      <c r="A2225" t="s">
        <v>2838</v>
      </c>
      <c r="B2225" s="1" t="s">
        <v>70</v>
      </c>
      <c r="C2225" s="1" t="s">
        <v>71</v>
      </c>
      <c r="D2225" s="1" t="s">
        <v>35</v>
      </c>
      <c r="E2225" s="5">
        <v>42612</v>
      </c>
      <c r="F2225" s="3" t="s">
        <v>14</v>
      </c>
      <c r="G2225" s="1" t="s">
        <v>391</v>
      </c>
      <c r="H2225" s="1">
        <v>80</v>
      </c>
      <c r="I2225" s="1">
        <v>80</v>
      </c>
      <c r="J2225" s="2">
        <v>0</v>
      </c>
      <c r="K2225">
        <f t="shared" si="102"/>
        <v>0</v>
      </c>
      <c r="L2225">
        <f t="shared" si="103"/>
        <v>80</v>
      </c>
      <c r="M2225" t="str">
        <f t="shared" si="104"/>
        <v>Aug-2016</v>
      </c>
    </row>
    <row r="2226" spans="1:13" x14ac:dyDescent="0.3">
      <c r="A2226" t="s">
        <v>2839</v>
      </c>
      <c r="B2226" s="1" t="s">
        <v>187</v>
      </c>
      <c r="C2226" s="1" t="s">
        <v>188</v>
      </c>
      <c r="D2226" s="1" t="s">
        <v>13</v>
      </c>
      <c r="E2226" s="5">
        <v>42693</v>
      </c>
      <c r="F2226" s="3" t="s">
        <v>104</v>
      </c>
      <c r="G2226" s="1" t="s">
        <v>1150</v>
      </c>
      <c r="H2226" s="1">
        <v>70</v>
      </c>
      <c r="I2226" s="1">
        <v>64</v>
      </c>
      <c r="J2226" s="2">
        <v>8.5699999999999998E-2</v>
      </c>
      <c r="K2226">
        <f t="shared" si="102"/>
        <v>5.4847999999999999</v>
      </c>
      <c r="L2226">
        <f t="shared" si="103"/>
        <v>58.5152</v>
      </c>
      <c r="M2226" t="str">
        <f t="shared" si="104"/>
        <v>Nov-2016</v>
      </c>
    </row>
    <row r="2227" spans="1:13" x14ac:dyDescent="0.3">
      <c r="A2227" t="s">
        <v>2840</v>
      </c>
      <c r="B2227" s="1" t="s">
        <v>182</v>
      </c>
      <c r="C2227" s="1" t="s">
        <v>108</v>
      </c>
      <c r="D2227" s="1" t="s">
        <v>19</v>
      </c>
      <c r="E2227" s="5">
        <v>42610</v>
      </c>
      <c r="F2227" s="3" t="s">
        <v>30</v>
      </c>
      <c r="G2227" s="1" t="s">
        <v>2016</v>
      </c>
      <c r="H2227" s="1">
        <v>150</v>
      </c>
      <c r="I2227" s="1">
        <v>114</v>
      </c>
      <c r="J2227" s="2">
        <v>0.24</v>
      </c>
      <c r="K2227">
        <f t="shared" si="102"/>
        <v>27.36</v>
      </c>
      <c r="L2227">
        <f t="shared" si="103"/>
        <v>86.64</v>
      </c>
      <c r="M2227" t="str">
        <f t="shared" si="104"/>
        <v>Aug-2016</v>
      </c>
    </row>
    <row r="2228" spans="1:13" x14ac:dyDescent="0.3">
      <c r="A2228" t="s">
        <v>2841</v>
      </c>
      <c r="B2228" s="1" t="s">
        <v>28</v>
      </c>
      <c r="C2228" s="1" t="s">
        <v>29</v>
      </c>
      <c r="D2228" s="1" t="s">
        <v>13</v>
      </c>
      <c r="E2228" s="5">
        <v>41989</v>
      </c>
      <c r="F2228" s="3" t="s">
        <v>14</v>
      </c>
      <c r="G2228" s="1" t="s">
        <v>2842</v>
      </c>
      <c r="H2228" s="1">
        <v>80</v>
      </c>
      <c r="I2228" s="1">
        <v>73</v>
      </c>
      <c r="J2228" s="2">
        <v>8.7499999999999994E-2</v>
      </c>
      <c r="K2228">
        <f t="shared" si="102"/>
        <v>6.3874999999999993</v>
      </c>
      <c r="L2228">
        <f t="shared" si="103"/>
        <v>66.612499999999997</v>
      </c>
      <c r="M2228" t="str">
        <f t="shared" si="104"/>
        <v>Dec-2014</v>
      </c>
    </row>
    <row r="2229" spans="1:13" x14ac:dyDescent="0.3">
      <c r="A2229" t="s">
        <v>2843</v>
      </c>
      <c r="B2229" s="1" t="s">
        <v>127</v>
      </c>
      <c r="C2229" s="1" t="s">
        <v>128</v>
      </c>
      <c r="D2229" s="1" t="s">
        <v>13</v>
      </c>
      <c r="E2229" s="5">
        <v>42946</v>
      </c>
      <c r="F2229" s="3" t="s">
        <v>122</v>
      </c>
      <c r="G2229" s="1" t="s">
        <v>210</v>
      </c>
      <c r="H2229" s="1">
        <v>50</v>
      </c>
      <c r="I2229" s="1">
        <v>47</v>
      </c>
      <c r="J2229" s="2">
        <v>0.06</v>
      </c>
      <c r="K2229">
        <f t="shared" si="102"/>
        <v>2.82</v>
      </c>
      <c r="L2229">
        <f t="shared" si="103"/>
        <v>44.18</v>
      </c>
      <c r="M2229" t="str">
        <f t="shared" si="104"/>
        <v>Jul-2017</v>
      </c>
    </row>
    <row r="2230" spans="1:13" x14ac:dyDescent="0.3">
      <c r="A2230" t="s">
        <v>2844</v>
      </c>
      <c r="B2230" s="1" t="s">
        <v>224</v>
      </c>
      <c r="C2230" s="1" t="s">
        <v>50</v>
      </c>
      <c r="D2230" s="1" t="s">
        <v>24</v>
      </c>
      <c r="E2230" s="5">
        <v>42723</v>
      </c>
      <c r="F2230" s="3" t="s">
        <v>61</v>
      </c>
      <c r="G2230" s="1" t="s">
        <v>774</v>
      </c>
      <c r="H2230" s="1">
        <v>1000</v>
      </c>
      <c r="I2230" s="1">
        <v>960</v>
      </c>
      <c r="J2230" s="2">
        <v>0.04</v>
      </c>
      <c r="K2230">
        <f t="shared" si="102"/>
        <v>38.4</v>
      </c>
      <c r="L2230">
        <f t="shared" si="103"/>
        <v>921.6</v>
      </c>
      <c r="M2230" t="str">
        <f t="shared" si="104"/>
        <v>Dec-2016</v>
      </c>
    </row>
    <row r="2231" spans="1:13" x14ac:dyDescent="0.3">
      <c r="A2231" t="s">
        <v>2845</v>
      </c>
      <c r="B2231" s="1" t="s">
        <v>157</v>
      </c>
      <c r="C2231" s="1" t="s">
        <v>108</v>
      </c>
      <c r="D2231" s="1" t="s">
        <v>19</v>
      </c>
      <c r="E2231" s="5">
        <v>42081</v>
      </c>
      <c r="F2231" s="3" t="s">
        <v>61</v>
      </c>
      <c r="G2231" s="1" t="s">
        <v>1870</v>
      </c>
      <c r="H2231" s="1">
        <v>1000</v>
      </c>
      <c r="I2231" s="1">
        <v>990</v>
      </c>
      <c r="J2231" s="2">
        <v>0.01</v>
      </c>
      <c r="K2231">
        <f t="shared" si="102"/>
        <v>9.9</v>
      </c>
      <c r="L2231">
        <f t="shared" si="103"/>
        <v>980.1</v>
      </c>
      <c r="M2231" t="str">
        <f t="shared" si="104"/>
        <v>Mar-2015</v>
      </c>
    </row>
    <row r="2232" spans="1:13" x14ac:dyDescent="0.3">
      <c r="A2232" t="s">
        <v>2846</v>
      </c>
      <c r="B2232" s="1" t="s">
        <v>205</v>
      </c>
      <c r="C2232" s="1" t="s">
        <v>206</v>
      </c>
      <c r="D2232" s="1" t="s">
        <v>24</v>
      </c>
      <c r="E2232" s="5">
        <v>42628</v>
      </c>
      <c r="F2232" s="3" t="s">
        <v>55</v>
      </c>
      <c r="G2232" s="1" t="s">
        <v>207</v>
      </c>
      <c r="H2232" s="1">
        <v>800</v>
      </c>
      <c r="I2232" s="1">
        <v>720</v>
      </c>
      <c r="J2232" s="2">
        <v>0.1</v>
      </c>
      <c r="K2232">
        <f t="shared" si="102"/>
        <v>72</v>
      </c>
      <c r="L2232">
        <f t="shared" si="103"/>
        <v>648</v>
      </c>
      <c r="M2232" t="str">
        <f t="shared" si="104"/>
        <v>Sep-2016</v>
      </c>
    </row>
    <row r="2233" spans="1:13" x14ac:dyDescent="0.3">
      <c r="A2233" t="s">
        <v>2847</v>
      </c>
      <c r="B2233" s="1" t="s">
        <v>182</v>
      </c>
      <c r="C2233" s="1" t="s">
        <v>108</v>
      </c>
      <c r="D2233" s="1" t="s">
        <v>19</v>
      </c>
      <c r="E2233" s="5">
        <v>42727</v>
      </c>
      <c r="F2233" s="3" t="s">
        <v>55</v>
      </c>
      <c r="G2233" s="1" t="s">
        <v>1043</v>
      </c>
      <c r="H2233" s="1">
        <v>800</v>
      </c>
      <c r="I2233" s="1">
        <v>600</v>
      </c>
      <c r="J2233" s="2">
        <v>0.25</v>
      </c>
      <c r="K2233">
        <f t="shared" si="102"/>
        <v>150</v>
      </c>
      <c r="L2233">
        <f t="shared" si="103"/>
        <v>450</v>
      </c>
      <c r="M2233" t="str">
        <f t="shared" si="104"/>
        <v>Dec-2016</v>
      </c>
    </row>
    <row r="2234" spans="1:13" x14ac:dyDescent="0.3">
      <c r="A2234" t="s">
        <v>2848</v>
      </c>
      <c r="B2234" s="1" t="s">
        <v>146</v>
      </c>
      <c r="C2234" s="1" t="s">
        <v>147</v>
      </c>
      <c r="D2234" s="1" t="s">
        <v>13</v>
      </c>
      <c r="E2234" s="5">
        <v>43069</v>
      </c>
      <c r="F2234" s="3" t="s">
        <v>46</v>
      </c>
      <c r="G2234" s="1" t="s">
        <v>725</v>
      </c>
      <c r="H2234" s="1">
        <v>500</v>
      </c>
      <c r="I2234" s="1">
        <v>435</v>
      </c>
      <c r="J2234" s="2">
        <v>0.13</v>
      </c>
      <c r="K2234">
        <f t="shared" si="102"/>
        <v>56.550000000000004</v>
      </c>
      <c r="L2234">
        <f t="shared" si="103"/>
        <v>378.45</v>
      </c>
      <c r="M2234" t="str">
        <f t="shared" si="104"/>
        <v>Nov-2017</v>
      </c>
    </row>
    <row r="2235" spans="1:13" x14ac:dyDescent="0.3">
      <c r="A2235" t="s">
        <v>2849</v>
      </c>
      <c r="B2235" s="1" t="s">
        <v>205</v>
      </c>
      <c r="C2235" s="1" t="s">
        <v>206</v>
      </c>
      <c r="D2235" s="1" t="s">
        <v>24</v>
      </c>
      <c r="E2235" s="5">
        <v>41843</v>
      </c>
      <c r="F2235" s="3" t="s">
        <v>41</v>
      </c>
      <c r="G2235" s="1" t="s">
        <v>1478</v>
      </c>
      <c r="H2235" s="1">
        <v>30</v>
      </c>
      <c r="I2235" s="1">
        <v>25</v>
      </c>
      <c r="J2235" s="2">
        <v>0.16669999999999999</v>
      </c>
      <c r="K2235">
        <f t="shared" si="102"/>
        <v>4.1674999999999995</v>
      </c>
      <c r="L2235">
        <f t="shared" si="103"/>
        <v>20.8325</v>
      </c>
      <c r="M2235" t="str">
        <f t="shared" si="104"/>
        <v>Jul-2014</v>
      </c>
    </row>
    <row r="2236" spans="1:13" x14ac:dyDescent="0.3">
      <c r="A2236" t="s">
        <v>2850</v>
      </c>
      <c r="B2236" s="1" t="s">
        <v>221</v>
      </c>
      <c r="C2236" s="1" t="s">
        <v>40</v>
      </c>
      <c r="D2236" s="1" t="s">
        <v>35</v>
      </c>
      <c r="E2236" s="5">
        <v>42168</v>
      </c>
      <c r="F2236" s="3" t="s">
        <v>36</v>
      </c>
      <c r="G2236" s="1" t="s">
        <v>1179</v>
      </c>
      <c r="H2236" s="1">
        <v>50</v>
      </c>
      <c r="I2236" s="1">
        <v>46</v>
      </c>
      <c r="J2236" s="2">
        <v>0.08</v>
      </c>
      <c r="K2236">
        <f t="shared" si="102"/>
        <v>3.68</v>
      </c>
      <c r="L2236">
        <f t="shared" si="103"/>
        <v>42.32</v>
      </c>
      <c r="M2236" t="str">
        <f t="shared" si="104"/>
        <v>Jun-2015</v>
      </c>
    </row>
    <row r="2237" spans="1:13" x14ac:dyDescent="0.3">
      <c r="A2237" t="s">
        <v>2851</v>
      </c>
      <c r="B2237" s="1" t="s">
        <v>53</v>
      </c>
      <c r="C2237" s="1" t="s">
        <v>54</v>
      </c>
      <c r="D2237" s="1" t="s">
        <v>13</v>
      </c>
      <c r="E2237" s="5">
        <v>42963</v>
      </c>
      <c r="F2237" s="3" t="s">
        <v>36</v>
      </c>
      <c r="G2237" s="1" t="s">
        <v>647</v>
      </c>
      <c r="H2237" s="1">
        <v>50</v>
      </c>
      <c r="I2237" s="1">
        <v>48</v>
      </c>
      <c r="J2237" s="2">
        <v>0.04</v>
      </c>
      <c r="K2237">
        <f t="shared" si="102"/>
        <v>1.92</v>
      </c>
      <c r="L2237">
        <f t="shared" si="103"/>
        <v>46.08</v>
      </c>
      <c r="M2237" t="str">
        <f t="shared" si="104"/>
        <v>Aug-2017</v>
      </c>
    </row>
    <row r="2238" spans="1:13" x14ac:dyDescent="0.3">
      <c r="A2238" t="s">
        <v>2852</v>
      </c>
      <c r="B2238" s="1" t="s">
        <v>150</v>
      </c>
      <c r="C2238" s="1" t="s">
        <v>151</v>
      </c>
      <c r="D2238" s="1" t="s">
        <v>13</v>
      </c>
      <c r="E2238" s="5">
        <v>42146</v>
      </c>
      <c r="F2238" s="3" t="s">
        <v>30</v>
      </c>
      <c r="G2238" s="1" t="s">
        <v>771</v>
      </c>
      <c r="H2238" s="1">
        <v>150</v>
      </c>
      <c r="I2238" s="1">
        <v>134</v>
      </c>
      <c r="J2238" s="2">
        <v>0.1067</v>
      </c>
      <c r="K2238">
        <f t="shared" si="102"/>
        <v>14.297800000000001</v>
      </c>
      <c r="L2238">
        <f t="shared" si="103"/>
        <v>119.7022</v>
      </c>
      <c r="M2238" t="str">
        <f t="shared" si="104"/>
        <v>May-2015</v>
      </c>
    </row>
    <row r="2239" spans="1:13" x14ac:dyDescent="0.3">
      <c r="A2239" t="s">
        <v>2853</v>
      </c>
      <c r="B2239" s="1" t="s">
        <v>224</v>
      </c>
      <c r="C2239" s="1" t="s">
        <v>50</v>
      </c>
      <c r="D2239" s="1" t="s">
        <v>24</v>
      </c>
      <c r="E2239" s="5">
        <v>41755</v>
      </c>
      <c r="F2239" s="3" t="s">
        <v>14</v>
      </c>
      <c r="G2239" s="1" t="s">
        <v>2854</v>
      </c>
      <c r="H2239" s="1">
        <v>80</v>
      </c>
      <c r="I2239" s="1">
        <v>75</v>
      </c>
      <c r="J2239" s="2">
        <v>6.25E-2</v>
      </c>
      <c r="K2239">
        <f t="shared" si="102"/>
        <v>4.6875</v>
      </c>
      <c r="L2239">
        <f t="shared" si="103"/>
        <v>70.3125</v>
      </c>
      <c r="M2239" t="str">
        <f t="shared" si="104"/>
        <v>Apr-2014</v>
      </c>
    </row>
    <row r="2240" spans="1:13" x14ac:dyDescent="0.3">
      <c r="A2240" t="s">
        <v>2855</v>
      </c>
      <c r="B2240" s="1" t="s">
        <v>118</v>
      </c>
      <c r="C2240" s="1" t="s">
        <v>119</v>
      </c>
      <c r="D2240" s="1" t="s">
        <v>35</v>
      </c>
      <c r="E2240" s="5">
        <v>42550</v>
      </c>
      <c r="F2240" s="3" t="s">
        <v>25</v>
      </c>
      <c r="G2240" s="1" t="s">
        <v>540</v>
      </c>
      <c r="H2240" s="1">
        <v>700</v>
      </c>
      <c r="I2240" s="1">
        <v>693</v>
      </c>
      <c r="J2240" s="2">
        <v>0.01</v>
      </c>
      <c r="K2240">
        <f t="shared" si="102"/>
        <v>6.93</v>
      </c>
      <c r="L2240">
        <f t="shared" si="103"/>
        <v>686.07</v>
      </c>
      <c r="M2240" t="str">
        <f t="shared" si="104"/>
        <v>Jun-2016</v>
      </c>
    </row>
    <row r="2241" spans="1:13" x14ac:dyDescent="0.3">
      <c r="A2241" t="s">
        <v>2856</v>
      </c>
      <c r="B2241" s="1" t="s">
        <v>111</v>
      </c>
      <c r="C2241" s="1" t="s">
        <v>82</v>
      </c>
      <c r="D2241" s="1" t="s">
        <v>13</v>
      </c>
      <c r="E2241" s="5">
        <v>42478</v>
      </c>
      <c r="F2241" s="3" t="s">
        <v>30</v>
      </c>
      <c r="G2241" s="1" t="s">
        <v>820</v>
      </c>
      <c r="H2241" s="1">
        <v>150</v>
      </c>
      <c r="I2241" s="1">
        <v>119</v>
      </c>
      <c r="J2241" s="2">
        <v>0.20669999999999999</v>
      </c>
      <c r="K2241">
        <f t="shared" si="102"/>
        <v>24.597300000000001</v>
      </c>
      <c r="L2241">
        <f t="shared" si="103"/>
        <v>94.402699999999996</v>
      </c>
      <c r="M2241" t="str">
        <f t="shared" si="104"/>
        <v>Apr-2016</v>
      </c>
    </row>
    <row r="2242" spans="1:13" x14ac:dyDescent="0.3">
      <c r="A2242" t="s">
        <v>2857</v>
      </c>
      <c r="B2242" s="1" t="s">
        <v>59</v>
      </c>
      <c r="C2242" s="1" t="s">
        <v>60</v>
      </c>
      <c r="D2242" s="1" t="s">
        <v>13</v>
      </c>
      <c r="E2242" s="5">
        <v>41958</v>
      </c>
      <c r="F2242" s="3" t="s">
        <v>14</v>
      </c>
      <c r="G2242" s="1" t="s">
        <v>1842</v>
      </c>
      <c r="H2242" s="1">
        <v>80</v>
      </c>
      <c r="I2242" s="1">
        <v>48</v>
      </c>
      <c r="J2242" s="2">
        <v>0.4</v>
      </c>
      <c r="K2242">
        <f t="shared" si="102"/>
        <v>19.200000000000003</v>
      </c>
      <c r="L2242">
        <f t="shared" si="103"/>
        <v>28.799999999999997</v>
      </c>
      <c r="M2242" t="str">
        <f t="shared" si="104"/>
        <v>Nov-2014</v>
      </c>
    </row>
    <row r="2243" spans="1:13" x14ac:dyDescent="0.3">
      <c r="A2243" t="s">
        <v>2858</v>
      </c>
      <c r="B2243" s="1" t="s">
        <v>17</v>
      </c>
      <c r="C2243" s="1" t="s">
        <v>18</v>
      </c>
      <c r="D2243" s="1" t="s">
        <v>19</v>
      </c>
      <c r="E2243" s="5">
        <v>42576</v>
      </c>
      <c r="F2243" s="3" t="s">
        <v>122</v>
      </c>
      <c r="G2243" s="1" t="s">
        <v>20</v>
      </c>
      <c r="H2243" s="1">
        <v>50</v>
      </c>
      <c r="I2243" s="1">
        <v>45</v>
      </c>
      <c r="J2243" s="2">
        <v>0.1</v>
      </c>
      <c r="K2243">
        <f t="shared" si="102"/>
        <v>4.5</v>
      </c>
      <c r="L2243">
        <f t="shared" si="103"/>
        <v>40.5</v>
      </c>
      <c r="M2243" t="str">
        <f t="shared" si="104"/>
        <v>Jul-2016</v>
      </c>
    </row>
    <row r="2244" spans="1:13" x14ac:dyDescent="0.3">
      <c r="A2244" t="s">
        <v>2859</v>
      </c>
      <c r="B2244" s="1" t="s">
        <v>182</v>
      </c>
      <c r="C2244" s="1" t="s">
        <v>108</v>
      </c>
      <c r="D2244" s="1" t="s">
        <v>19</v>
      </c>
      <c r="E2244" s="5">
        <v>41661</v>
      </c>
      <c r="F2244" s="3" t="s">
        <v>115</v>
      </c>
      <c r="G2244" s="1" t="s">
        <v>502</v>
      </c>
      <c r="H2244" s="1">
        <v>250</v>
      </c>
      <c r="I2244" s="1">
        <v>250</v>
      </c>
      <c r="J2244" s="2">
        <v>0</v>
      </c>
      <c r="K2244">
        <f t="shared" ref="K2244:K2307" si="105">I2244*J2244</f>
        <v>0</v>
      </c>
      <c r="L2244">
        <f t="shared" ref="L2244:L2307" si="106">I2244-K2244</f>
        <v>250</v>
      </c>
      <c r="M2244" t="str">
        <f t="shared" ref="M2244:M2307" si="107">TEXT(E2244, "mmm-yyyy")</f>
        <v>Jan-2014</v>
      </c>
    </row>
    <row r="2245" spans="1:13" x14ac:dyDescent="0.3">
      <c r="A2245" t="s">
        <v>2860</v>
      </c>
      <c r="B2245" s="1" t="s">
        <v>127</v>
      </c>
      <c r="C2245" s="1" t="s">
        <v>128</v>
      </c>
      <c r="D2245" s="1" t="s">
        <v>13</v>
      </c>
      <c r="E2245" s="5">
        <v>42450</v>
      </c>
      <c r="F2245" s="3" t="s">
        <v>46</v>
      </c>
      <c r="G2245" s="1" t="s">
        <v>920</v>
      </c>
      <c r="H2245" s="1">
        <v>500</v>
      </c>
      <c r="I2245" s="1">
        <v>380</v>
      </c>
      <c r="J2245" s="2">
        <v>0.24</v>
      </c>
      <c r="K2245">
        <f t="shared" si="105"/>
        <v>91.2</v>
      </c>
      <c r="L2245">
        <f t="shared" si="106"/>
        <v>288.8</v>
      </c>
      <c r="M2245" t="str">
        <f t="shared" si="107"/>
        <v>Mar-2016</v>
      </c>
    </row>
    <row r="2246" spans="1:13" x14ac:dyDescent="0.3">
      <c r="A2246" t="s">
        <v>2861</v>
      </c>
      <c r="B2246" s="1" t="s">
        <v>39</v>
      </c>
      <c r="C2246" s="1" t="s">
        <v>40</v>
      </c>
      <c r="D2246" s="1" t="s">
        <v>35</v>
      </c>
      <c r="E2246" s="5">
        <v>42721</v>
      </c>
      <c r="F2246" s="3" t="s">
        <v>72</v>
      </c>
      <c r="G2246" s="1" t="s">
        <v>1707</v>
      </c>
      <c r="H2246" s="1">
        <v>500</v>
      </c>
      <c r="I2246" s="1">
        <v>495</v>
      </c>
      <c r="J2246" s="2">
        <v>0.01</v>
      </c>
      <c r="K2246">
        <f t="shared" si="105"/>
        <v>4.95</v>
      </c>
      <c r="L2246">
        <f t="shared" si="106"/>
        <v>490.05</v>
      </c>
      <c r="M2246" t="str">
        <f t="shared" si="107"/>
        <v>Dec-2016</v>
      </c>
    </row>
    <row r="2247" spans="1:13" x14ac:dyDescent="0.3">
      <c r="A2247" t="s">
        <v>2862</v>
      </c>
      <c r="B2247" s="1" t="s">
        <v>111</v>
      </c>
      <c r="C2247" s="1" t="s">
        <v>82</v>
      </c>
      <c r="D2247" s="1" t="s">
        <v>13</v>
      </c>
      <c r="E2247" s="5">
        <v>42391</v>
      </c>
      <c r="F2247" s="3" t="s">
        <v>25</v>
      </c>
      <c r="G2247" s="1" t="s">
        <v>112</v>
      </c>
      <c r="H2247" s="1">
        <v>700</v>
      </c>
      <c r="I2247" s="1">
        <v>623</v>
      </c>
      <c r="J2247" s="2">
        <v>0.11</v>
      </c>
      <c r="K2247">
        <f t="shared" si="105"/>
        <v>68.53</v>
      </c>
      <c r="L2247">
        <f t="shared" si="106"/>
        <v>554.47</v>
      </c>
      <c r="M2247" t="str">
        <f t="shared" si="107"/>
        <v>Jan-2016</v>
      </c>
    </row>
    <row r="2248" spans="1:13" x14ac:dyDescent="0.3">
      <c r="A2248" t="s">
        <v>2863</v>
      </c>
      <c r="B2248" s="1" t="s">
        <v>99</v>
      </c>
      <c r="C2248" s="1" t="s">
        <v>100</v>
      </c>
      <c r="D2248" s="1" t="s">
        <v>13</v>
      </c>
      <c r="E2248" s="5">
        <v>42637</v>
      </c>
      <c r="F2248" s="3" t="s">
        <v>122</v>
      </c>
      <c r="G2248" s="1" t="s">
        <v>948</v>
      </c>
      <c r="H2248" s="1">
        <v>50</v>
      </c>
      <c r="I2248" s="1">
        <v>44</v>
      </c>
      <c r="J2248" s="2">
        <v>0.12</v>
      </c>
      <c r="K2248">
        <f t="shared" si="105"/>
        <v>5.2799999999999994</v>
      </c>
      <c r="L2248">
        <f t="shared" si="106"/>
        <v>38.72</v>
      </c>
      <c r="M2248" t="str">
        <f t="shared" si="107"/>
        <v>Sep-2016</v>
      </c>
    </row>
    <row r="2249" spans="1:13" x14ac:dyDescent="0.3">
      <c r="A2249" t="s">
        <v>2864</v>
      </c>
      <c r="B2249" s="1" t="s">
        <v>85</v>
      </c>
      <c r="C2249" s="1" t="s">
        <v>86</v>
      </c>
      <c r="D2249" s="1" t="s">
        <v>13</v>
      </c>
      <c r="E2249" s="5">
        <v>42336</v>
      </c>
      <c r="F2249" s="3" t="s">
        <v>41</v>
      </c>
      <c r="G2249" s="1" t="s">
        <v>363</v>
      </c>
      <c r="H2249" s="1">
        <v>30</v>
      </c>
      <c r="I2249" s="1">
        <v>30</v>
      </c>
      <c r="J2249" s="2">
        <v>0</v>
      </c>
      <c r="K2249">
        <f t="shared" si="105"/>
        <v>0</v>
      </c>
      <c r="L2249">
        <f t="shared" si="106"/>
        <v>30</v>
      </c>
      <c r="M2249" t="str">
        <f t="shared" si="107"/>
        <v>Nov-2015</v>
      </c>
    </row>
    <row r="2250" spans="1:13" x14ac:dyDescent="0.3">
      <c r="A2250" t="s">
        <v>2865</v>
      </c>
      <c r="B2250" s="1" t="s">
        <v>324</v>
      </c>
      <c r="C2250" s="1" t="s">
        <v>325</v>
      </c>
      <c r="D2250" s="1" t="s">
        <v>13</v>
      </c>
      <c r="E2250" s="5">
        <v>42453</v>
      </c>
      <c r="F2250" s="3" t="s">
        <v>36</v>
      </c>
      <c r="G2250" s="1" t="s">
        <v>588</v>
      </c>
      <c r="H2250" s="1">
        <v>50</v>
      </c>
      <c r="I2250" s="1">
        <v>49</v>
      </c>
      <c r="J2250" s="2">
        <v>0.02</v>
      </c>
      <c r="K2250">
        <f t="shared" si="105"/>
        <v>0.98</v>
      </c>
      <c r="L2250">
        <f t="shared" si="106"/>
        <v>48.02</v>
      </c>
      <c r="M2250" t="str">
        <f t="shared" si="107"/>
        <v>Mar-2016</v>
      </c>
    </row>
    <row r="2251" spans="1:13" x14ac:dyDescent="0.3">
      <c r="A2251" t="s">
        <v>2866</v>
      </c>
      <c r="B2251" s="1" t="s">
        <v>154</v>
      </c>
      <c r="C2251" s="1" t="s">
        <v>108</v>
      </c>
      <c r="D2251" s="1" t="s">
        <v>19</v>
      </c>
      <c r="E2251" s="5">
        <v>43325</v>
      </c>
      <c r="F2251" s="3" t="s">
        <v>14</v>
      </c>
      <c r="G2251" s="1" t="s">
        <v>1004</v>
      </c>
      <c r="H2251" s="1">
        <v>80</v>
      </c>
      <c r="I2251" s="1">
        <v>72</v>
      </c>
      <c r="J2251" s="2">
        <v>0.1</v>
      </c>
      <c r="K2251">
        <f t="shared" si="105"/>
        <v>7.2</v>
      </c>
      <c r="L2251">
        <f t="shared" si="106"/>
        <v>64.8</v>
      </c>
      <c r="M2251" t="str">
        <f t="shared" si="107"/>
        <v>Aug-2018</v>
      </c>
    </row>
    <row r="2252" spans="1:13" x14ac:dyDescent="0.3">
      <c r="A2252" t="s">
        <v>2867</v>
      </c>
      <c r="B2252" s="1" t="s">
        <v>39</v>
      </c>
      <c r="C2252" s="1" t="s">
        <v>40</v>
      </c>
      <c r="D2252" s="1" t="s">
        <v>35</v>
      </c>
      <c r="E2252" s="5">
        <v>41807</v>
      </c>
      <c r="F2252" s="3" t="s">
        <v>36</v>
      </c>
      <c r="G2252" s="1" t="s">
        <v>1526</v>
      </c>
      <c r="H2252" s="1">
        <v>50</v>
      </c>
      <c r="I2252" s="1">
        <v>45</v>
      </c>
      <c r="J2252" s="2">
        <v>0.1</v>
      </c>
      <c r="K2252">
        <f t="shared" si="105"/>
        <v>4.5</v>
      </c>
      <c r="L2252">
        <f t="shared" si="106"/>
        <v>40.5</v>
      </c>
      <c r="M2252" t="str">
        <f t="shared" si="107"/>
        <v>Jun-2014</v>
      </c>
    </row>
    <row r="2253" spans="1:13" x14ac:dyDescent="0.3">
      <c r="A2253" t="s">
        <v>2868</v>
      </c>
      <c r="B2253" s="1" t="s">
        <v>107</v>
      </c>
      <c r="C2253" s="1" t="s">
        <v>108</v>
      </c>
      <c r="D2253" s="1" t="s">
        <v>19</v>
      </c>
      <c r="E2253" s="5">
        <v>43311</v>
      </c>
      <c r="F2253" s="3" t="s">
        <v>30</v>
      </c>
      <c r="G2253" s="1" t="s">
        <v>1029</v>
      </c>
      <c r="H2253" s="1">
        <v>150</v>
      </c>
      <c r="I2253" s="1">
        <v>149</v>
      </c>
      <c r="J2253" s="2">
        <v>6.7000000000000002E-3</v>
      </c>
      <c r="K2253">
        <f t="shared" si="105"/>
        <v>0.99830000000000008</v>
      </c>
      <c r="L2253">
        <f t="shared" si="106"/>
        <v>148.0017</v>
      </c>
      <c r="M2253" t="str">
        <f t="shared" si="107"/>
        <v>Jul-2018</v>
      </c>
    </row>
    <row r="2254" spans="1:13" x14ac:dyDescent="0.3">
      <c r="A2254" t="s">
        <v>2869</v>
      </c>
      <c r="B2254" s="1" t="s">
        <v>174</v>
      </c>
      <c r="C2254" s="1" t="s">
        <v>175</v>
      </c>
      <c r="D2254" s="1" t="s">
        <v>13</v>
      </c>
      <c r="E2254" s="5">
        <v>42571</v>
      </c>
      <c r="F2254" s="3" t="s">
        <v>104</v>
      </c>
      <c r="G2254" s="1" t="s">
        <v>176</v>
      </c>
      <c r="H2254" s="1">
        <v>70</v>
      </c>
      <c r="I2254" s="1">
        <v>61</v>
      </c>
      <c r="J2254" s="2">
        <v>0.12859999999999999</v>
      </c>
      <c r="K2254">
        <f t="shared" si="105"/>
        <v>7.8445999999999998</v>
      </c>
      <c r="L2254">
        <f t="shared" si="106"/>
        <v>53.1554</v>
      </c>
      <c r="M2254" t="str">
        <f t="shared" si="107"/>
        <v>Jul-2016</v>
      </c>
    </row>
    <row r="2255" spans="1:13" x14ac:dyDescent="0.3">
      <c r="A2255" t="s">
        <v>2870</v>
      </c>
      <c r="B2255" s="1" t="s">
        <v>81</v>
      </c>
      <c r="C2255" s="1" t="s">
        <v>82</v>
      </c>
      <c r="D2255" s="1" t="s">
        <v>13</v>
      </c>
      <c r="E2255" s="5">
        <v>43125</v>
      </c>
      <c r="F2255" s="3" t="s">
        <v>72</v>
      </c>
      <c r="G2255" s="1" t="s">
        <v>387</v>
      </c>
      <c r="H2255" s="1">
        <v>500</v>
      </c>
      <c r="I2255" s="1">
        <v>500</v>
      </c>
      <c r="J2255" s="2">
        <v>0</v>
      </c>
      <c r="K2255">
        <f t="shared" si="105"/>
        <v>0</v>
      </c>
      <c r="L2255">
        <f t="shared" si="106"/>
        <v>500</v>
      </c>
      <c r="M2255" t="str">
        <f t="shared" si="107"/>
        <v>Jan-2018</v>
      </c>
    </row>
    <row r="2256" spans="1:13" x14ac:dyDescent="0.3">
      <c r="A2256" t="s">
        <v>2871</v>
      </c>
      <c r="B2256" s="1" t="s">
        <v>95</v>
      </c>
      <c r="C2256" s="1" t="s">
        <v>96</v>
      </c>
      <c r="D2256" s="1" t="s">
        <v>13</v>
      </c>
      <c r="E2256" s="5">
        <v>43425</v>
      </c>
      <c r="F2256" s="3" t="s">
        <v>25</v>
      </c>
      <c r="G2256" s="1" t="s">
        <v>1408</v>
      </c>
      <c r="H2256" s="1">
        <v>700</v>
      </c>
      <c r="I2256" s="1">
        <v>672</v>
      </c>
      <c r="J2256" s="2">
        <v>0.04</v>
      </c>
      <c r="K2256">
        <f t="shared" si="105"/>
        <v>26.88</v>
      </c>
      <c r="L2256">
        <f t="shared" si="106"/>
        <v>645.12</v>
      </c>
      <c r="M2256" t="str">
        <f t="shared" si="107"/>
        <v>Nov-2018</v>
      </c>
    </row>
    <row r="2257" spans="1:13" x14ac:dyDescent="0.3">
      <c r="A2257" t="s">
        <v>2872</v>
      </c>
      <c r="B2257" s="1" t="s">
        <v>434</v>
      </c>
      <c r="C2257" s="1" t="s">
        <v>435</v>
      </c>
      <c r="D2257" s="1" t="s">
        <v>24</v>
      </c>
      <c r="E2257" s="5">
        <v>41817</v>
      </c>
      <c r="F2257" s="3" t="s">
        <v>55</v>
      </c>
      <c r="G2257" s="1" t="s">
        <v>858</v>
      </c>
      <c r="H2257" s="1">
        <v>800</v>
      </c>
      <c r="I2257" s="1">
        <v>640</v>
      </c>
      <c r="J2257" s="2">
        <v>0.2</v>
      </c>
      <c r="K2257">
        <f t="shared" si="105"/>
        <v>128</v>
      </c>
      <c r="L2257">
        <f t="shared" si="106"/>
        <v>512</v>
      </c>
      <c r="M2257" t="str">
        <f t="shared" si="107"/>
        <v>Jun-2014</v>
      </c>
    </row>
    <row r="2258" spans="1:13" x14ac:dyDescent="0.3">
      <c r="A2258" t="s">
        <v>2873</v>
      </c>
      <c r="B2258" s="1" t="s">
        <v>241</v>
      </c>
      <c r="C2258" s="1" t="s">
        <v>242</v>
      </c>
      <c r="D2258" s="1" t="s">
        <v>13</v>
      </c>
      <c r="E2258" s="5">
        <v>43176</v>
      </c>
      <c r="F2258" s="3" t="s">
        <v>61</v>
      </c>
      <c r="G2258" s="1" t="s">
        <v>380</v>
      </c>
      <c r="H2258" s="1">
        <v>1000</v>
      </c>
      <c r="I2258" s="1">
        <v>630</v>
      </c>
      <c r="J2258" s="2">
        <v>0.37</v>
      </c>
      <c r="K2258">
        <f t="shared" si="105"/>
        <v>233.1</v>
      </c>
      <c r="L2258">
        <f t="shared" si="106"/>
        <v>396.9</v>
      </c>
      <c r="M2258" t="str">
        <f t="shared" si="107"/>
        <v>Mar-2018</v>
      </c>
    </row>
    <row r="2259" spans="1:13" x14ac:dyDescent="0.3">
      <c r="A2259" t="s">
        <v>2874</v>
      </c>
      <c r="B2259" s="1" t="s">
        <v>127</v>
      </c>
      <c r="C2259" s="1" t="s">
        <v>128</v>
      </c>
      <c r="D2259" s="1" t="s">
        <v>13</v>
      </c>
      <c r="E2259" s="5">
        <v>42138</v>
      </c>
      <c r="F2259" s="3" t="s">
        <v>36</v>
      </c>
      <c r="G2259" s="1" t="s">
        <v>210</v>
      </c>
      <c r="H2259" s="1">
        <v>50</v>
      </c>
      <c r="I2259" s="1">
        <v>46</v>
      </c>
      <c r="J2259" s="2">
        <v>0.08</v>
      </c>
      <c r="K2259">
        <f t="shared" si="105"/>
        <v>3.68</v>
      </c>
      <c r="L2259">
        <f t="shared" si="106"/>
        <v>42.32</v>
      </c>
      <c r="M2259" t="str">
        <f t="shared" si="107"/>
        <v>May-2015</v>
      </c>
    </row>
    <row r="2260" spans="1:13" x14ac:dyDescent="0.3">
      <c r="A2260" t="s">
        <v>2875</v>
      </c>
      <c r="B2260" s="1" t="s">
        <v>2243</v>
      </c>
      <c r="C2260" s="1" t="s">
        <v>108</v>
      </c>
      <c r="D2260" s="1" t="s">
        <v>19</v>
      </c>
      <c r="E2260" s="5">
        <v>42580</v>
      </c>
      <c r="F2260" s="3" t="s">
        <v>36</v>
      </c>
      <c r="G2260" s="1" t="s">
        <v>2776</v>
      </c>
      <c r="H2260" s="1">
        <v>50</v>
      </c>
      <c r="I2260" s="1">
        <v>33</v>
      </c>
      <c r="J2260" s="2">
        <v>0.34</v>
      </c>
      <c r="K2260">
        <f t="shared" si="105"/>
        <v>11.22</v>
      </c>
      <c r="L2260">
        <f t="shared" si="106"/>
        <v>21.78</v>
      </c>
      <c r="M2260" t="str">
        <f t="shared" si="107"/>
        <v>Jul-2016</v>
      </c>
    </row>
    <row r="2261" spans="1:13" x14ac:dyDescent="0.3">
      <c r="A2261" t="s">
        <v>2876</v>
      </c>
      <c r="B2261" s="1" t="s">
        <v>95</v>
      </c>
      <c r="C2261" s="1" t="s">
        <v>96</v>
      </c>
      <c r="D2261" s="1" t="s">
        <v>13</v>
      </c>
      <c r="E2261" s="5">
        <v>41906</v>
      </c>
      <c r="F2261" s="3" t="s">
        <v>55</v>
      </c>
      <c r="G2261" s="1" t="s">
        <v>460</v>
      </c>
      <c r="H2261" s="1">
        <v>800</v>
      </c>
      <c r="I2261" s="1">
        <v>568</v>
      </c>
      <c r="J2261" s="2">
        <v>0.28999999999999998</v>
      </c>
      <c r="K2261">
        <f t="shared" si="105"/>
        <v>164.72</v>
      </c>
      <c r="L2261">
        <f t="shared" si="106"/>
        <v>403.28</v>
      </c>
      <c r="M2261" t="str">
        <f t="shared" si="107"/>
        <v>Sep-2014</v>
      </c>
    </row>
    <row r="2262" spans="1:13" x14ac:dyDescent="0.3">
      <c r="A2262" t="s">
        <v>2877</v>
      </c>
      <c r="B2262" s="1" t="s">
        <v>91</v>
      </c>
      <c r="C2262" s="1" t="s">
        <v>92</v>
      </c>
      <c r="D2262" s="1" t="s">
        <v>35</v>
      </c>
      <c r="E2262" s="5">
        <v>41986</v>
      </c>
      <c r="F2262" s="3" t="s">
        <v>46</v>
      </c>
      <c r="G2262" s="1" t="s">
        <v>2351</v>
      </c>
      <c r="H2262" s="1">
        <v>500</v>
      </c>
      <c r="I2262" s="1">
        <v>490</v>
      </c>
      <c r="J2262" s="2">
        <v>0.02</v>
      </c>
      <c r="K2262">
        <f t="shared" si="105"/>
        <v>9.8000000000000007</v>
      </c>
      <c r="L2262">
        <f t="shared" si="106"/>
        <v>480.2</v>
      </c>
      <c r="M2262" t="str">
        <f t="shared" si="107"/>
        <v>Dec-2014</v>
      </c>
    </row>
    <row r="2263" spans="1:13" x14ac:dyDescent="0.3">
      <c r="A2263" t="s">
        <v>2878</v>
      </c>
      <c r="B2263" s="1" t="s">
        <v>146</v>
      </c>
      <c r="C2263" s="1" t="s">
        <v>147</v>
      </c>
      <c r="D2263" s="1" t="s">
        <v>13</v>
      </c>
      <c r="E2263" s="5">
        <v>43266</v>
      </c>
      <c r="F2263" s="3" t="s">
        <v>115</v>
      </c>
      <c r="G2263" s="1" t="s">
        <v>1006</v>
      </c>
      <c r="H2263" s="1">
        <v>250</v>
      </c>
      <c r="I2263" s="1">
        <v>238</v>
      </c>
      <c r="J2263" s="2">
        <v>4.8000000000000001E-2</v>
      </c>
      <c r="K2263">
        <f t="shared" si="105"/>
        <v>11.423999999999999</v>
      </c>
      <c r="L2263">
        <f t="shared" si="106"/>
        <v>226.57599999999999</v>
      </c>
      <c r="M2263" t="str">
        <f t="shared" si="107"/>
        <v>Jun-2018</v>
      </c>
    </row>
    <row r="2264" spans="1:13" x14ac:dyDescent="0.3">
      <c r="A2264" t="s">
        <v>2879</v>
      </c>
      <c r="B2264" s="1" t="s">
        <v>99</v>
      </c>
      <c r="C2264" s="1" t="s">
        <v>100</v>
      </c>
      <c r="D2264" s="1" t="s">
        <v>13</v>
      </c>
      <c r="E2264" s="5">
        <v>42838</v>
      </c>
      <c r="F2264" s="3" t="s">
        <v>41</v>
      </c>
      <c r="G2264" s="1" t="s">
        <v>1090</v>
      </c>
      <c r="H2264" s="1">
        <v>30</v>
      </c>
      <c r="I2264" s="1">
        <v>26</v>
      </c>
      <c r="J2264" s="2">
        <v>0.1333</v>
      </c>
      <c r="K2264">
        <f t="shared" si="105"/>
        <v>3.4658000000000002</v>
      </c>
      <c r="L2264">
        <f t="shared" si="106"/>
        <v>22.534199999999998</v>
      </c>
      <c r="M2264" t="str">
        <f t="shared" si="107"/>
        <v>Apr-2017</v>
      </c>
    </row>
    <row r="2265" spans="1:13" x14ac:dyDescent="0.3">
      <c r="A2265" t="s">
        <v>2880</v>
      </c>
      <c r="B2265" s="1" t="s">
        <v>224</v>
      </c>
      <c r="C2265" s="1" t="s">
        <v>50</v>
      </c>
      <c r="D2265" s="1" t="s">
        <v>24</v>
      </c>
      <c r="E2265" s="5">
        <v>41720</v>
      </c>
      <c r="F2265" s="3" t="s">
        <v>41</v>
      </c>
      <c r="G2265" s="1" t="s">
        <v>2661</v>
      </c>
      <c r="H2265" s="1">
        <v>30</v>
      </c>
      <c r="I2265" s="1">
        <v>30</v>
      </c>
      <c r="J2265" s="2">
        <v>0</v>
      </c>
      <c r="K2265">
        <f t="shared" si="105"/>
        <v>0</v>
      </c>
      <c r="L2265">
        <f t="shared" si="106"/>
        <v>30</v>
      </c>
      <c r="M2265" t="str">
        <f t="shared" si="107"/>
        <v>Mar-2014</v>
      </c>
    </row>
    <row r="2266" spans="1:13" x14ac:dyDescent="0.3">
      <c r="A2266" t="s">
        <v>2881</v>
      </c>
      <c r="B2266" s="1" t="s">
        <v>264</v>
      </c>
      <c r="C2266" s="1" t="s">
        <v>265</v>
      </c>
      <c r="D2266" s="1" t="s">
        <v>13</v>
      </c>
      <c r="E2266" s="5">
        <v>43144</v>
      </c>
      <c r="F2266" s="3" t="s">
        <v>61</v>
      </c>
      <c r="G2266" s="1" t="s">
        <v>599</v>
      </c>
      <c r="H2266" s="1">
        <v>1000</v>
      </c>
      <c r="I2266" s="1">
        <v>860</v>
      </c>
      <c r="J2266" s="2">
        <v>0.14000000000000001</v>
      </c>
      <c r="K2266">
        <f t="shared" si="105"/>
        <v>120.4</v>
      </c>
      <c r="L2266">
        <f t="shared" si="106"/>
        <v>739.6</v>
      </c>
      <c r="M2266" t="str">
        <f t="shared" si="107"/>
        <v>Feb-2018</v>
      </c>
    </row>
    <row r="2267" spans="1:13" x14ac:dyDescent="0.3">
      <c r="A2267" t="s">
        <v>2882</v>
      </c>
      <c r="B2267" s="1" t="s">
        <v>270</v>
      </c>
      <c r="C2267" s="1" t="s">
        <v>271</v>
      </c>
      <c r="D2267" s="1" t="s">
        <v>35</v>
      </c>
      <c r="E2267" s="5">
        <v>43241</v>
      </c>
      <c r="F2267" s="3" t="s">
        <v>61</v>
      </c>
      <c r="G2267" s="1" t="s">
        <v>2883</v>
      </c>
      <c r="H2267" s="1">
        <v>1000</v>
      </c>
      <c r="I2267" s="1">
        <v>800</v>
      </c>
      <c r="J2267" s="2">
        <v>0.2</v>
      </c>
      <c r="K2267">
        <f t="shared" si="105"/>
        <v>160</v>
      </c>
      <c r="L2267">
        <f t="shared" si="106"/>
        <v>640</v>
      </c>
      <c r="M2267" t="str">
        <f t="shared" si="107"/>
        <v>May-2018</v>
      </c>
    </row>
    <row r="2268" spans="1:13" x14ac:dyDescent="0.3">
      <c r="A2268" t="s">
        <v>2884</v>
      </c>
      <c r="B2268" s="1" t="s">
        <v>182</v>
      </c>
      <c r="C2268" s="1" t="s">
        <v>108</v>
      </c>
      <c r="D2268" s="1" t="s">
        <v>19</v>
      </c>
      <c r="E2268" s="5">
        <v>43034</v>
      </c>
      <c r="F2268" s="3" t="s">
        <v>14</v>
      </c>
      <c r="G2268" s="1" t="s">
        <v>673</v>
      </c>
      <c r="H2268" s="1">
        <v>80</v>
      </c>
      <c r="I2268" s="1">
        <v>79</v>
      </c>
      <c r="J2268" s="2">
        <v>1.2500000000000001E-2</v>
      </c>
      <c r="K2268">
        <f t="shared" si="105"/>
        <v>0.98750000000000004</v>
      </c>
      <c r="L2268">
        <f t="shared" si="106"/>
        <v>78.012500000000003</v>
      </c>
      <c r="M2268" t="str">
        <f t="shared" si="107"/>
        <v>Oct-2017</v>
      </c>
    </row>
    <row r="2269" spans="1:13" x14ac:dyDescent="0.3">
      <c r="A2269" t="s">
        <v>2885</v>
      </c>
      <c r="B2269" s="1" t="s">
        <v>174</v>
      </c>
      <c r="C2269" s="1" t="s">
        <v>175</v>
      </c>
      <c r="D2269" s="1" t="s">
        <v>13</v>
      </c>
      <c r="E2269" s="5">
        <v>42119</v>
      </c>
      <c r="F2269" s="3" t="s">
        <v>36</v>
      </c>
      <c r="G2269" s="1" t="s">
        <v>319</v>
      </c>
      <c r="H2269" s="1">
        <v>50</v>
      </c>
      <c r="I2269" s="1">
        <v>49</v>
      </c>
      <c r="J2269" s="2">
        <v>0.02</v>
      </c>
      <c r="K2269">
        <f t="shared" si="105"/>
        <v>0.98</v>
      </c>
      <c r="L2269">
        <f t="shared" si="106"/>
        <v>48.02</v>
      </c>
      <c r="M2269" t="str">
        <f t="shared" si="107"/>
        <v>Apr-2015</v>
      </c>
    </row>
    <row r="2270" spans="1:13" x14ac:dyDescent="0.3">
      <c r="A2270" t="s">
        <v>2886</v>
      </c>
      <c r="B2270" s="1" t="s">
        <v>103</v>
      </c>
      <c r="C2270" s="1" t="s">
        <v>71</v>
      </c>
      <c r="D2270" s="1" t="s">
        <v>35</v>
      </c>
      <c r="E2270" s="5">
        <v>43088</v>
      </c>
      <c r="F2270" s="3" t="s">
        <v>41</v>
      </c>
      <c r="G2270" s="1" t="s">
        <v>592</v>
      </c>
      <c r="H2270" s="1">
        <v>30</v>
      </c>
      <c r="I2270" s="1">
        <v>28</v>
      </c>
      <c r="J2270" s="2">
        <v>6.6699999999999995E-2</v>
      </c>
      <c r="K2270">
        <f t="shared" si="105"/>
        <v>1.8675999999999999</v>
      </c>
      <c r="L2270">
        <f t="shared" si="106"/>
        <v>26.132400000000001</v>
      </c>
      <c r="M2270" t="str">
        <f t="shared" si="107"/>
        <v>Dec-2017</v>
      </c>
    </row>
    <row r="2271" spans="1:13" x14ac:dyDescent="0.3">
      <c r="A2271" t="s">
        <v>2887</v>
      </c>
      <c r="B2271" s="1" t="s">
        <v>170</v>
      </c>
      <c r="C2271" s="1" t="s">
        <v>171</v>
      </c>
      <c r="D2271" s="1" t="s">
        <v>13</v>
      </c>
      <c r="E2271" s="5">
        <v>41781</v>
      </c>
      <c r="F2271" s="3" t="s">
        <v>25</v>
      </c>
      <c r="G2271" s="1" t="s">
        <v>172</v>
      </c>
      <c r="H2271" s="1">
        <v>700</v>
      </c>
      <c r="I2271" s="1">
        <v>623</v>
      </c>
      <c r="J2271" s="2">
        <v>0.11</v>
      </c>
      <c r="K2271">
        <f t="shared" si="105"/>
        <v>68.53</v>
      </c>
      <c r="L2271">
        <f t="shared" si="106"/>
        <v>554.47</v>
      </c>
      <c r="M2271" t="str">
        <f t="shared" si="107"/>
        <v>May-2014</v>
      </c>
    </row>
    <row r="2272" spans="1:13" x14ac:dyDescent="0.3">
      <c r="A2272" t="s">
        <v>2888</v>
      </c>
      <c r="B2272" s="1" t="s">
        <v>227</v>
      </c>
      <c r="C2272" s="1" t="s">
        <v>228</v>
      </c>
      <c r="D2272" s="1" t="s">
        <v>24</v>
      </c>
      <c r="E2272" s="5">
        <v>42033</v>
      </c>
      <c r="F2272" s="3" t="s">
        <v>46</v>
      </c>
      <c r="G2272" s="1" t="s">
        <v>621</v>
      </c>
      <c r="H2272" s="1">
        <v>500</v>
      </c>
      <c r="I2272" s="1">
        <v>435</v>
      </c>
      <c r="J2272" s="2">
        <v>0.13</v>
      </c>
      <c r="K2272">
        <f t="shared" si="105"/>
        <v>56.550000000000004</v>
      </c>
      <c r="L2272">
        <f t="shared" si="106"/>
        <v>378.45</v>
      </c>
      <c r="M2272" t="str">
        <f t="shared" si="107"/>
        <v>Jan-2015</v>
      </c>
    </row>
    <row r="2273" spans="1:13" x14ac:dyDescent="0.3">
      <c r="A2273" t="s">
        <v>2889</v>
      </c>
      <c r="B2273" s="1" t="s">
        <v>270</v>
      </c>
      <c r="C2273" s="1" t="s">
        <v>271</v>
      </c>
      <c r="D2273" s="1" t="s">
        <v>35</v>
      </c>
      <c r="E2273" s="5">
        <v>43088</v>
      </c>
      <c r="F2273" s="3" t="s">
        <v>25</v>
      </c>
      <c r="G2273" s="1" t="s">
        <v>1827</v>
      </c>
      <c r="H2273" s="1">
        <v>700</v>
      </c>
      <c r="I2273" s="1">
        <v>693</v>
      </c>
      <c r="J2273" s="2">
        <v>0.01</v>
      </c>
      <c r="K2273">
        <f t="shared" si="105"/>
        <v>6.93</v>
      </c>
      <c r="L2273">
        <f t="shared" si="106"/>
        <v>686.07</v>
      </c>
      <c r="M2273" t="str">
        <f t="shared" si="107"/>
        <v>Dec-2017</v>
      </c>
    </row>
    <row r="2274" spans="1:13" x14ac:dyDescent="0.3">
      <c r="A2274" t="s">
        <v>2890</v>
      </c>
      <c r="B2274" s="1" t="s">
        <v>131</v>
      </c>
      <c r="C2274" s="1" t="s">
        <v>108</v>
      </c>
      <c r="D2274" s="1" t="s">
        <v>19</v>
      </c>
      <c r="E2274" s="5">
        <v>42052</v>
      </c>
      <c r="F2274" s="3" t="s">
        <v>30</v>
      </c>
      <c r="G2274" s="1" t="s">
        <v>1550</v>
      </c>
      <c r="H2274" s="1">
        <v>150</v>
      </c>
      <c r="I2274" s="1">
        <v>150</v>
      </c>
      <c r="J2274" s="2">
        <v>0</v>
      </c>
      <c r="K2274">
        <f t="shared" si="105"/>
        <v>0</v>
      </c>
      <c r="L2274">
        <f t="shared" si="106"/>
        <v>150</v>
      </c>
      <c r="M2274" t="str">
        <f t="shared" si="107"/>
        <v>Feb-2015</v>
      </c>
    </row>
    <row r="2275" spans="1:13" x14ac:dyDescent="0.3">
      <c r="A2275" t="s">
        <v>2891</v>
      </c>
      <c r="B2275" s="1" t="s">
        <v>289</v>
      </c>
      <c r="C2275" s="1" t="s">
        <v>108</v>
      </c>
      <c r="D2275" s="1" t="s">
        <v>19</v>
      </c>
      <c r="E2275" s="5">
        <v>42151</v>
      </c>
      <c r="F2275" s="3" t="s">
        <v>55</v>
      </c>
      <c r="G2275" s="1" t="s">
        <v>1041</v>
      </c>
      <c r="H2275" s="1">
        <v>800</v>
      </c>
      <c r="I2275" s="1">
        <v>696</v>
      </c>
      <c r="J2275" s="2">
        <v>0.13</v>
      </c>
      <c r="K2275">
        <f t="shared" si="105"/>
        <v>90.48</v>
      </c>
      <c r="L2275">
        <f t="shared" si="106"/>
        <v>605.52</v>
      </c>
      <c r="M2275" t="str">
        <f t="shared" si="107"/>
        <v>May-2015</v>
      </c>
    </row>
    <row r="2276" spans="1:13" x14ac:dyDescent="0.3">
      <c r="A2276" t="s">
        <v>2892</v>
      </c>
      <c r="B2276" s="1" t="s">
        <v>187</v>
      </c>
      <c r="C2276" s="1" t="s">
        <v>188</v>
      </c>
      <c r="D2276" s="1" t="s">
        <v>13</v>
      </c>
      <c r="E2276" s="5">
        <v>41755</v>
      </c>
      <c r="F2276" s="3" t="s">
        <v>41</v>
      </c>
      <c r="G2276" s="1" t="s">
        <v>741</v>
      </c>
      <c r="H2276" s="1">
        <v>30</v>
      </c>
      <c r="I2276" s="1">
        <v>26</v>
      </c>
      <c r="J2276" s="2">
        <v>0.1333</v>
      </c>
      <c r="K2276">
        <f t="shared" si="105"/>
        <v>3.4658000000000002</v>
      </c>
      <c r="L2276">
        <f t="shared" si="106"/>
        <v>22.534199999999998</v>
      </c>
      <c r="M2276" t="str">
        <f t="shared" si="107"/>
        <v>Apr-2014</v>
      </c>
    </row>
    <row r="2277" spans="1:13" x14ac:dyDescent="0.3">
      <c r="A2277" t="s">
        <v>2893</v>
      </c>
      <c r="B2277" s="1" t="s">
        <v>44</v>
      </c>
      <c r="C2277" s="1" t="s">
        <v>45</v>
      </c>
      <c r="D2277" s="1" t="s">
        <v>24</v>
      </c>
      <c r="E2277" s="5">
        <v>42550</v>
      </c>
      <c r="F2277" s="3" t="s">
        <v>25</v>
      </c>
      <c r="G2277" s="1" t="s">
        <v>1102</v>
      </c>
      <c r="H2277" s="1">
        <v>700</v>
      </c>
      <c r="I2277" s="1">
        <v>623</v>
      </c>
      <c r="J2277" s="2">
        <v>0.11</v>
      </c>
      <c r="K2277">
        <f t="shared" si="105"/>
        <v>68.53</v>
      </c>
      <c r="L2277">
        <f t="shared" si="106"/>
        <v>554.47</v>
      </c>
      <c r="M2277" t="str">
        <f t="shared" si="107"/>
        <v>Jun-2016</v>
      </c>
    </row>
    <row r="2278" spans="1:13" x14ac:dyDescent="0.3">
      <c r="A2278" t="s">
        <v>2894</v>
      </c>
      <c r="B2278" s="1" t="s">
        <v>241</v>
      </c>
      <c r="C2278" s="1" t="s">
        <v>242</v>
      </c>
      <c r="D2278" s="1" t="s">
        <v>13</v>
      </c>
      <c r="E2278" s="5">
        <v>42478</v>
      </c>
      <c r="F2278" s="3" t="s">
        <v>14</v>
      </c>
      <c r="G2278" s="1" t="s">
        <v>287</v>
      </c>
      <c r="H2278" s="1">
        <v>80</v>
      </c>
      <c r="I2278" s="1">
        <v>74</v>
      </c>
      <c r="J2278" s="2">
        <v>7.4999999999999997E-2</v>
      </c>
      <c r="K2278">
        <f t="shared" si="105"/>
        <v>5.55</v>
      </c>
      <c r="L2278">
        <f t="shared" si="106"/>
        <v>68.45</v>
      </c>
      <c r="M2278" t="str">
        <f t="shared" si="107"/>
        <v>Apr-2016</v>
      </c>
    </row>
    <row r="2279" spans="1:13" x14ac:dyDescent="0.3">
      <c r="A2279" t="s">
        <v>2895</v>
      </c>
      <c r="B2279" s="1" t="s">
        <v>59</v>
      </c>
      <c r="C2279" s="1" t="s">
        <v>60</v>
      </c>
      <c r="D2279" s="1" t="s">
        <v>13</v>
      </c>
      <c r="E2279" s="5">
        <v>41958</v>
      </c>
      <c r="F2279" s="3" t="s">
        <v>41</v>
      </c>
      <c r="G2279" s="1" t="s">
        <v>1842</v>
      </c>
      <c r="H2279" s="1">
        <v>30</v>
      </c>
      <c r="I2279" s="1">
        <v>21</v>
      </c>
      <c r="J2279" s="2">
        <v>0.3</v>
      </c>
      <c r="K2279">
        <f t="shared" si="105"/>
        <v>6.3</v>
      </c>
      <c r="L2279">
        <f t="shared" si="106"/>
        <v>14.7</v>
      </c>
      <c r="M2279" t="str">
        <f t="shared" si="107"/>
        <v>Nov-2014</v>
      </c>
    </row>
    <row r="2280" spans="1:13" x14ac:dyDescent="0.3">
      <c r="A2280" t="s">
        <v>2896</v>
      </c>
      <c r="B2280" s="1" t="s">
        <v>131</v>
      </c>
      <c r="C2280" s="1" t="s">
        <v>108</v>
      </c>
      <c r="D2280" s="1" t="s">
        <v>19</v>
      </c>
      <c r="E2280" s="5">
        <v>42576</v>
      </c>
      <c r="F2280" s="3" t="s">
        <v>14</v>
      </c>
      <c r="G2280" s="1" t="s">
        <v>474</v>
      </c>
      <c r="H2280" s="1">
        <v>80</v>
      </c>
      <c r="I2280" s="1">
        <v>68</v>
      </c>
      <c r="J2280" s="2">
        <v>0.15</v>
      </c>
      <c r="K2280">
        <f t="shared" si="105"/>
        <v>10.199999999999999</v>
      </c>
      <c r="L2280">
        <f t="shared" si="106"/>
        <v>57.8</v>
      </c>
      <c r="M2280" t="str">
        <f t="shared" si="107"/>
        <v>Jul-2016</v>
      </c>
    </row>
    <row r="2281" spans="1:13" x14ac:dyDescent="0.3">
      <c r="A2281" t="s">
        <v>2897</v>
      </c>
      <c r="B2281" s="1" t="s">
        <v>91</v>
      </c>
      <c r="C2281" s="1" t="s">
        <v>92</v>
      </c>
      <c r="D2281" s="1" t="s">
        <v>35</v>
      </c>
      <c r="E2281" s="5">
        <v>41661</v>
      </c>
      <c r="F2281" s="3" t="s">
        <v>122</v>
      </c>
      <c r="G2281" s="1" t="s">
        <v>1155</v>
      </c>
      <c r="H2281" s="1">
        <v>50</v>
      </c>
      <c r="I2281" s="1">
        <v>48</v>
      </c>
      <c r="J2281" s="2">
        <v>0.04</v>
      </c>
      <c r="K2281">
        <f t="shared" si="105"/>
        <v>1.92</v>
      </c>
      <c r="L2281">
        <f t="shared" si="106"/>
        <v>46.08</v>
      </c>
      <c r="M2281" t="str">
        <f t="shared" si="107"/>
        <v>Jan-2014</v>
      </c>
    </row>
    <row r="2282" spans="1:13" x14ac:dyDescent="0.3">
      <c r="A2282" t="s">
        <v>2898</v>
      </c>
      <c r="B2282" s="1" t="s">
        <v>39</v>
      </c>
      <c r="C2282" s="1" t="s">
        <v>40</v>
      </c>
      <c r="D2282" s="1" t="s">
        <v>35</v>
      </c>
      <c r="E2282" s="5">
        <v>42450</v>
      </c>
      <c r="F2282" s="3" t="s">
        <v>41</v>
      </c>
      <c r="G2282" s="1" t="s">
        <v>1304</v>
      </c>
      <c r="H2282" s="1">
        <v>30</v>
      </c>
      <c r="I2282" s="1">
        <v>29</v>
      </c>
      <c r="J2282" s="2">
        <v>3.3300000000000003E-2</v>
      </c>
      <c r="K2282">
        <f t="shared" si="105"/>
        <v>0.96570000000000011</v>
      </c>
      <c r="L2282">
        <f t="shared" si="106"/>
        <v>28.034299999999998</v>
      </c>
      <c r="M2282" t="str">
        <f t="shared" si="107"/>
        <v>Mar-2016</v>
      </c>
    </row>
    <row r="2283" spans="1:13" x14ac:dyDescent="0.3">
      <c r="A2283" t="s">
        <v>2899</v>
      </c>
      <c r="B2283" s="1" t="s">
        <v>99</v>
      </c>
      <c r="C2283" s="1" t="s">
        <v>100</v>
      </c>
      <c r="D2283" s="1" t="s">
        <v>13</v>
      </c>
      <c r="E2283" s="5">
        <v>42721</v>
      </c>
      <c r="F2283" s="3" t="s">
        <v>41</v>
      </c>
      <c r="G2283" s="1" t="s">
        <v>948</v>
      </c>
      <c r="H2283" s="1">
        <v>30</v>
      </c>
      <c r="I2283" s="1">
        <v>29</v>
      </c>
      <c r="J2283" s="2">
        <v>3.3300000000000003E-2</v>
      </c>
      <c r="K2283">
        <f t="shared" si="105"/>
        <v>0.96570000000000011</v>
      </c>
      <c r="L2283">
        <f t="shared" si="106"/>
        <v>28.034299999999998</v>
      </c>
      <c r="M2283" t="str">
        <f t="shared" si="107"/>
        <v>Dec-2016</v>
      </c>
    </row>
    <row r="2284" spans="1:13" x14ac:dyDescent="0.3">
      <c r="A2284" t="s">
        <v>2900</v>
      </c>
      <c r="B2284" s="1" t="s">
        <v>103</v>
      </c>
      <c r="C2284" s="1" t="s">
        <v>71</v>
      </c>
      <c r="D2284" s="1" t="s">
        <v>35</v>
      </c>
      <c r="E2284" s="5">
        <v>42391</v>
      </c>
      <c r="F2284" s="3" t="s">
        <v>61</v>
      </c>
      <c r="G2284" s="1" t="s">
        <v>105</v>
      </c>
      <c r="H2284" s="1">
        <v>1000</v>
      </c>
      <c r="I2284" s="1">
        <v>510</v>
      </c>
      <c r="J2284" s="2">
        <v>0.49</v>
      </c>
      <c r="K2284">
        <f t="shared" si="105"/>
        <v>249.9</v>
      </c>
      <c r="L2284">
        <f t="shared" si="106"/>
        <v>260.10000000000002</v>
      </c>
      <c r="M2284" t="str">
        <f t="shared" si="107"/>
        <v>Jan-2016</v>
      </c>
    </row>
    <row r="2285" spans="1:13" x14ac:dyDescent="0.3">
      <c r="A2285" t="s">
        <v>2901</v>
      </c>
      <c r="B2285" s="1" t="s">
        <v>64</v>
      </c>
      <c r="C2285" s="1" t="s">
        <v>65</v>
      </c>
      <c r="D2285" s="1" t="s">
        <v>35</v>
      </c>
      <c r="E2285" s="5">
        <v>42637</v>
      </c>
      <c r="F2285" s="3" t="s">
        <v>41</v>
      </c>
      <c r="G2285" s="1" t="s">
        <v>1536</v>
      </c>
      <c r="H2285" s="1">
        <v>30</v>
      </c>
      <c r="I2285" s="1">
        <v>29</v>
      </c>
      <c r="J2285" s="2">
        <v>3.3300000000000003E-2</v>
      </c>
      <c r="K2285">
        <f t="shared" si="105"/>
        <v>0.96570000000000011</v>
      </c>
      <c r="L2285">
        <f t="shared" si="106"/>
        <v>28.034299999999998</v>
      </c>
      <c r="M2285" t="str">
        <f t="shared" si="107"/>
        <v>Sep-2016</v>
      </c>
    </row>
    <row r="2286" spans="1:13" x14ac:dyDescent="0.3">
      <c r="A2286" t="s">
        <v>2902</v>
      </c>
      <c r="B2286" s="1" t="s">
        <v>81</v>
      </c>
      <c r="C2286" s="1" t="s">
        <v>82</v>
      </c>
      <c r="D2286" s="1" t="s">
        <v>13</v>
      </c>
      <c r="E2286" s="5">
        <v>42336</v>
      </c>
      <c r="F2286" s="3" t="s">
        <v>61</v>
      </c>
      <c r="G2286" s="1" t="s">
        <v>282</v>
      </c>
      <c r="H2286" s="1">
        <v>1000</v>
      </c>
      <c r="I2286" s="1">
        <v>840</v>
      </c>
      <c r="J2286" s="2">
        <v>0.16</v>
      </c>
      <c r="K2286">
        <f t="shared" si="105"/>
        <v>134.4</v>
      </c>
      <c r="L2286">
        <f t="shared" si="106"/>
        <v>705.6</v>
      </c>
      <c r="M2286" t="str">
        <f t="shared" si="107"/>
        <v>Nov-2015</v>
      </c>
    </row>
    <row r="2287" spans="1:13" x14ac:dyDescent="0.3">
      <c r="A2287" t="s">
        <v>2903</v>
      </c>
      <c r="B2287" s="1" t="s">
        <v>28</v>
      </c>
      <c r="C2287" s="1" t="s">
        <v>29</v>
      </c>
      <c r="D2287" s="1" t="s">
        <v>13</v>
      </c>
      <c r="E2287" s="5">
        <v>42453</v>
      </c>
      <c r="F2287" s="3" t="s">
        <v>115</v>
      </c>
      <c r="G2287" s="1" t="s">
        <v>424</v>
      </c>
      <c r="H2287" s="1">
        <v>250</v>
      </c>
      <c r="I2287" s="1">
        <v>225</v>
      </c>
      <c r="J2287" s="2">
        <v>0.1</v>
      </c>
      <c r="K2287">
        <f t="shared" si="105"/>
        <v>22.5</v>
      </c>
      <c r="L2287">
        <f t="shared" si="106"/>
        <v>202.5</v>
      </c>
      <c r="M2287" t="str">
        <f t="shared" si="107"/>
        <v>Mar-2016</v>
      </c>
    </row>
    <row r="2288" spans="1:13" x14ac:dyDescent="0.3">
      <c r="A2288" t="s">
        <v>2904</v>
      </c>
      <c r="B2288" s="1" t="s">
        <v>227</v>
      </c>
      <c r="C2288" s="1" t="s">
        <v>228</v>
      </c>
      <c r="D2288" s="1" t="s">
        <v>24</v>
      </c>
      <c r="E2288" s="5">
        <v>43325</v>
      </c>
      <c r="F2288" s="3" t="s">
        <v>41</v>
      </c>
      <c r="G2288" s="1" t="s">
        <v>836</v>
      </c>
      <c r="H2288" s="1">
        <v>30</v>
      </c>
      <c r="I2288" s="1">
        <v>26</v>
      </c>
      <c r="J2288" s="2">
        <v>0.1333</v>
      </c>
      <c r="K2288">
        <f t="shared" si="105"/>
        <v>3.4658000000000002</v>
      </c>
      <c r="L2288">
        <f t="shared" si="106"/>
        <v>22.534199999999998</v>
      </c>
      <c r="M2288" t="str">
        <f t="shared" si="107"/>
        <v>Aug-2018</v>
      </c>
    </row>
    <row r="2289" spans="1:13" x14ac:dyDescent="0.3">
      <c r="A2289" t="s">
        <v>2905</v>
      </c>
      <c r="B2289" s="1" t="s">
        <v>174</v>
      </c>
      <c r="C2289" s="1" t="s">
        <v>175</v>
      </c>
      <c r="D2289" s="1" t="s">
        <v>13</v>
      </c>
      <c r="E2289" s="5">
        <v>41807</v>
      </c>
      <c r="F2289" s="3" t="s">
        <v>25</v>
      </c>
      <c r="G2289" s="1" t="s">
        <v>1456</v>
      </c>
      <c r="H2289" s="1">
        <v>700</v>
      </c>
      <c r="I2289" s="1">
        <v>539</v>
      </c>
      <c r="J2289" s="2">
        <v>0.23</v>
      </c>
      <c r="K2289">
        <f t="shared" si="105"/>
        <v>123.97</v>
      </c>
      <c r="L2289">
        <f t="shared" si="106"/>
        <v>415.03</v>
      </c>
      <c r="M2289" t="str">
        <f t="shared" si="107"/>
        <v>Jun-2014</v>
      </c>
    </row>
    <row r="2290" spans="1:13" x14ac:dyDescent="0.3">
      <c r="A2290" t="s">
        <v>2906</v>
      </c>
      <c r="B2290" s="1" t="s">
        <v>28</v>
      </c>
      <c r="C2290" s="1" t="s">
        <v>29</v>
      </c>
      <c r="D2290" s="1" t="s">
        <v>13</v>
      </c>
      <c r="E2290" s="5">
        <v>43311</v>
      </c>
      <c r="F2290" s="3" t="s">
        <v>122</v>
      </c>
      <c r="G2290" s="1" t="s">
        <v>1108</v>
      </c>
      <c r="H2290" s="1">
        <v>50</v>
      </c>
      <c r="I2290" s="1">
        <v>49</v>
      </c>
      <c r="J2290" s="2">
        <v>0.02</v>
      </c>
      <c r="K2290">
        <f t="shared" si="105"/>
        <v>0.98</v>
      </c>
      <c r="L2290">
        <f t="shared" si="106"/>
        <v>48.02</v>
      </c>
      <c r="M2290" t="str">
        <f t="shared" si="107"/>
        <v>Jul-2018</v>
      </c>
    </row>
    <row r="2291" spans="1:13" x14ac:dyDescent="0.3">
      <c r="A2291" t="s">
        <v>2907</v>
      </c>
      <c r="B2291" s="1" t="s">
        <v>114</v>
      </c>
      <c r="C2291" s="1" t="s">
        <v>54</v>
      </c>
      <c r="D2291" s="1" t="s">
        <v>13</v>
      </c>
      <c r="E2291" s="5">
        <v>42571</v>
      </c>
      <c r="F2291" s="3" t="s">
        <v>14</v>
      </c>
      <c r="G2291" s="1" t="s">
        <v>1961</v>
      </c>
      <c r="H2291" s="1">
        <v>80</v>
      </c>
      <c r="I2291" s="1">
        <v>70</v>
      </c>
      <c r="J2291" s="2">
        <v>0.125</v>
      </c>
      <c r="K2291">
        <f t="shared" si="105"/>
        <v>8.75</v>
      </c>
      <c r="L2291">
        <f t="shared" si="106"/>
        <v>61.25</v>
      </c>
      <c r="M2291" t="str">
        <f t="shared" si="107"/>
        <v>Jul-2016</v>
      </c>
    </row>
    <row r="2292" spans="1:13" x14ac:dyDescent="0.3">
      <c r="A2292" t="s">
        <v>2908</v>
      </c>
      <c r="B2292" s="1" t="s">
        <v>289</v>
      </c>
      <c r="C2292" s="1" t="s">
        <v>108</v>
      </c>
      <c r="D2292" s="1" t="s">
        <v>19</v>
      </c>
      <c r="E2292" s="5">
        <v>43125</v>
      </c>
      <c r="F2292" s="3" t="s">
        <v>36</v>
      </c>
      <c r="G2292" s="1" t="s">
        <v>290</v>
      </c>
      <c r="H2292" s="1">
        <v>50</v>
      </c>
      <c r="I2292" s="1">
        <v>48</v>
      </c>
      <c r="J2292" s="2">
        <v>0.04</v>
      </c>
      <c r="K2292">
        <f t="shared" si="105"/>
        <v>1.92</v>
      </c>
      <c r="L2292">
        <f t="shared" si="106"/>
        <v>46.08</v>
      </c>
      <c r="M2292" t="str">
        <f t="shared" si="107"/>
        <v>Jan-2018</v>
      </c>
    </row>
    <row r="2293" spans="1:13" x14ac:dyDescent="0.3">
      <c r="A2293" t="s">
        <v>2909</v>
      </c>
      <c r="B2293" s="1" t="s">
        <v>2243</v>
      </c>
      <c r="C2293" s="1" t="s">
        <v>108</v>
      </c>
      <c r="D2293" s="1" t="s">
        <v>19</v>
      </c>
      <c r="E2293" s="5">
        <v>43425</v>
      </c>
      <c r="F2293" s="3" t="s">
        <v>55</v>
      </c>
      <c r="G2293" s="1" t="s">
        <v>2442</v>
      </c>
      <c r="H2293" s="1">
        <v>800</v>
      </c>
      <c r="I2293" s="1">
        <v>544</v>
      </c>
      <c r="J2293" s="2">
        <v>0.32</v>
      </c>
      <c r="K2293">
        <f t="shared" si="105"/>
        <v>174.08</v>
      </c>
      <c r="L2293">
        <f t="shared" si="106"/>
        <v>369.91999999999996</v>
      </c>
      <c r="M2293" t="str">
        <f t="shared" si="107"/>
        <v>Nov-2018</v>
      </c>
    </row>
    <row r="2294" spans="1:13" x14ac:dyDescent="0.3">
      <c r="A2294" t="s">
        <v>2910</v>
      </c>
      <c r="B2294" s="1" t="s">
        <v>111</v>
      </c>
      <c r="C2294" s="1" t="s">
        <v>82</v>
      </c>
      <c r="D2294" s="1" t="s">
        <v>13</v>
      </c>
      <c r="E2294" s="5">
        <v>41817</v>
      </c>
      <c r="F2294" s="3" t="s">
        <v>36</v>
      </c>
      <c r="G2294" s="1" t="s">
        <v>826</v>
      </c>
      <c r="H2294" s="1">
        <v>50</v>
      </c>
      <c r="I2294" s="1">
        <v>44</v>
      </c>
      <c r="J2294" s="2">
        <v>0.12</v>
      </c>
      <c r="K2294">
        <f t="shared" si="105"/>
        <v>5.2799999999999994</v>
      </c>
      <c r="L2294">
        <f t="shared" si="106"/>
        <v>38.72</v>
      </c>
      <c r="M2294" t="str">
        <f t="shared" si="107"/>
        <v>Jun-2014</v>
      </c>
    </row>
    <row r="2295" spans="1:13" x14ac:dyDescent="0.3">
      <c r="A2295" t="s">
        <v>2911</v>
      </c>
      <c r="B2295" s="1" t="s">
        <v>70</v>
      </c>
      <c r="C2295" s="1" t="s">
        <v>71</v>
      </c>
      <c r="D2295" s="1" t="s">
        <v>35</v>
      </c>
      <c r="E2295" s="5">
        <v>43176</v>
      </c>
      <c r="F2295" s="3" t="s">
        <v>55</v>
      </c>
      <c r="G2295" s="1" t="s">
        <v>391</v>
      </c>
      <c r="H2295" s="1">
        <v>800</v>
      </c>
      <c r="I2295" s="1">
        <v>648</v>
      </c>
      <c r="J2295" s="2">
        <v>0.19</v>
      </c>
      <c r="K2295">
        <f t="shared" si="105"/>
        <v>123.12</v>
      </c>
      <c r="L2295">
        <f t="shared" si="106"/>
        <v>524.88</v>
      </c>
      <c r="M2295" t="str">
        <f t="shared" si="107"/>
        <v>Mar-2018</v>
      </c>
    </row>
    <row r="2296" spans="1:13" x14ac:dyDescent="0.3">
      <c r="A2296" t="s">
        <v>2912</v>
      </c>
      <c r="B2296" s="1" t="s">
        <v>2170</v>
      </c>
      <c r="C2296" s="1" t="s">
        <v>18</v>
      </c>
      <c r="D2296" s="1" t="s">
        <v>19</v>
      </c>
      <c r="E2296" s="5">
        <v>42138</v>
      </c>
      <c r="F2296" s="3" t="s">
        <v>104</v>
      </c>
      <c r="G2296" s="1" t="s">
        <v>2221</v>
      </c>
      <c r="H2296" s="1">
        <v>70</v>
      </c>
      <c r="I2296" s="1">
        <v>67</v>
      </c>
      <c r="J2296" s="2">
        <v>4.2900000000000001E-2</v>
      </c>
      <c r="K2296">
        <f t="shared" si="105"/>
        <v>2.8742999999999999</v>
      </c>
      <c r="L2296">
        <f t="shared" si="106"/>
        <v>64.125699999999995</v>
      </c>
      <c r="M2296" t="str">
        <f t="shared" si="107"/>
        <v>May-2015</v>
      </c>
    </row>
    <row r="2297" spans="1:13" x14ac:dyDescent="0.3">
      <c r="A2297" t="s">
        <v>2913</v>
      </c>
      <c r="B2297" s="1" t="s">
        <v>49</v>
      </c>
      <c r="C2297" s="1" t="s">
        <v>50</v>
      </c>
      <c r="D2297" s="1" t="s">
        <v>24</v>
      </c>
      <c r="E2297" s="5">
        <v>42580</v>
      </c>
      <c r="F2297" s="3" t="s">
        <v>122</v>
      </c>
      <c r="G2297" s="1" t="s">
        <v>729</v>
      </c>
      <c r="H2297" s="1">
        <v>50</v>
      </c>
      <c r="I2297" s="1">
        <v>38</v>
      </c>
      <c r="J2297" s="2">
        <v>0.24</v>
      </c>
      <c r="K2297">
        <f t="shared" si="105"/>
        <v>9.1199999999999992</v>
      </c>
      <c r="L2297">
        <f t="shared" si="106"/>
        <v>28.880000000000003</v>
      </c>
      <c r="M2297" t="str">
        <f t="shared" si="107"/>
        <v>Jul-2016</v>
      </c>
    </row>
    <row r="2298" spans="1:13" x14ac:dyDescent="0.3">
      <c r="A2298" t="s">
        <v>2914</v>
      </c>
      <c r="B2298" s="1" t="s">
        <v>111</v>
      </c>
      <c r="C2298" s="1" t="s">
        <v>82</v>
      </c>
      <c r="D2298" s="1" t="s">
        <v>13</v>
      </c>
      <c r="E2298" s="5">
        <v>41906</v>
      </c>
      <c r="F2298" s="3" t="s">
        <v>61</v>
      </c>
      <c r="G2298" s="1" t="s">
        <v>826</v>
      </c>
      <c r="H2298" s="1">
        <v>1000</v>
      </c>
      <c r="I2298" s="1">
        <v>690</v>
      </c>
      <c r="J2298" s="2">
        <v>0.31</v>
      </c>
      <c r="K2298">
        <f t="shared" si="105"/>
        <v>213.9</v>
      </c>
      <c r="L2298">
        <f t="shared" si="106"/>
        <v>476.1</v>
      </c>
      <c r="M2298" t="str">
        <f t="shared" si="107"/>
        <v>Sep-2014</v>
      </c>
    </row>
    <row r="2299" spans="1:13" x14ac:dyDescent="0.3">
      <c r="A2299" t="s">
        <v>2915</v>
      </c>
      <c r="B2299" s="1" t="s">
        <v>49</v>
      </c>
      <c r="C2299" s="1" t="s">
        <v>50</v>
      </c>
      <c r="D2299" s="1" t="s">
        <v>24</v>
      </c>
      <c r="E2299" s="5">
        <v>41986</v>
      </c>
      <c r="F2299" s="3" t="s">
        <v>41</v>
      </c>
      <c r="G2299" s="1" t="s">
        <v>378</v>
      </c>
      <c r="H2299" s="1">
        <v>30</v>
      </c>
      <c r="I2299" s="1">
        <v>27</v>
      </c>
      <c r="J2299" s="2">
        <v>0.1</v>
      </c>
      <c r="K2299">
        <f t="shared" si="105"/>
        <v>2.7</v>
      </c>
      <c r="L2299">
        <f t="shared" si="106"/>
        <v>24.3</v>
      </c>
      <c r="M2299" t="str">
        <f t="shared" si="107"/>
        <v>Dec-2014</v>
      </c>
    </row>
    <row r="2300" spans="1:13" x14ac:dyDescent="0.3">
      <c r="A2300" t="s">
        <v>2916</v>
      </c>
      <c r="B2300" s="1" t="s">
        <v>174</v>
      </c>
      <c r="C2300" s="1" t="s">
        <v>175</v>
      </c>
      <c r="D2300" s="1" t="s">
        <v>13</v>
      </c>
      <c r="E2300" s="5">
        <v>43266</v>
      </c>
      <c r="F2300" s="3" t="s">
        <v>122</v>
      </c>
      <c r="G2300" s="1" t="s">
        <v>607</v>
      </c>
      <c r="H2300" s="1">
        <v>50</v>
      </c>
      <c r="I2300" s="1">
        <v>38</v>
      </c>
      <c r="J2300" s="2">
        <v>0.24</v>
      </c>
      <c r="K2300">
        <f t="shared" si="105"/>
        <v>9.1199999999999992</v>
      </c>
      <c r="L2300">
        <f t="shared" si="106"/>
        <v>28.880000000000003</v>
      </c>
      <c r="M2300" t="str">
        <f t="shared" si="107"/>
        <v>Jun-2018</v>
      </c>
    </row>
    <row r="2301" spans="1:13" x14ac:dyDescent="0.3">
      <c r="A2301" t="s">
        <v>2917</v>
      </c>
      <c r="B2301" s="1" t="s">
        <v>170</v>
      </c>
      <c r="C2301" s="1" t="s">
        <v>171</v>
      </c>
      <c r="D2301" s="1" t="s">
        <v>13</v>
      </c>
      <c r="E2301" s="5">
        <v>42838</v>
      </c>
      <c r="F2301" s="3" t="s">
        <v>46</v>
      </c>
      <c r="G2301" s="1" t="s">
        <v>440</v>
      </c>
      <c r="H2301" s="1">
        <v>500</v>
      </c>
      <c r="I2301" s="1">
        <v>415</v>
      </c>
      <c r="J2301" s="2">
        <v>0.17</v>
      </c>
      <c r="K2301">
        <f t="shared" si="105"/>
        <v>70.550000000000011</v>
      </c>
      <c r="L2301">
        <f t="shared" si="106"/>
        <v>344.45</v>
      </c>
      <c r="M2301" t="str">
        <f t="shared" si="107"/>
        <v>Apr-2017</v>
      </c>
    </row>
    <row r="2302" spans="1:13" x14ac:dyDescent="0.3">
      <c r="A2302" t="s">
        <v>2918</v>
      </c>
      <c r="B2302" s="1" t="s">
        <v>187</v>
      </c>
      <c r="C2302" s="1" t="s">
        <v>188</v>
      </c>
      <c r="D2302" s="1" t="s">
        <v>13</v>
      </c>
      <c r="E2302" s="5">
        <v>41720</v>
      </c>
      <c r="F2302" s="3" t="s">
        <v>36</v>
      </c>
      <c r="G2302" s="1" t="s">
        <v>797</v>
      </c>
      <c r="H2302" s="1">
        <v>50</v>
      </c>
      <c r="I2302" s="1">
        <v>43</v>
      </c>
      <c r="J2302" s="2">
        <v>0.14000000000000001</v>
      </c>
      <c r="K2302">
        <f t="shared" si="105"/>
        <v>6.0200000000000005</v>
      </c>
      <c r="L2302">
        <f t="shared" si="106"/>
        <v>36.979999999999997</v>
      </c>
      <c r="M2302" t="str">
        <f t="shared" si="107"/>
        <v>Mar-2014</v>
      </c>
    </row>
    <row r="2303" spans="1:13" x14ac:dyDescent="0.3">
      <c r="A2303" t="s">
        <v>2919</v>
      </c>
      <c r="B2303" s="1" t="s">
        <v>124</v>
      </c>
      <c r="C2303" s="1" t="s">
        <v>40</v>
      </c>
      <c r="D2303" s="1" t="s">
        <v>35</v>
      </c>
      <c r="E2303" s="5">
        <v>43144</v>
      </c>
      <c r="F2303" s="3" t="s">
        <v>46</v>
      </c>
      <c r="G2303" s="1" t="s">
        <v>863</v>
      </c>
      <c r="H2303" s="1">
        <v>500</v>
      </c>
      <c r="I2303" s="1">
        <v>435</v>
      </c>
      <c r="J2303" s="2">
        <v>0.13</v>
      </c>
      <c r="K2303">
        <f t="shared" si="105"/>
        <v>56.550000000000004</v>
      </c>
      <c r="L2303">
        <f t="shared" si="106"/>
        <v>378.45</v>
      </c>
      <c r="M2303" t="str">
        <f t="shared" si="107"/>
        <v>Feb-2018</v>
      </c>
    </row>
    <row r="2304" spans="1:13" x14ac:dyDescent="0.3">
      <c r="A2304" t="s">
        <v>2920</v>
      </c>
      <c r="B2304" s="1" t="s">
        <v>53</v>
      </c>
      <c r="C2304" s="1" t="s">
        <v>54</v>
      </c>
      <c r="D2304" s="1" t="s">
        <v>13</v>
      </c>
      <c r="E2304" s="5">
        <v>43241</v>
      </c>
      <c r="F2304" s="3" t="s">
        <v>30</v>
      </c>
      <c r="G2304" s="1" t="s">
        <v>814</v>
      </c>
      <c r="H2304" s="1">
        <v>150</v>
      </c>
      <c r="I2304" s="1">
        <v>149</v>
      </c>
      <c r="J2304" s="2">
        <v>6.7000000000000002E-3</v>
      </c>
      <c r="K2304">
        <f t="shared" si="105"/>
        <v>0.99830000000000008</v>
      </c>
      <c r="L2304">
        <f t="shared" si="106"/>
        <v>148.0017</v>
      </c>
      <c r="M2304" t="str">
        <f t="shared" si="107"/>
        <v>May-2018</v>
      </c>
    </row>
    <row r="2305" spans="1:13" x14ac:dyDescent="0.3">
      <c r="A2305" t="s">
        <v>2921</v>
      </c>
      <c r="B2305" s="1" t="s">
        <v>70</v>
      </c>
      <c r="C2305" s="1" t="s">
        <v>71</v>
      </c>
      <c r="D2305" s="1" t="s">
        <v>35</v>
      </c>
      <c r="E2305" s="5">
        <v>43034</v>
      </c>
      <c r="F2305" s="3" t="s">
        <v>25</v>
      </c>
      <c r="G2305" s="1" t="s">
        <v>328</v>
      </c>
      <c r="H2305" s="1">
        <v>700</v>
      </c>
      <c r="I2305" s="1">
        <v>644</v>
      </c>
      <c r="J2305" s="2">
        <v>0.08</v>
      </c>
      <c r="K2305">
        <f t="shared" si="105"/>
        <v>51.52</v>
      </c>
      <c r="L2305">
        <f t="shared" si="106"/>
        <v>592.48</v>
      </c>
      <c r="M2305" t="str">
        <f t="shared" si="107"/>
        <v>Oct-2017</v>
      </c>
    </row>
    <row r="2306" spans="1:13" x14ac:dyDescent="0.3">
      <c r="A2306" t="s">
        <v>2922</v>
      </c>
      <c r="B2306" s="1" t="s">
        <v>400</v>
      </c>
      <c r="C2306" s="1" t="s">
        <v>401</v>
      </c>
      <c r="D2306" s="1" t="s">
        <v>13</v>
      </c>
      <c r="E2306" s="5">
        <v>42119</v>
      </c>
      <c r="F2306" s="3" t="s">
        <v>104</v>
      </c>
      <c r="G2306" s="1" t="s">
        <v>1281</v>
      </c>
      <c r="H2306" s="1">
        <v>70</v>
      </c>
      <c r="I2306" s="1">
        <v>67</v>
      </c>
      <c r="J2306" s="2">
        <v>4.2900000000000001E-2</v>
      </c>
      <c r="K2306">
        <f t="shared" si="105"/>
        <v>2.8742999999999999</v>
      </c>
      <c r="L2306">
        <f t="shared" si="106"/>
        <v>64.125699999999995</v>
      </c>
      <c r="M2306" t="str">
        <f t="shared" si="107"/>
        <v>Apr-2015</v>
      </c>
    </row>
    <row r="2307" spans="1:13" x14ac:dyDescent="0.3">
      <c r="A2307" t="s">
        <v>2923</v>
      </c>
      <c r="B2307" s="1" t="s">
        <v>2170</v>
      </c>
      <c r="C2307" s="1" t="s">
        <v>18</v>
      </c>
      <c r="D2307" s="1" t="s">
        <v>19</v>
      </c>
      <c r="E2307" s="5">
        <v>43088</v>
      </c>
      <c r="F2307" s="3" t="s">
        <v>115</v>
      </c>
      <c r="G2307" s="1" t="s">
        <v>2924</v>
      </c>
      <c r="H2307" s="1">
        <v>250</v>
      </c>
      <c r="I2307" s="1">
        <v>198</v>
      </c>
      <c r="J2307" s="2">
        <v>0.20799999999999999</v>
      </c>
      <c r="K2307">
        <f t="shared" si="105"/>
        <v>41.183999999999997</v>
      </c>
      <c r="L2307">
        <f t="shared" si="106"/>
        <v>156.816</v>
      </c>
      <c r="M2307" t="str">
        <f t="shared" si="107"/>
        <v>Dec-2017</v>
      </c>
    </row>
    <row r="2308" spans="1:13" x14ac:dyDescent="0.3">
      <c r="A2308" t="s">
        <v>2925</v>
      </c>
      <c r="B2308" s="1" t="s">
        <v>59</v>
      </c>
      <c r="C2308" s="1" t="s">
        <v>60</v>
      </c>
      <c r="D2308" s="1" t="s">
        <v>13</v>
      </c>
      <c r="E2308" s="5">
        <v>41781</v>
      </c>
      <c r="F2308" s="3" t="s">
        <v>41</v>
      </c>
      <c r="G2308" s="1" t="s">
        <v>781</v>
      </c>
      <c r="H2308" s="1">
        <v>30</v>
      </c>
      <c r="I2308" s="1">
        <v>30</v>
      </c>
      <c r="J2308" s="2">
        <v>0</v>
      </c>
      <c r="K2308">
        <f t="shared" ref="K2308:K2340" si="108">I2308*J2308</f>
        <v>0</v>
      </c>
      <c r="L2308">
        <f t="shared" ref="L2308:L2340" si="109">I2308-K2308</f>
        <v>30</v>
      </c>
      <c r="M2308" t="str">
        <f t="shared" ref="M2308:M2340" si="110">TEXT(E2308, "mmm-yyyy")</f>
        <v>May-2014</v>
      </c>
    </row>
    <row r="2309" spans="1:13" x14ac:dyDescent="0.3">
      <c r="A2309" t="s">
        <v>2926</v>
      </c>
      <c r="B2309" s="1" t="s">
        <v>2191</v>
      </c>
      <c r="C2309" s="1" t="s">
        <v>108</v>
      </c>
      <c r="D2309" s="1" t="s">
        <v>19</v>
      </c>
      <c r="E2309" s="5">
        <v>42033</v>
      </c>
      <c r="F2309" s="3" t="s">
        <v>46</v>
      </c>
      <c r="G2309" s="1" t="s">
        <v>2927</v>
      </c>
      <c r="H2309" s="1">
        <v>500</v>
      </c>
      <c r="I2309" s="1">
        <v>360</v>
      </c>
      <c r="J2309" s="2">
        <v>0.28000000000000003</v>
      </c>
      <c r="K2309">
        <f t="shared" si="108"/>
        <v>100.80000000000001</v>
      </c>
      <c r="L2309">
        <f t="shared" si="109"/>
        <v>259.2</v>
      </c>
      <c r="M2309" t="str">
        <f t="shared" si="110"/>
        <v>Jan-2015</v>
      </c>
    </row>
    <row r="2310" spans="1:13" x14ac:dyDescent="0.3">
      <c r="A2310" t="s">
        <v>2928</v>
      </c>
      <c r="B2310" s="1" t="s">
        <v>187</v>
      </c>
      <c r="C2310" s="1" t="s">
        <v>188</v>
      </c>
      <c r="D2310" s="1" t="s">
        <v>13</v>
      </c>
      <c r="E2310" s="5">
        <v>43088</v>
      </c>
      <c r="F2310" s="3" t="s">
        <v>122</v>
      </c>
      <c r="G2310" s="1" t="s">
        <v>189</v>
      </c>
      <c r="H2310" s="1">
        <v>50</v>
      </c>
      <c r="I2310" s="1">
        <v>44</v>
      </c>
      <c r="J2310" s="2">
        <v>0.12</v>
      </c>
      <c r="K2310">
        <f t="shared" si="108"/>
        <v>5.2799999999999994</v>
      </c>
      <c r="L2310">
        <f t="shared" si="109"/>
        <v>38.72</v>
      </c>
      <c r="M2310" t="str">
        <f t="shared" si="110"/>
        <v>Dec-2017</v>
      </c>
    </row>
    <row r="2311" spans="1:13" x14ac:dyDescent="0.3">
      <c r="A2311" t="s">
        <v>2929</v>
      </c>
      <c r="B2311" s="1" t="s">
        <v>91</v>
      </c>
      <c r="C2311" s="1" t="s">
        <v>92</v>
      </c>
      <c r="D2311" s="1" t="s">
        <v>35</v>
      </c>
      <c r="E2311" s="5">
        <v>42052</v>
      </c>
      <c r="F2311" s="3" t="s">
        <v>55</v>
      </c>
      <c r="G2311" s="1" t="s">
        <v>1343</v>
      </c>
      <c r="H2311" s="1">
        <v>800</v>
      </c>
      <c r="I2311" s="1">
        <v>744</v>
      </c>
      <c r="J2311" s="2">
        <v>7.0000000000000007E-2</v>
      </c>
      <c r="K2311">
        <f t="shared" si="108"/>
        <v>52.080000000000005</v>
      </c>
      <c r="L2311">
        <f t="shared" si="109"/>
        <v>691.92</v>
      </c>
      <c r="M2311" t="str">
        <f t="shared" si="110"/>
        <v>Feb-2015</v>
      </c>
    </row>
    <row r="2312" spans="1:13" x14ac:dyDescent="0.3">
      <c r="A2312" t="s">
        <v>2930</v>
      </c>
      <c r="B2312" s="1" t="s">
        <v>170</v>
      </c>
      <c r="C2312" s="1" t="s">
        <v>171</v>
      </c>
      <c r="D2312" s="1" t="s">
        <v>13</v>
      </c>
      <c r="E2312" s="5">
        <v>42151</v>
      </c>
      <c r="F2312" s="3" t="s">
        <v>61</v>
      </c>
      <c r="G2312" s="1" t="s">
        <v>1421</v>
      </c>
      <c r="H2312" s="1">
        <v>1000</v>
      </c>
      <c r="I2312" s="1">
        <v>810</v>
      </c>
      <c r="J2312" s="2">
        <v>0.19</v>
      </c>
      <c r="K2312">
        <f t="shared" si="108"/>
        <v>153.9</v>
      </c>
      <c r="L2312">
        <f t="shared" si="109"/>
        <v>656.1</v>
      </c>
      <c r="M2312" t="str">
        <f t="shared" si="110"/>
        <v>May-2015</v>
      </c>
    </row>
    <row r="2313" spans="1:13" x14ac:dyDescent="0.3">
      <c r="A2313" t="s">
        <v>2931</v>
      </c>
      <c r="B2313" s="1" t="s">
        <v>2170</v>
      </c>
      <c r="C2313" s="1" t="s">
        <v>18</v>
      </c>
      <c r="D2313" s="1" t="s">
        <v>19</v>
      </c>
      <c r="E2313" s="5">
        <v>42838</v>
      </c>
      <c r="F2313" s="3" t="s">
        <v>41</v>
      </c>
      <c r="G2313" s="1" t="s">
        <v>2238</v>
      </c>
      <c r="H2313" s="1">
        <v>30</v>
      </c>
      <c r="I2313" s="1">
        <v>28</v>
      </c>
      <c r="J2313" s="2">
        <v>6.6699999999999995E-2</v>
      </c>
      <c r="K2313">
        <f t="shared" si="108"/>
        <v>1.8675999999999999</v>
      </c>
      <c r="L2313">
        <f t="shared" si="109"/>
        <v>26.132400000000001</v>
      </c>
      <c r="M2313" t="str">
        <f t="shared" si="110"/>
        <v>Apr-2017</v>
      </c>
    </row>
    <row r="2314" spans="1:13" x14ac:dyDescent="0.3">
      <c r="A2314" t="s">
        <v>2932</v>
      </c>
      <c r="B2314" s="1" t="s">
        <v>85</v>
      </c>
      <c r="C2314" s="1" t="s">
        <v>86</v>
      </c>
      <c r="D2314" s="1" t="s">
        <v>13</v>
      </c>
      <c r="E2314" s="5">
        <v>41720</v>
      </c>
      <c r="F2314" s="3" t="s">
        <v>14</v>
      </c>
      <c r="G2314" s="1" t="s">
        <v>363</v>
      </c>
      <c r="H2314" s="1">
        <v>80</v>
      </c>
      <c r="I2314" s="1">
        <v>70</v>
      </c>
      <c r="J2314" s="2">
        <v>0.125</v>
      </c>
      <c r="K2314">
        <f t="shared" si="108"/>
        <v>8.75</v>
      </c>
      <c r="L2314">
        <f t="shared" si="109"/>
        <v>61.25</v>
      </c>
      <c r="M2314" t="str">
        <f t="shared" si="110"/>
        <v>Mar-2014</v>
      </c>
    </row>
    <row r="2315" spans="1:13" x14ac:dyDescent="0.3">
      <c r="A2315" t="s">
        <v>2933</v>
      </c>
      <c r="B2315" s="1" t="s">
        <v>107</v>
      </c>
      <c r="C2315" s="1" t="s">
        <v>108</v>
      </c>
      <c r="D2315" s="1" t="s">
        <v>19</v>
      </c>
      <c r="E2315" s="5">
        <v>43144</v>
      </c>
      <c r="F2315" s="3" t="s">
        <v>72</v>
      </c>
      <c r="G2315" s="1" t="s">
        <v>531</v>
      </c>
      <c r="H2315" s="1">
        <v>500</v>
      </c>
      <c r="I2315" s="1">
        <v>495</v>
      </c>
      <c r="J2315" s="2">
        <v>0.01</v>
      </c>
      <c r="K2315">
        <f t="shared" si="108"/>
        <v>4.95</v>
      </c>
      <c r="L2315">
        <f t="shared" si="109"/>
        <v>490.05</v>
      </c>
      <c r="M2315" t="str">
        <f t="shared" si="110"/>
        <v>Feb-2018</v>
      </c>
    </row>
    <row r="2316" spans="1:13" x14ac:dyDescent="0.3">
      <c r="A2316" t="s">
        <v>2934</v>
      </c>
      <c r="B2316" s="1" t="s">
        <v>270</v>
      </c>
      <c r="C2316" s="1" t="s">
        <v>271</v>
      </c>
      <c r="D2316" s="1" t="s">
        <v>35</v>
      </c>
      <c r="E2316" s="5">
        <v>43241</v>
      </c>
      <c r="F2316" s="3" t="s">
        <v>14</v>
      </c>
      <c r="G2316" s="1" t="s">
        <v>337</v>
      </c>
      <c r="H2316" s="1">
        <v>80</v>
      </c>
      <c r="I2316" s="1">
        <v>73</v>
      </c>
      <c r="J2316" s="2">
        <v>8.7499999999999994E-2</v>
      </c>
      <c r="K2316">
        <f t="shared" si="108"/>
        <v>6.3874999999999993</v>
      </c>
      <c r="L2316">
        <f t="shared" si="109"/>
        <v>66.612499999999997</v>
      </c>
      <c r="M2316" t="str">
        <f t="shared" si="110"/>
        <v>May-2018</v>
      </c>
    </row>
    <row r="2317" spans="1:13" x14ac:dyDescent="0.3">
      <c r="A2317" t="s">
        <v>2935</v>
      </c>
      <c r="B2317" s="1" t="s">
        <v>154</v>
      </c>
      <c r="C2317" s="1" t="s">
        <v>108</v>
      </c>
      <c r="D2317" s="1" t="s">
        <v>19</v>
      </c>
      <c r="E2317" s="5">
        <v>43034</v>
      </c>
      <c r="F2317" s="3" t="s">
        <v>25</v>
      </c>
      <c r="G2317" s="1" t="s">
        <v>2936</v>
      </c>
      <c r="H2317" s="1">
        <v>700</v>
      </c>
      <c r="I2317" s="1">
        <v>602</v>
      </c>
      <c r="J2317" s="2">
        <v>0.14000000000000001</v>
      </c>
      <c r="K2317">
        <f t="shared" si="108"/>
        <v>84.28</v>
      </c>
      <c r="L2317">
        <f t="shared" si="109"/>
        <v>517.72</v>
      </c>
      <c r="M2317" t="str">
        <f t="shared" si="110"/>
        <v>Oct-2017</v>
      </c>
    </row>
    <row r="2318" spans="1:13" x14ac:dyDescent="0.3">
      <c r="A2318" t="s">
        <v>2937</v>
      </c>
      <c r="B2318" s="1" t="s">
        <v>170</v>
      </c>
      <c r="C2318" s="1" t="s">
        <v>171</v>
      </c>
      <c r="D2318" s="1" t="s">
        <v>13</v>
      </c>
      <c r="E2318" s="5">
        <v>42119</v>
      </c>
      <c r="F2318" s="3" t="s">
        <v>115</v>
      </c>
      <c r="G2318" s="1" t="s">
        <v>274</v>
      </c>
      <c r="H2318" s="1">
        <v>250</v>
      </c>
      <c r="I2318" s="1">
        <v>50</v>
      </c>
      <c r="J2318" s="2">
        <v>0.8</v>
      </c>
      <c r="K2318">
        <f t="shared" si="108"/>
        <v>40</v>
      </c>
      <c r="L2318">
        <f t="shared" si="109"/>
        <v>10</v>
      </c>
      <c r="M2318" t="str">
        <f t="shared" si="110"/>
        <v>Apr-2015</v>
      </c>
    </row>
    <row r="2319" spans="1:13" x14ac:dyDescent="0.3">
      <c r="A2319" t="s">
        <v>2938</v>
      </c>
      <c r="B2319" s="1" t="s">
        <v>289</v>
      </c>
      <c r="C2319" s="1" t="s">
        <v>108</v>
      </c>
      <c r="D2319" s="1" t="s">
        <v>19</v>
      </c>
      <c r="E2319" s="5">
        <v>43088</v>
      </c>
      <c r="F2319" s="3" t="s">
        <v>25</v>
      </c>
      <c r="G2319" s="1" t="s">
        <v>1545</v>
      </c>
      <c r="H2319" s="1">
        <v>700</v>
      </c>
      <c r="I2319" s="1">
        <v>700</v>
      </c>
      <c r="J2319" s="2">
        <v>0</v>
      </c>
      <c r="K2319">
        <f t="shared" si="108"/>
        <v>0</v>
      </c>
      <c r="L2319">
        <f t="shared" si="109"/>
        <v>700</v>
      </c>
      <c r="M2319" t="str">
        <f t="shared" si="110"/>
        <v>Dec-2017</v>
      </c>
    </row>
    <row r="2320" spans="1:13" x14ac:dyDescent="0.3">
      <c r="A2320" t="s">
        <v>2939</v>
      </c>
      <c r="B2320" s="1" t="s">
        <v>434</v>
      </c>
      <c r="C2320" s="1" t="s">
        <v>435</v>
      </c>
      <c r="D2320" s="1" t="s">
        <v>24</v>
      </c>
      <c r="E2320" s="5">
        <v>41781</v>
      </c>
      <c r="F2320" s="3" t="s">
        <v>14</v>
      </c>
      <c r="G2320" s="1" t="s">
        <v>828</v>
      </c>
      <c r="H2320" s="1">
        <v>80</v>
      </c>
      <c r="I2320" s="1">
        <v>58</v>
      </c>
      <c r="J2320" s="2">
        <v>0.27500000000000002</v>
      </c>
      <c r="K2320">
        <f t="shared" si="108"/>
        <v>15.950000000000001</v>
      </c>
      <c r="L2320">
        <f t="shared" si="109"/>
        <v>42.05</v>
      </c>
      <c r="M2320" t="str">
        <f t="shared" si="110"/>
        <v>May-2014</v>
      </c>
    </row>
    <row r="2321" spans="1:13" x14ac:dyDescent="0.3">
      <c r="A2321" t="s">
        <v>2940</v>
      </c>
      <c r="B2321" s="1" t="s">
        <v>111</v>
      </c>
      <c r="C2321" s="1" t="s">
        <v>82</v>
      </c>
      <c r="D2321" s="1" t="s">
        <v>13</v>
      </c>
      <c r="E2321" s="5">
        <v>42033</v>
      </c>
      <c r="F2321" s="3" t="s">
        <v>41</v>
      </c>
      <c r="G2321" s="1" t="s">
        <v>610</v>
      </c>
      <c r="H2321" s="1">
        <v>30</v>
      </c>
      <c r="I2321" s="1">
        <v>22</v>
      </c>
      <c r="J2321" s="2">
        <v>0.26669999999999999</v>
      </c>
      <c r="K2321">
        <f t="shared" si="108"/>
        <v>5.8673999999999999</v>
      </c>
      <c r="L2321">
        <f t="shared" si="109"/>
        <v>16.1326</v>
      </c>
      <c r="M2321" t="str">
        <f t="shared" si="110"/>
        <v>Jan-2015</v>
      </c>
    </row>
    <row r="2322" spans="1:13" x14ac:dyDescent="0.3">
      <c r="A2322" t="s">
        <v>2941</v>
      </c>
      <c r="B2322" s="1" t="s">
        <v>127</v>
      </c>
      <c r="C2322" s="1" t="s">
        <v>128</v>
      </c>
      <c r="D2322" s="1" t="s">
        <v>13</v>
      </c>
      <c r="E2322" s="5">
        <v>43088</v>
      </c>
      <c r="F2322" s="3" t="s">
        <v>72</v>
      </c>
      <c r="G2322" s="1" t="s">
        <v>1261</v>
      </c>
      <c r="H2322" s="1">
        <v>500</v>
      </c>
      <c r="I2322" s="1">
        <v>495</v>
      </c>
      <c r="J2322" s="2">
        <v>0.01</v>
      </c>
      <c r="K2322">
        <f t="shared" si="108"/>
        <v>4.95</v>
      </c>
      <c r="L2322">
        <f t="shared" si="109"/>
        <v>490.05</v>
      </c>
      <c r="M2322" t="str">
        <f t="shared" si="110"/>
        <v>Dec-2017</v>
      </c>
    </row>
    <row r="2323" spans="1:13" x14ac:dyDescent="0.3">
      <c r="A2323" t="s">
        <v>2942</v>
      </c>
      <c r="B2323" s="1" t="s">
        <v>53</v>
      </c>
      <c r="C2323" s="1" t="s">
        <v>54</v>
      </c>
      <c r="D2323" s="1" t="s">
        <v>13</v>
      </c>
      <c r="E2323" s="5">
        <v>42052</v>
      </c>
      <c r="F2323" s="3" t="s">
        <v>36</v>
      </c>
      <c r="G2323" s="1" t="s">
        <v>404</v>
      </c>
      <c r="H2323" s="1">
        <v>50</v>
      </c>
      <c r="I2323" s="1">
        <v>49</v>
      </c>
      <c r="J2323" s="2">
        <v>0.02</v>
      </c>
      <c r="K2323">
        <f t="shared" si="108"/>
        <v>0.98</v>
      </c>
      <c r="L2323">
        <f t="shared" si="109"/>
        <v>48.02</v>
      </c>
      <c r="M2323" t="str">
        <f t="shared" si="110"/>
        <v>Feb-2015</v>
      </c>
    </row>
    <row r="2324" spans="1:13" x14ac:dyDescent="0.3">
      <c r="A2324" t="s">
        <v>2943</v>
      </c>
      <c r="B2324" s="1" t="s">
        <v>134</v>
      </c>
      <c r="C2324" s="1" t="s">
        <v>92</v>
      </c>
      <c r="D2324" s="1" t="s">
        <v>35</v>
      </c>
      <c r="E2324" s="5">
        <v>42151</v>
      </c>
      <c r="F2324" s="3" t="s">
        <v>115</v>
      </c>
      <c r="G2324" s="1" t="s">
        <v>374</v>
      </c>
      <c r="H2324" s="1">
        <v>250</v>
      </c>
      <c r="I2324" s="1">
        <v>230</v>
      </c>
      <c r="J2324" s="2">
        <v>0.08</v>
      </c>
      <c r="K2324">
        <f t="shared" si="108"/>
        <v>18.400000000000002</v>
      </c>
      <c r="L2324">
        <f t="shared" si="109"/>
        <v>211.6</v>
      </c>
      <c r="M2324" t="str">
        <f t="shared" si="110"/>
        <v>May-2015</v>
      </c>
    </row>
    <row r="2325" spans="1:13" x14ac:dyDescent="0.3">
      <c r="A2325" t="s">
        <v>2944</v>
      </c>
      <c r="B2325" s="1" t="s">
        <v>127</v>
      </c>
      <c r="C2325" s="1" t="s">
        <v>128</v>
      </c>
      <c r="D2325" s="1" t="s">
        <v>13</v>
      </c>
      <c r="E2325" s="5">
        <v>42862</v>
      </c>
      <c r="F2325" s="3" t="s">
        <v>14</v>
      </c>
      <c r="G2325" s="1" t="s">
        <v>233</v>
      </c>
      <c r="H2325" s="1">
        <v>80</v>
      </c>
      <c r="I2325" s="1">
        <v>73</v>
      </c>
      <c r="J2325" s="2">
        <v>8.7499999999999994E-2</v>
      </c>
      <c r="K2325">
        <f t="shared" si="108"/>
        <v>6.3874999999999993</v>
      </c>
      <c r="L2325">
        <f t="shared" si="109"/>
        <v>66.612499999999997</v>
      </c>
      <c r="M2325" t="str">
        <f t="shared" si="110"/>
        <v>May-2017</v>
      </c>
    </row>
    <row r="2326" spans="1:13" x14ac:dyDescent="0.3">
      <c r="A2326" t="s">
        <v>2945</v>
      </c>
      <c r="B2326" s="1" t="s">
        <v>221</v>
      </c>
      <c r="C2326" s="1" t="s">
        <v>40</v>
      </c>
      <c r="D2326" s="1" t="s">
        <v>35</v>
      </c>
      <c r="E2326" s="5">
        <v>43040</v>
      </c>
      <c r="F2326" s="3" t="s">
        <v>46</v>
      </c>
      <c r="G2326" s="1" t="s">
        <v>222</v>
      </c>
      <c r="H2326" s="1">
        <v>500</v>
      </c>
      <c r="I2326" s="1">
        <v>475</v>
      </c>
      <c r="J2326" s="2">
        <v>0.05</v>
      </c>
      <c r="K2326">
        <f t="shared" si="108"/>
        <v>23.75</v>
      </c>
      <c r="L2326">
        <f t="shared" si="109"/>
        <v>451.25</v>
      </c>
      <c r="M2326" t="str">
        <f t="shared" si="110"/>
        <v>Nov-2017</v>
      </c>
    </row>
    <row r="2327" spans="1:13" x14ac:dyDescent="0.3">
      <c r="A2327" t="s">
        <v>2946</v>
      </c>
      <c r="B2327" s="1" t="s">
        <v>157</v>
      </c>
      <c r="C2327" s="1" t="s">
        <v>108</v>
      </c>
      <c r="D2327" s="1" t="s">
        <v>19</v>
      </c>
      <c r="E2327" s="5">
        <v>43102</v>
      </c>
      <c r="F2327" s="3" t="s">
        <v>36</v>
      </c>
      <c r="G2327" s="1" t="s">
        <v>1286</v>
      </c>
      <c r="H2327" s="1">
        <v>50</v>
      </c>
      <c r="I2327" s="1">
        <v>50</v>
      </c>
      <c r="J2327" s="2">
        <v>0</v>
      </c>
      <c r="K2327">
        <f t="shared" si="108"/>
        <v>0</v>
      </c>
      <c r="L2327">
        <f t="shared" si="109"/>
        <v>50</v>
      </c>
      <c r="M2327" t="str">
        <f t="shared" si="110"/>
        <v>Jan-2018</v>
      </c>
    </row>
    <row r="2328" spans="1:13" x14ac:dyDescent="0.3">
      <c r="A2328" t="s">
        <v>2947</v>
      </c>
      <c r="B2328" s="1" t="s">
        <v>182</v>
      </c>
      <c r="C2328" s="1" t="s">
        <v>108</v>
      </c>
      <c r="D2328" s="1" t="s">
        <v>19</v>
      </c>
      <c r="E2328" s="5">
        <v>42921</v>
      </c>
      <c r="F2328" s="3" t="s">
        <v>115</v>
      </c>
      <c r="G2328" s="1" t="s">
        <v>1043</v>
      </c>
      <c r="H2328" s="1">
        <v>250</v>
      </c>
      <c r="I2328" s="1">
        <v>238</v>
      </c>
      <c r="J2328" s="2">
        <v>4.8000000000000001E-2</v>
      </c>
      <c r="K2328">
        <f t="shared" si="108"/>
        <v>11.423999999999999</v>
      </c>
      <c r="L2328">
        <f t="shared" si="109"/>
        <v>226.57599999999999</v>
      </c>
      <c r="M2328" t="str">
        <f t="shared" si="110"/>
        <v>Jul-2017</v>
      </c>
    </row>
    <row r="2329" spans="1:13" x14ac:dyDescent="0.3">
      <c r="A2329" t="s">
        <v>2948</v>
      </c>
      <c r="B2329" s="1" t="s">
        <v>49</v>
      </c>
      <c r="C2329" s="1" t="s">
        <v>50</v>
      </c>
      <c r="D2329" s="1" t="s">
        <v>24</v>
      </c>
      <c r="E2329" s="5">
        <v>41781</v>
      </c>
      <c r="F2329" s="3" t="s">
        <v>14</v>
      </c>
      <c r="G2329" s="1" t="s">
        <v>378</v>
      </c>
      <c r="H2329" s="1">
        <v>80</v>
      </c>
      <c r="I2329" s="1">
        <v>77</v>
      </c>
      <c r="J2329" s="2">
        <v>3.7499999999999999E-2</v>
      </c>
      <c r="K2329">
        <f t="shared" si="108"/>
        <v>2.8874999999999997</v>
      </c>
      <c r="L2329">
        <f t="shared" si="109"/>
        <v>74.112499999999997</v>
      </c>
      <c r="M2329" t="str">
        <f t="shared" si="110"/>
        <v>May-2014</v>
      </c>
    </row>
    <row r="2330" spans="1:13" x14ac:dyDescent="0.3">
      <c r="A2330" t="s">
        <v>2949</v>
      </c>
      <c r="B2330" s="1" t="s">
        <v>111</v>
      </c>
      <c r="C2330" s="1" t="s">
        <v>82</v>
      </c>
      <c r="D2330" s="1" t="s">
        <v>13</v>
      </c>
      <c r="E2330" s="5">
        <v>42033</v>
      </c>
      <c r="F2330" s="3" t="s">
        <v>36</v>
      </c>
      <c r="G2330" s="1" t="s">
        <v>1688</v>
      </c>
      <c r="H2330" s="1">
        <v>50</v>
      </c>
      <c r="I2330" s="1">
        <v>38</v>
      </c>
      <c r="J2330" s="2">
        <v>0.24</v>
      </c>
      <c r="K2330">
        <f t="shared" si="108"/>
        <v>9.1199999999999992</v>
      </c>
      <c r="L2330">
        <f t="shared" si="109"/>
        <v>28.880000000000003</v>
      </c>
      <c r="M2330" t="str">
        <f t="shared" si="110"/>
        <v>Jan-2015</v>
      </c>
    </row>
    <row r="2331" spans="1:13" x14ac:dyDescent="0.3">
      <c r="A2331" t="s">
        <v>2950</v>
      </c>
      <c r="B2331" s="1" t="s">
        <v>150</v>
      </c>
      <c r="C2331" s="1" t="s">
        <v>151</v>
      </c>
      <c r="D2331" s="1" t="s">
        <v>13</v>
      </c>
      <c r="E2331" s="5">
        <v>43088</v>
      </c>
      <c r="F2331" s="3" t="s">
        <v>61</v>
      </c>
      <c r="G2331" s="1" t="s">
        <v>771</v>
      </c>
      <c r="H2331" s="1">
        <v>1000</v>
      </c>
      <c r="I2331" s="1">
        <v>650</v>
      </c>
      <c r="J2331" s="2">
        <v>0.35</v>
      </c>
      <c r="K2331">
        <f t="shared" si="108"/>
        <v>227.49999999999997</v>
      </c>
      <c r="L2331">
        <f t="shared" si="109"/>
        <v>422.5</v>
      </c>
      <c r="M2331" t="str">
        <f t="shared" si="110"/>
        <v>Dec-2017</v>
      </c>
    </row>
    <row r="2332" spans="1:13" x14ac:dyDescent="0.3">
      <c r="A2332" t="s">
        <v>2951</v>
      </c>
      <c r="B2332" s="1" t="s">
        <v>111</v>
      </c>
      <c r="C2332" s="1" t="s">
        <v>82</v>
      </c>
      <c r="D2332" s="1" t="s">
        <v>13</v>
      </c>
      <c r="E2332" s="5">
        <v>42052</v>
      </c>
      <c r="F2332" s="3" t="s">
        <v>14</v>
      </c>
      <c r="G2332" s="1" t="s">
        <v>1218</v>
      </c>
      <c r="H2332" s="1">
        <v>80</v>
      </c>
      <c r="I2332" s="1">
        <v>79</v>
      </c>
      <c r="J2332" s="2">
        <v>1.2500000000000001E-2</v>
      </c>
      <c r="K2332">
        <f t="shared" si="108"/>
        <v>0.98750000000000004</v>
      </c>
      <c r="L2332">
        <f t="shared" si="109"/>
        <v>78.012500000000003</v>
      </c>
      <c r="M2332" t="str">
        <f t="shared" si="110"/>
        <v>Feb-2015</v>
      </c>
    </row>
    <row r="2333" spans="1:13" x14ac:dyDescent="0.3">
      <c r="A2333" t="s">
        <v>2952</v>
      </c>
      <c r="B2333" s="1" t="s">
        <v>400</v>
      </c>
      <c r="C2333" s="1" t="s">
        <v>401</v>
      </c>
      <c r="D2333" s="1" t="s">
        <v>13</v>
      </c>
      <c r="E2333" s="5">
        <v>42151</v>
      </c>
      <c r="F2333" s="3" t="s">
        <v>36</v>
      </c>
      <c r="G2333" s="1" t="s">
        <v>2188</v>
      </c>
      <c r="H2333" s="1">
        <v>50</v>
      </c>
      <c r="I2333" s="1">
        <v>46</v>
      </c>
      <c r="J2333" s="2">
        <v>0.08</v>
      </c>
      <c r="K2333">
        <f t="shared" si="108"/>
        <v>3.68</v>
      </c>
      <c r="L2333">
        <f t="shared" si="109"/>
        <v>42.32</v>
      </c>
      <c r="M2333" t="str">
        <f t="shared" si="110"/>
        <v>May-2015</v>
      </c>
    </row>
    <row r="2334" spans="1:13" x14ac:dyDescent="0.3">
      <c r="A2334" t="s">
        <v>2953</v>
      </c>
      <c r="B2334" s="1" t="s">
        <v>174</v>
      </c>
      <c r="C2334" s="1" t="s">
        <v>175</v>
      </c>
      <c r="D2334" s="1" t="s">
        <v>13</v>
      </c>
      <c r="E2334" s="5">
        <v>41781</v>
      </c>
      <c r="F2334" s="3" t="s">
        <v>25</v>
      </c>
      <c r="G2334" s="1" t="s">
        <v>1558</v>
      </c>
      <c r="H2334" s="1">
        <v>700</v>
      </c>
      <c r="I2334" s="1">
        <v>644</v>
      </c>
      <c r="J2334" s="2">
        <v>0.08</v>
      </c>
      <c r="K2334">
        <f t="shared" si="108"/>
        <v>51.52</v>
      </c>
      <c r="L2334">
        <f t="shared" si="109"/>
        <v>592.48</v>
      </c>
      <c r="M2334" t="str">
        <f t="shared" si="110"/>
        <v>May-2014</v>
      </c>
    </row>
    <row r="2335" spans="1:13" x14ac:dyDescent="0.3">
      <c r="A2335" t="s">
        <v>2954</v>
      </c>
      <c r="B2335" s="1" t="s">
        <v>28</v>
      </c>
      <c r="C2335" s="1" t="s">
        <v>29</v>
      </c>
      <c r="D2335" s="1" t="s">
        <v>13</v>
      </c>
      <c r="E2335" s="5">
        <v>42033</v>
      </c>
      <c r="F2335" s="3" t="s">
        <v>25</v>
      </c>
      <c r="G2335" s="1" t="s">
        <v>396</v>
      </c>
      <c r="H2335" s="1">
        <v>700</v>
      </c>
      <c r="I2335" s="1">
        <v>686</v>
      </c>
      <c r="J2335" s="2">
        <v>0.02</v>
      </c>
      <c r="K2335">
        <f t="shared" si="108"/>
        <v>13.72</v>
      </c>
      <c r="L2335">
        <f t="shared" si="109"/>
        <v>672.28</v>
      </c>
      <c r="M2335" t="str">
        <f t="shared" si="110"/>
        <v>Jan-2015</v>
      </c>
    </row>
    <row r="2336" spans="1:13" x14ac:dyDescent="0.3">
      <c r="A2336" t="s">
        <v>2955</v>
      </c>
      <c r="B2336" s="1" t="s">
        <v>255</v>
      </c>
      <c r="C2336" s="1" t="s">
        <v>256</v>
      </c>
      <c r="D2336" s="1" t="s">
        <v>13</v>
      </c>
      <c r="E2336" s="5">
        <v>43088</v>
      </c>
      <c r="F2336" s="3" t="s">
        <v>14</v>
      </c>
      <c r="G2336" s="1" t="s">
        <v>800</v>
      </c>
      <c r="H2336" s="1">
        <v>80</v>
      </c>
      <c r="I2336" s="1">
        <v>78</v>
      </c>
      <c r="J2336" s="2">
        <v>2.5000000000000001E-2</v>
      </c>
      <c r="K2336">
        <f t="shared" si="108"/>
        <v>1.9500000000000002</v>
      </c>
      <c r="L2336">
        <f t="shared" si="109"/>
        <v>76.05</v>
      </c>
      <c r="M2336" t="str">
        <f t="shared" si="110"/>
        <v>Dec-2017</v>
      </c>
    </row>
    <row r="2337" spans="1:13" x14ac:dyDescent="0.3">
      <c r="A2337" t="s">
        <v>2956</v>
      </c>
      <c r="B2337" s="1" t="s">
        <v>39</v>
      </c>
      <c r="C2337" s="1" t="s">
        <v>40</v>
      </c>
      <c r="D2337" s="1" t="s">
        <v>35</v>
      </c>
      <c r="E2337" s="5">
        <v>42052</v>
      </c>
      <c r="F2337" s="3" t="s">
        <v>14</v>
      </c>
      <c r="G2337" s="1" t="s">
        <v>1284</v>
      </c>
      <c r="H2337" s="1">
        <v>80</v>
      </c>
      <c r="I2337" s="1">
        <v>78</v>
      </c>
      <c r="J2337" s="2">
        <v>2.5000000000000001E-2</v>
      </c>
      <c r="K2337">
        <f t="shared" si="108"/>
        <v>1.9500000000000002</v>
      </c>
      <c r="L2337">
        <f t="shared" si="109"/>
        <v>76.05</v>
      </c>
      <c r="M2337" t="str">
        <f t="shared" si="110"/>
        <v>Feb-2015</v>
      </c>
    </row>
    <row r="2338" spans="1:13" x14ac:dyDescent="0.3">
      <c r="A2338" t="s">
        <v>2957</v>
      </c>
      <c r="B2338" s="1" t="s">
        <v>28</v>
      </c>
      <c r="C2338" s="1" t="s">
        <v>29</v>
      </c>
      <c r="D2338" s="1" t="s">
        <v>13</v>
      </c>
      <c r="E2338" s="5">
        <v>42151</v>
      </c>
      <c r="F2338" s="3" t="s">
        <v>55</v>
      </c>
      <c r="G2338" s="1" t="s">
        <v>424</v>
      </c>
      <c r="H2338" s="1">
        <v>800</v>
      </c>
      <c r="I2338" s="1">
        <v>480</v>
      </c>
      <c r="J2338" s="2">
        <v>0.4</v>
      </c>
      <c r="K2338">
        <f t="shared" si="108"/>
        <v>192</v>
      </c>
      <c r="L2338">
        <f t="shared" si="109"/>
        <v>288</v>
      </c>
      <c r="M2338" t="str">
        <f t="shared" si="110"/>
        <v>May-2015</v>
      </c>
    </row>
    <row r="2339" spans="1:13" x14ac:dyDescent="0.3">
      <c r="A2339" t="s">
        <v>2958</v>
      </c>
      <c r="B2339" s="1" t="s">
        <v>85</v>
      </c>
      <c r="C2339" s="1" t="s">
        <v>86</v>
      </c>
      <c r="D2339" s="1" t="s">
        <v>13</v>
      </c>
      <c r="E2339" s="5">
        <v>42561</v>
      </c>
      <c r="F2339" s="3" t="s">
        <v>104</v>
      </c>
      <c r="G2339" s="1" t="s">
        <v>166</v>
      </c>
      <c r="H2339" s="1">
        <v>70</v>
      </c>
      <c r="I2339" s="1">
        <v>64</v>
      </c>
      <c r="J2339" s="2">
        <v>8.5699999999999998E-2</v>
      </c>
      <c r="K2339">
        <f t="shared" si="108"/>
        <v>5.4847999999999999</v>
      </c>
      <c r="L2339">
        <f t="shared" si="109"/>
        <v>58.5152</v>
      </c>
      <c r="M2339" t="str">
        <f t="shared" si="110"/>
        <v>Jul-2016</v>
      </c>
    </row>
    <row r="2340" spans="1:13" x14ac:dyDescent="0.3">
      <c r="A2340" t="s">
        <v>2959</v>
      </c>
      <c r="B2340" s="1" t="s">
        <v>221</v>
      </c>
      <c r="C2340" s="1" t="s">
        <v>40</v>
      </c>
      <c r="D2340" s="1" t="s">
        <v>35</v>
      </c>
      <c r="E2340" s="5">
        <v>42775</v>
      </c>
      <c r="F2340" s="3" t="s">
        <v>14</v>
      </c>
      <c r="G2340" s="1" t="s">
        <v>1179</v>
      </c>
      <c r="H2340" s="1">
        <v>80</v>
      </c>
      <c r="I2340" s="1">
        <v>77</v>
      </c>
      <c r="J2340" s="2">
        <v>3.7499999999999999E-2</v>
      </c>
      <c r="K2340">
        <f t="shared" si="108"/>
        <v>2.8874999999999997</v>
      </c>
      <c r="L2340">
        <f t="shared" si="109"/>
        <v>74.112499999999997</v>
      </c>
      <c r="M2340" t="str">
        <f t="shared" si="110"/>
        <v>Feb-2017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41AF11E-D80C-4194-8377-64CF75FBD1BA}">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23FC2D69-42BE-4442-BAF1-E7FE386F5FDA}">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6C89A7E9-0C07-4C76-89E2-570DC051051C}">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Regional Sales</vt:lpstr>
      <vt:lpstr>Monthly Revenue</vt:lpstr>
      <vt:lpstr>Salesperson's revenue </vt:lpstr>
      <vt:lpstr>Dashboard</vt:lpstr>
      <vt:lpstr>Data Practice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Parneet Kaur</dc:creator>
  <cp:keywords/>
  <dc:description/>
  <cp:lastModifiedBy>Parneet Gill</cp:lastModifiedBy>
  <cp:revision/>
  <dcterms:created xsi:type="dcterms:W3CDTF">2021-08-05T04:57:40Z</dcterms:created>
  <dcterms:modified xsi:type="dcterms:W3CDTF">2026-08-18T15:14:55Z</dcterms:modified>
  <cp:category/>
  <cp:contentStatus/>
</cp:coreProperties>
</file>